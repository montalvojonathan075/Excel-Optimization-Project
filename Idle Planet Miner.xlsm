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bfb25700ecc9956/Documents/"/>
    </mc:Choice>
  </mc:AlternateContent>
  <xr:revisionPtr revIDLastSave="6" documentId="8_{CD22C3A2-A90E-4035-AE42-A2F2D0A37604}" xr6:coauthVersionLast="47" xr6:coauthVersionMax="47" xr10:uidLastSave="{B4E4F0BE-4373-4E93-9D84-52AD75471FD2}"/>
  <bookViews>
    <workbookView xWindow="-108" yWindow="-108" windowWidth="23256" windowHeight="12456" tabRatio="713" firstSheet="1" activeTab="1" xr2:uid="{A164DEF0-14A5-4E53-BFD6-8CA724B037E1}"/>
  </bookViews>
  <sheets>
    <sheet name="Scenario Validation" sheetId="19" state="hidden" r:id="rId1"/>
    <sheet name="Dashboard" sheetId="18" r:id="rId2"/>
    <sheet name="Model Guide" sheetId="23" r:id="rId3"/>
    <sheet name="TimeFrame" sheetId="22" state="hidden" r:id="rId4"/>
    <sheet name="Hybrid Cal" sheetId="15" state="hidden" r:id="rId5"/>
    <sheet name="Planet Efficiency" sheetId="21" r:id="rId6"/>
    <sheet name="Progress Tracker" sheetId="5" r:id="rId7"/>
    <sheet name="Planets" sheetId="1" state="hidden" r:id="rId8"/>
    <sheet name="Ore Values" sheetId="2" state="hidden" r:id="rId9"/>
    <sheet name="Planet Value" sheetId="3" state="hidden" r:id="rId10"/>
    <sheet name="Upgrade Progression" sheetId="4" state="hidden" r:id="rId11"/>
    <sheet name="Planet Economy" sheetId="8" state="hidden" r:id="rId12"/>
    <sheet name="Mining ROI" sheetId="9" r:id="rId13"/>
    <sheet name="Speed ROI" sheetId="12" r:id="rId14"/>
    <sheet name="Cargo ROI" sheetId="13" r:id="rId15"/>
    <sheet name="Unlock Planet ROI" sheetId="14" r:id="rId16"/>
    <sheet name="Analysis Support" sheetId="24" state="hidden" r:id="rId17"/>
  </sheets>
  <definedNames>
    <definedName name="CurrentTelescope">Dashboard!$J$5</definedName>
    <definedName name="OreSymbols" localSheetId="14">tblOreValues[Symbol]</definedName>
    <definedName name="OreSymbols" localSheetId="13">tblOreValues[Symbol]</definedName>
    <definedName name="OreSymbols" localSheetId="15">tblOreValues[Symbol]</definedName>
    <definedName name="OreSymbols">tblOreValues[Symbol]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3" i="5" l="1"/>
  <c r="L4" i="5"/>
  <c r="L5" i="5"/>
  <c r="L6" i="5"/>
  <c r="L8" i="5"/>
  <c r="L9" i="5"/>
  <c r="L10" i="5"/>
  <c r="L11" i="5"/>
  <c r="L12" i="5"/>
  <c r="L13" i="5"/>
  <c r="L14" i="5"/>
  <c r="L15" i="5"/>
  <c r="B15" i="23"/>
  <c r="B14" i="23"/>
  <c r="B13" i="23"/>
  <c r="H49" i="18"/>
  <c r="H48" i="18"/>
  <c r="H47" i="18"/>
  <c r="H46" i="18"/>
  <c r="H45" i="18"/>
  <c r="H44" i="18"/>
  <c r="H43" i="18"/>
  <c r="A46" i="18"/>
  <c r="A45" i="18"/>
  <c r="A44" i="18"/>
  <c r="A43" i="18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N3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L3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" i="19"/>
  <c r="N2" i="19"/>
  <c r="M2" i="19"/>
  <c r="L2" i="19"/>
  <c r="K2" i="19"/>
  <c r="E9" i="18"/>
  <c r="D9" i="18"/>
  <c r="N16" i="21"/>
  <c r="B11" i="23" s="1"/>
  <c r="O16" i="21"/>
  <c r="B12" i="23" s="1"/>
  <c r="L10" i="18"/>
  <c r="H10" i="18"/>
  <c r="A301" i="21"/>
  <c r="A302" i="21"/>
  <c r="A303" i="21"/>
  <c r="A304" i="21"/>
  <c r="A305" i="21"/>
  <c r="A298" i="21"/>
  <c r="A299" i="21"/>
  <c r="A300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75" i="21"/>
  <c r="A276" i="21"/>
  <c r="A277" i="21"/>
  <c r="A278" i="21"/>
  <c r="A279" i="21"/>
  <c r="A280" i="21"/>
  <c r="A281" i="21"/>
  <c r="A282" i="21"/>
  <c r="A283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75" i="21"/>
  <c r="A76" i="21"/>
  <c r="A77" i="21"/>
  <c r="A78" i="21"/>
  <c r="A79" i="21"/>
  <c r="A80" i="21"/>
  <c r="A81" i="21"/>
  <c r="A82" i="21"/>
  <c r="A83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J28" i="19"/>
  <c r="J29" i="19"/>
  <c r="F25" i="19"/>
  <c r="J25" i="19" s="1"/>
  <c r="G25" i="19"/>
  <c r="H25" i="19"/>
  <c r="F24" i="19"/>
  <c r="G24" i="19"/>
  <c r="H24" i="19"/>
  <c r="F22" i="19"/>
  <c r="J22" i="19" s="1"/>
  <c r="G22" i="19"/>
  <c r="H22" i="19"/>
  <c r="F23" i="19"/>
  <c r="G23" i="19"/>
  <c r="H23" i="19"/>
  <c r="F10" i="19"/>
  <c r="G10" i="19"/>
  <c r="H10" i="19"/>
  <c r="F11" i="19"/>
  <c r="G11" i="19"/>
  <c r="H11" i="19"/>
  <c r="F12" i="19"/>
  <c r="G12" i="19"/>
  <c r="H12" i="19"/>
  <c r="F9" i="19"/>
  <c r="B7" i="19"/>
  <c r="B8" i="19"/>
  <c r="B9" i="19"/>
  <c r="B16" i="19"/>
  <c r="B17" i="19"/>
  <c r="B18" i="19"/>
  <c r="B23" i="19"/>
  <c r="B10" i="19"/>
  <c r="B11" i="19"/>
  <c r="B12" i="19"/>
  <c r="B13" i="19"/>
  <c r="B26" i="19"/>
  <c r="B27" i="19"/>
  <c r="B15" i="19"/>
  <c r="B28" i="19"/>
  <c r="B29" i="19"/>
  <c r="B30" i="19"/>
  <c r="F7" i="19"/>
  <c r="F8" i="19"/>
  <c r="F16" i="19"/>
  <c r="F17" i="19"/>
  <c r="F18" i="19"/>
  <c r="F13" i="19"/>
  <c r="F26" i="19"/>
  <c r="J26" i="19" s="1"/>
  <c r="F27" i="19"/>
  <c r="J27" i="19" s="1"/>
  <c r="F15" i="19"/>
  <c r="F28" i="19"/>
  <c r="F29" i="19"/>
  <c r="F30" i="19"/>
  <c r="G7" i="19"/>
  <c r="G8" i="19"/>
  <c r="G9" i="19"/>
  <c r="G16" i="19"/>
  <c r="G17" i="19"/>
  <c r="G18" i="19"/>
  <c r="G13" i="19"/>
  <c r="G26" i="19"/>
  <c r="G27" i="19"/>
  <c r="G15" i="19"/>
  <c r="G28" i="19"/>
  <c r="G29" i="19"/>
  <c r="G30" i="19"/>
  <c r="H7" i="19"/>
  <c r="H8" i="19"/>
  <c r="H9" i="19"/>
  <c r="H16" i="19"/>
  <c r="H17" i="19"/>
  <c r="H18" i="19"/>
  <c r="H13" i="19"/>
  <c r="H26" i="19"/>
  <c r="H27" i="19"/>
  <c r="H15" i="19"/>
  <c r="H28" i="19"/>
  <c r="H29" i="19"/>
  <c r="H30" i="19"/>
  <c r="B14" i="19"/>
  <c r="B19" i="19"/>
  <c r="B20" i="19"/>
  <c r="B21" i="19"/>
  <c r="B3" i="19"/>
  <c r="B4" i="19"/>
  <c r="B5" i="19"/>
  <c r="B6" i="19"/>
  <c r="F14" i="19"/>
  <c r="F19" i="19"/>
  <c r="F20" i="19"/>
  <c r="F21" i="19"/>
  <c r="F3" i="19"/>
  <c r="F4" i="19"/>
  <c r="F5" i="19"/>
  <c r="F6" i="19"/>
  <c r="G14" i="19"/>
  <c r="G19" i="19"/>
  <c r="G20" i="19"/>
  <c r="G21" i="19"/>
  <c r="G3" i="19"/>
  <c r="G4" i="19"/>
  <c r="G5" i="19"/>
  <c r="G6" i="19"/>
  <c r="H14" i="19"/>
  <c r="H19" i="19"/>
  <c r="H20" i="19"/>
  <c r="H21" i="19"/>
  <c r="H3" i="19"/>
  <c r="H4" i="19"/>
  <c r="H5" i="19"/>
  <c r="H6" i="19"/>
  <c r="H2" i="19"/>
  <c r="G2" i="19"/>
  <c r="F2" i="19"/>
  <c r="B2" i="19"/>
  <c r="M2" i="5"/>
  <c r="D2" i="14" s="1"/>
  <c r="M77" i="5"/>
  <c r="D77" i="14" s="1"/>
  <c r="M76" i="5"/>
  <c r="D76" i="14" s="1"/>
  <c r="M75" i="5"/>
  <c r="D75" i="14" s="1"/>
  <c r="M74" i="5"/>
  <c r="D74" i="14" s="1"/>
  <c r="M73" i="5"/>
  <c r="D73" i="14" s="1"/>
  <c r="M72" i="5"/>
  <c r="D72" i="14" s="1"/>
  <c r="M71" i="5"/>
  <c r="D71" i="14" s="1"/>
  <c r="M70" i="5"/>
  <c r="D70" i="14" s="1"/>
  <c r="M69" i="5"/>
  <c r="D69" i="14" s="1"/>
  <c r="M68" i="5"/>
  <c r="D68" i="14" s="1"/>
  <c r="M67" i="5"/>
  <c r="D67" i="14" s="1"/>
  <c r="M66" i="5"/>
  <c r="D66" i="14" s="1"/>
  <c r="M65" i="5"/>
  <c r="D65" i="14" s="1"/>
  <c r="M64" i="5"/>
  <c r="D64" i="14" s="1"/>
  <c r="M63" i="5"/>
  <c r="D63" i="14" s="1"/>
  <c r="M62" i="5"/>
  <c r="D62" i="14" s="1"/>
  <c r="M61" i="5"/>
  <c r="D61" i="14" s="1"/>
  <c r="M60" i="5"/>
  <c r="D60" i="14" s="1"/>
  <c r="M59" i="5"/>
  <c r="D59" i="14" s="1"/>
  <c r="M58" i="5"/>
  <c r="D58" i="14" s="1"/>
  <c r="M57" i="5"/>
  <c r="D57" i="14" s="1"/>
  <c r="M56" i="5"/>
  <c r="D56" i="14" s="1"/>
  <c r="M55" i="5"/>
  <c r="D55" i="14" s="1"/>
  <c r="M54" i="5"/>
  <c r="D54" i="14" s="1"/>
  <c r="M53" i="5"/>
  <c r="D53" i="14" s="1"/>
  <c r="M52" i="5"/>
  <c r="D52" i="14" s="1"/>
  <c r="M51" i="5"/>
  <c r="D51" i="14" s="1"/>
  <c r="M50" i="5"/>
  <c r="D50" i="14" s="1"/>
  <c r="M49" i="5"/>
  <c r="D49" i="14" s="1"/>
  <c r="M48" i="5"/>
  <c r="D48" i="14" s="1"/>
  <c r="M47" i="5"/>
  <c r="D47" i="14" s="1"/>
  <c r="M46" i="5"/>
  <c r="D46" i="14" s="1"/>
  <c r="M45" i="5"/>
  <c r="D45" i="14" s="1"/>
  <c r="M44" i="5"/>
  <c r="D44" i="14" s="1"/>
  <c r="M43" i="5"/>
  <c r="D43" i="14" s="1"/>
  <c r="M42" i="5"/>
  <c r="D42" i="14" s="1"/>
  <c r="M41" i="5"/>
  <c r="D41" i="14" s="1"/>
  <c r="M40" i="5"/>
  <c r="D40" i="14" s="1"/>
  <c r="M39" i="5"/>
  <c r="D39" i="14" s="1"/>
  <c r="M38" i="5"/>
  <c r="D38" i="14" s="1"/>
  <c r="M37" i="5"/>
  <c r="D37" i="14" s="1"/>
  <c r="M36" i="5"/>
  <c r="D36" i="14" s="1"/>
  <c r="M35" i="5"/>
  <c r="D35" i="14" s="1"/>
  <c r="M34" i="5"/>
  <c r="D34" i="14" s="1"/>
  <c r="M33" i="5"/>
  <c r="D33" i="14" s="1"/>
  <c r="M32" i="5"/>
  <c r="D32" i="14" s="1"/>
  <c r="M31" i="5"/>
  <c r="D31" i="14" s="1"/>
  <c r="M30" i="5"/>
  <c r="D30" i="14" s="1"/>
  <c r="M29" i="5"/>
  <c r="D29" i="14" s="1"/>
  <c r="M28" i="5"/>
  <c r="D28" i="14" s="1"/>
  <c r="M27" i="5"/>
  <c r="D27" i="14" s="1"/>
  <c r="M26" i="5"/>
  <c r="D26" i="14" s="1"/>
  <c r="M25" i="5"/>
  <c r="D25" i="14" s="1"/>
  <c r="M24" i="5"/>
  <c r="D24" i="14" s="1"/>
  <c r="M23" i="5"/>
  <c r="D23" i="14" s="1"/>
  <c r="M22" i="5"/>
  <c r="D22" i="14" s="1"/>
  <c r="M21" i="5"/>
  <c r="D21" i="14" s="1"/>
  <c r="M20" i="5"/>
  <c r="D20" i="14" s="1"/>
  <c r="M19" i="5"/>
  <c r="D19" i="14" s="1"/>
  <c r="M18" i="5"/>
  <c r="D18" i="14" s="1"/>
  <c r="M17" i="5"/>
  <c r="D17" i="14" s="1"/>
  <c r="M16" i="5"/>
  <c r="D16" i="14" s="1"/>
  <c r="M15" i="5"/>
  <c r="D15" i="14" s="1"/>
  <c r="M14" i="5"/>
  <c r="D14" i="14" s="1"/>
  <c r="M13" i="5"/>
  <c r="D13" i="14" s="1"/>
  <c r="M12" i="5"/>
  <c r="D12" i="14" s="1"/>
  <c r="M11" i="5"/>
  <c r="D11" i="14" s="1"/>
  <c r="M10" i="5"/>
  <c r="D10" i="14" s="1"/>
  <c r="M9" i="5"/>
  <c r="D9" i="14" s="1"/>
  <c r="M8" i="5"/>
  <c r="D8" i="14" s="1"/>
  <c r="M7" i="5"/>
  <c r="D7" i="14" s="1"/>
  <c r="M6" i="5"/>
  <c r="D6" i="14" s="1"/>
  <c r="M5" i="5"/>
  <c r="D5" i="14" s="1"/>
  <c r="M4" i="5"/>
  <c r="D4" i="14" s="1"/>
  <c r="M3" i="5"/>
  <c r="D3" i="14" s="1"/>
  <c r="P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2" i="15"/>
  <c r="B3" i="15"/>
  <c r="B4" i="15"/>
  <c r="O19" i="5"/>
  <c r="O20" i="5"/>
  <c r="P20" i="13" s="1"/>
  <c r="N77" i="14"/>
  <c r="B77" i="14"/>
  <c r="P77" i="14" s="1"/>
  <c r="N76" i="14"/>
  <c r="B76" i="14"/>
  <c r="P76" i="14" s="1"/>
  <c r="N75" i="14"/>
  <c r="B75" i="14"/>
  <c r="P75" i="14" s="1"/>
  <c r="N74" i="14"/>
  <c r="B74" i="14"/>
  <c r="P74" i="14" s="1"/>
  <c r="N73" i="14"/>
  <c r="B73" i="14"/>
  <c r="P73" i="14" s="1"/>
  <c r="N72" i="14"/>
  <c r="B72" i="14"/>
  <c r="P72" i="14" s="1"/>
  <c r="N71" i="14"/>
  <c r="B71" i="14"/>
  <c r="P71" i="14" s="1"/>
  <c r="N70" i="14"/>
  <c r="B70" i="14"/>
  <c r="P70" i="14" s="1"/>
  <c r="N69" i="14"/>
  <c r="B69" i="14"/>
  <c r="P69" i="14" s="1"/>
  <c r="N68" i="14"/>
  <c r="B68" i="14"/>
  <c r="P68" i="14" s="1"/>
  <c r="N67" i="14"/>
  <c r="B67" i="14"/>
  <c r="P67" i="14" s="1"/>
  <c r="N66" i="14"/>
  <c r="B66" i="14"/>
  <c r="P66" i="14" s="1"/>
  <c r="N65" i="14"/>
  <c r="B65" i="14"/>
  <c r="P65" i="14" s="1"/>
  <c r="N64" i="14"/>
  <c r="B64" i="14"/>
  <c r="P64" i="14" s="1"/>
  <c r="N63" i="14"/>
  <c r="B63" i="14"/>
  <c r="P63" i="14" s="1"/>
  <c r="N62" i="14"/>
  <c r="B62" i="14"/>
  <c r="P62" i="14" s="1"/>
  <c r="N61" i="14"/>
  <c r="B61" i="14"/>
  <c r="P61" i="14" s="1"/>
  <c r="N60" i="14"/>
  <c r="B60" i="14"/>
  <c r="P60" i="14" s="1"/>
  <c r="N59" i="14"/>
  <c r="B59" i="14"/>
  <c r="P59" i="14" s="1"/>
  <c r="N58" i="14"/>
  <c r="B58" i="14"/>
  <c r="P58" i="14" s="1"/>
  <c r="N57" i="14"/>
  <c r="B57" i="14"/>
  <c r="P57" i="14" s="1"/>
  <c r="N56" i="14"/>
  <c r="B56" i="14"/>
  <c r="P56" i="14" s="1"/>
  <c r="N55" i="14"/>
  <c r="B55" i="14"/>
  <c r="P55" i="14" s="1"/>
  <c r="N54" i="14"/>
  <c r="B54" i="14"/>
  <c r="P54" i="14" s="1"/>
  <c r="N53" i="14"/>
  <c r="B53" i="14"/>
  <c r="P53" i="14" s="1"/>
  <c r="N52" i="14"/>
  <c r="B52" i="14"/>
  <c r="P52" i="14" s="1"/>
  <c r="N51" i="14"/>
  <c r="B51" i="14"/>
  <c r="P51" i="14" s="1"/>
  <c r="N50" i="14"/>
  <c r="B50" i="14"/>
  <c r="P50" i="14" s="1"/>
  <c r="N49" i="14"/>
  <c r="B49" i="14"/>
  <c r="P49" i="14" s="1"/>
  <c r="N48" i="14"/>
  <c r="B48" i="14"/>
  <c r="P48" i="14" s="1"/>
  <c r="N47" i="14"/>
  <c r="B47" i="14"/>
  <c r="P47" i="14" s="1"/>
  <c r="N46" i="14"/>
  <c r="B46" i="14"/>
  <c r="P46" i="14" s="1"/>
  <c r="N45" i="14"/>
  <c r="B45" i="14"/>
  <c r="P45" i="14" s="1"/>
  <c r="N44" i="14"/>
  <c r="B44" i="14"/>
  <c r="P44" i="14" s="1"/>
  <c r="N43" i="14"/>
  <c r="B43" i="14"/>
  <c r="P43" i="14" s="1"/>
  <c r="N42" i="14"/>
  <c r="B42" i="14"/>
  <c r="P42" i="14" s="1"/>
  <c r="N41" i="14"/>
  <c r="B41" i="14"/>
  <c r="P41" i="14" s="1"/>
  <c r="N40" i="14"/>
  <c r="B40" i="14"/>
  <c r="P40" i="14" s="1"/>
  <c r="N39" i="14"/>
  <c r="B39" i="14"/>
  <c r="P39" i="14" s="1"/>
  <c r="N38" i="14"/>
  <c r="B38" i="14"/>
  <c r="P38" i="14" s="1"/>
  <c r="N37" i="14"/>
  <c r="B37" i="14"/>
  <c r="P37" i="14" s="1"/>
  <c r="N36" i="14"/>
  <c r="B36" i="14"/>
  <c r="P36" i="14" s="1"/>
  <c r="N35" i="14"/>
  <c r="B35" i="14"/>
  <c r="P35" i="14" s="1"/>
  <c r="N34" i="14"/>
  <c r="B34" i="14"/>
  <c r="P34" i="14" s="1"/>
  <c r="N33" i="14"/>
  <c r="B33" i="14"/>
  <c r="P33" i="14" s="1"/>
  <c r="N32" i="14"/>
  <c r="B32" i="14"/>
  <c r="P32" i="14" s="1"/>
  <c r="N31" i="14"/>
  <c r="B31" i="14"/>
  <c r="P31" i="14" s="1"/>
  <c r="N30" i="14"/>
  <c r="B30" i="14"/>
  <c r="P30" i="14" s="1"/>
  <c r="N29" i="14"/>
  <c r="B29" i="14"/>
  <c r="P29" i="14" s="1"/>
  <c r="N28" i="14"/>
  <c r="B28" i="14"/>
  <c r="P28" i="14" s="1"/>
  <c r="N27" i="14"/>
  <c r="B27" i="14"/>
  <c r="P27" i="14" s="1"/>
  <c r="N26" i="14"/>
  <c r="B26" i="14"/>
  <c r="P26" i="14" s="1"/>
  <c r="N25" i="14"/>
  <c r="B25" i="14"/>
  <c r="P25" i="14" s="1"/>
  <c r="N24" i="14"/>
  <c r="B24" i="14"/>
  <c r="P24" i="14" s="1"/>
  <c r="N23" i="14"/>
  <c r="B23" i="14"/>
  <c r="P23" i="14" s="1"/>
  <c r="N22" i="14"/>
  <c r="B22" i="14"/>
  <c r="P22" i="14" s="1"/>
  <c r="N21" i="14"/>
  <c r="B21" i="14"/>
  <c r="P21" i="14" s="1"/>
  <c r="N20" i="14"/>
  <c r="B20" i="14"/>
  <c r="P20" i="14" s="1"/>
  <c r="N19" i="14"/>
  <c r="B19" i="14"/>
  <c r="P19" i="14" s="1"/>
  <c r="N18" i="14"/>
  <c r="B18" i="14"/>
  <c r="P18" i="14" s="1"/>
  <c r="N17" i="14"/>
  <c r="B17" i="14"/>
  <c r="P17" i="14" s="1"/>
  <c r="N16" i="14"/>
  <c r="B16" i="14"/>
  <c r="P16" i="14" s="1"/>
  <c r="N15" i="14"/>
  <c r="B15" i="14"/>
  <c r="P15" i="14" s="1"/>
  <c r="N14" i="14"/>
  <c r="B14" i="14"/>
  <c r="P14" i="14" s="1"/>
  <c r="N13" i="14"/>
  <c r="B13" i="14"/>
  <c r="P13" i="14" s="1"/>
  <c r="N12" i="14"/>
  <c r="B12" i="14"/>
  <c r="P12" i="14" s="1"/>
  <c r="N11" i="14"/>
  <c r="B11" i="14"/>
  <c r="P11" i="14" s="1"/>
  <c r="N10" i="14"/>
  <c r="B10" i="14"/>
  <c r="P10" i="14" s="1"/>
  <c r="N9" i="14"/>
  <c r="B9" i="14"/>
  <c r="P9" i="14" s="1"/>
  <c r="N8" i="14"/>
  <c r="B8" i="14"/>
  <c r="P8" i="14" s="1"/>
  <c r="N7" i="14"/>
  <c r="B7" i="14"/>
  <c r="P7" i="14" s="1"/>
  <c r="N6" i="14"/>
  <c r="B6" i="14"/>
  <c r="P6" i="14" s="1"/>
  <c r="N5" i="14"/>
  <c r="B5" i="14"/>
  <c r="P5" i="14" s="1"/>
  <c r="N4" i="14"/>
  <c r="B4" i="14"/>
  <c r="P4" i="14" s="1"/>
  <c r="N3" i="14"/>
  <c r="B3" i="14"/>
  <c r="P3" i="14" s="1"/>
  <c r="N2" i="14"/>
  <c r="B2" i="14"/>
  <c r="P2" i="14" s="1"/>
  <c r="I71" i="13"/>
  <c r="H2" i="13"/>
  <c r="C2" i="13" s="1"/>
  <c r="H3" i="13"/>
  <c r="C3" i="13" s="1"/>
  <c r="H4" i="13"/>
  <c r="C4" i="13" s="1"/>
  <c r="H5" i="13"/>
  <c r="C5" i="13" s="1"/>
  <c r="H6" i="13"/>
  <c r="C6" i="13" s="1"/>
  <c r="H7" i="13"/>
  <c r="C7" i="13" s="1"/>
  <c r="H8" i="13"/>
  <c r="C8" i="13" s="1"/>
  <c r="H9" i="13"/>
  <c r="C9" i="13" s="1"/>
  <c r="H10" i="13"/>
  <c r="C10" i="13" s="1"/>
  <c r="H11" i="13"/>
  <c r="C11" i="13" s="1"/>
  <c r="H12" i="13"/>
  <c r="C12" i="13" s="1"/>
  <c r="H13" i="13"/>
  <c r="C13" i="13" s="1"/>
  <c r="H14" i="13"/>
  <c r="C14" i="13" s="1"/>
  <c r="H15" i="13"/>
  <c r="C15" i="13" s="1"/>
  <c r="H16" i="13"/>
  <c r="C16" i="13" s="1"/>
  <c r="H17" i="13"/>
  <c r="C17" i="13" s="1"/>
  <c r="H18" i="13"/>
  <c r="C18" i="13" s="1"/>
  <c r="H19" i="13"/>
  <c r="C19" i="13" s="1"/>
  <c r="H20" i="13"/>
  <c r="C20" i="13" s="1"/>
  <c r="H21" i="13"/>
  <c r="C21" i="13" s="1"/>
  <c r="H22" i="13"/>
  <c r="C22" i="13" s="1"/>
  <c r="H23" i="13"/>
  <c r="C23" i="13" s="1"/>
  <c r="H24" i="13"/>
  <c r="C24" i="13" s="1"/>
  <c r="H25" i="13"/>
  <c r="C25" i="13" s="1"/>
  <c r="H26" i="13"/>
  <c r="C26" i="13" s="1"/>
  <c r="H27" i="13"/>
  <c r="C27" i="13" s="1"/>
  <c r="H28" i="13"/>
  <c r="C28" i="13" s="1"/>
  <c r="H29" i="13"/>
  <c r="C29" i="13" s="1"/>
  <c r="H30" i="13"/>
  <c r="C30" i="13" s="1"/>
  <c r="H31" i="13"/>
  <c r="C31" i="13" s="1"/>
  <c r="H32" i="13"/>
  <c r="C32" i="13" s="1"/>
  <c r="H33" i="13"/>
  <c r="C33" i="13" s="1"/>
  <c r="H34" i="13"/>
  <c r="C34" i="13" s="1"/>
  <c r="H35" i="13"/>
  <c r="C35" i="13" s="1"/>
  <c r="H36" i="13"/>
  <c r="C36" i="13" s="1"/>
  <c r="H37" i="13"/>
  <c r="C37" i="13" s="1"/>
  <c r="H38" i="13"/>
  <c r="C38" i="13" s="1"/>
  <c r="H39" i="13"/>
  <c r="C39" i="13" s="1"/>
  <c r="H40" i="13"/>
  <c r="C40" i="13" s="1"/>
  <c r="H41" i="13"/>
  <c r="C41" i="13" s="1"/>
  <c r="H42" i="13"/>
  <c r="C42" i="13" s="1"/>
  <c r="H43" i="13"/>
  <c r="C43" i="13" s="1"/>
  <c r="H44" i="13"/>
  <c r="C44" i="13" s="1"/>
  <c r="H45" i="13"/>
  <c r="C45" i="13" s="1"/>
  <c r="H46" i="13"/>
  <c r="C46" i="13" s="1"/>
  <c r="H47" i="13"/>
  <c r="C47" i="13" s="1"/>
  <c r="H48" i="13"/>
  <c r="C48" i="13" s="1"/>
  <c r="H49" i="13"/>
  <c r="C49" i="13" s="1"/>
  <c r="H50" i="13"/>
  <c r="C50" i="13" s="1"/>
  <c r="H51" i="13"/>
  <c r="C51" i="13" s="1"/>
  <c r="H52" i="13"/>
  <c r="C52" i="13" s="1"/>
  <c r="H53" i="13"/>
  <c r="C53" i="13" s="1"/>
  <c r="H54" i="13"/>
  <c r="C54" i="13" s="1"/>
  <c r="H55" i="13"/>
  <c r="C55" i="13" s="1"/>
  <c r="H56" i="13"/>
  <c r="C56" i="13" s="1"/>
  <c r="H57" i="13"/>
  <c r="C57" i="13" s="1"/>
  <c r="H58" i="13"/>
  <c r="C58" i="13" s="1"/>
  <c r="H59" i="13"/>
  <c r="C59" i="13" s="1"/>
  <c r="H60" i="13"/>
  <c r="C60" i="13" s="1"/>
  <c r="H61" i="13"/>
  <c r="C61" i="13" s="1"/>
  <c r="H62" i="13"/>
  <c r="C62" i="13" s="1"/>
  <c r="H63" i="13"/>
  <c r="C63" i="13" s="1"/>
  <c r="H64" i="13"/>
  <c r="C64" i="13" s="1"/>
  <c r="H65" i="13"/>
  <c r="C65" i="13" s="1"/>
  <c r="H66" i="13"/>
  <c r="C66" i="13" s="1"/>
  <c r="H67" i="13"/>
  <c r="C67" i="13" s="1"/>
  <c r="H68" i="13"/>
  <c r="C68" i="13" s="1"/>
  <c r="H69" i="13"/>
  <c r="C69" i="13" s="1"/>
  <c r="H70" i="13"/>
  <c r="C70" i="13" s="1"/>
  <c r="H71" i="13"/>
  <c r="C71" i="13" s="1"/>
  <c r="H72" i="13"/>
  <c r="C72" i="13" s="1"/>
  <c r="H73" i="13"/>
  <c r="C73" i="13" s="1"/>
  <c r="H74" i="13"/>
  <c r="C74" i="13" s="1"/>
  <c r="H75" i="13"/>
  <c r="C75" i="13" s="1"/>
  <c r="H76" i="13"/>
  <c r="C76" i="13" s="1"/>
  <c r="H77" i="13"/>
  <c r="C77" i="13" s="1"/>
  <c r="N77" i="13"/>
  <c r="B77" i="13"/>
  <c r="Q77" i="13" s="1"/>
  <c r="N76" i="13"/>
  <c r="B76" i="13"/>
  <c r="Q76" i="13" s="1"/>
  <c r="N75" i="13"/>
  <c r="B75" i="13"/>
  <c r="Q75" i="13" s="1"/>
  <c r="N74" i="13"/>
  <c r="B74" i="13"/>
  <c r="Q74" i="13" s="1"/>
  <c r="N73" i="13"/>
  <c r="B73" i="13"/>
  <c r="Q73" i="13" s="1"/>
  <c r="N72" i="13"/>
  <c r="B72" i="13"/>
  <c r="Q72" i="13" s="1"/>
  <c r="N71" i="13"/>
  <c r="B71" i="13"/>
  <c r="Q71" i="13" s="1"/>
  <c r="N70" i="13"/>
  <c r="B70" i="13"/>
  <c r="Q70" i="13" s="1"/>
  <c r="N69" i="13"/>
  <c r="B69" i="13"/>
  <c r="Q69" i="13" s="1"/>
  <c r="N68" i="13"/>
  <c r="B68" i="13"/>
  <c r="Q68" i="13" s="1"/>
  <c r="N67" i="13"/>
  <c r="B67" i="13"/>
  <c r="Q67" i="13" s="1"/>
  <c r="N66" i="13"/>
  <c r="B66" i="13"/>
  <c r="Q66" i="13" s="1"/>
  <c r="N65" i="13"/>
  <c r="B65" i="13"/>
  <c r="Q65" i="13" s="1"/>
  <c r="N64" i="13"/>
  <c r="B64" i="13"/>
  <c r="Q64" i="13" s="1"/>
  <c r="N63" i="13"/>
  <c r="B63" i="13"/>
  <c r="Q63" i="13" s="1"/>
  <c r="N62" i="13"/>
  <c r="B62" i="13"/>
  <c r="Q62" i="13" s="1"/>
  <c r="N61" i="13"/>
  <c r="B61" i="13"/>
  <c r="Q61" i="13" s="1"/>
  <c r="N60" i="13"/>
  <c r="B60" i="13"/>
  <c r="Q60" i="13" s="1"/>
  <c r="N59" i="13"/>
  <c r="B59" i="13"/>
  <c r="Q59" i="13" s="1"/>
  <c r="N58" i="13"/>
  <c r="B58" i="13"/>
  <c r="Q58" i="13" s="1"/>
  <c r="N57" i="13"/>
  <c r="B57" i="13"/>
  <c r="Q57" i="13" s="1"/>
  <c r="N56" i="13"/>
  <c r="B56" i="13"/>
  <c r="Q56" i="13" s="1"/>
  <c r="N55" i="13"/>
  <c r="B55" i="13"/>
  <c r="Q55" i="13" s="1"/>
  <c r="N54" i="13"/>
  <c r="B54" i="13"/>
  <c r="Q54" i="13" s="1"/>
  <c r="N53" i="13"/>
  <c r="B53" i="13"/>
  <c r="Q53" i="13" s="1"/>
  <c r="N52" i="13"/>
  <c r="B52" i="13"/>
  <c r="Q52" i="13" s="1"/>
  <c r="N51" i="13"/>
  <c r="B51" i="13"/>
  <c r="Q51" i="13" s="1"/>
  <c r="N50" i="13"/>
  <c r="B50" i="13"/>
  <c r="Q50" i="13" s="1"/>
  <c r="N49" i="13"/>
  <c r="B49" i="13"/>
  <c r="Q49" i="13" s="1"/>
  <c r="N48" i="13"/>
  <c r="B48" i="13"/>
  <c r="Q48" i="13" s="1"/>
  <c r="Q47" i="13"/>
  <c r="N47" i="13"/>
  <c r="B47" i="13"/>
  <c r="N46" i="13"/>
  <c r="B46" i="13"/>
  <c r="Q46" i="13" s="1"/>
  <c r="N45" i="13"/>
  <c r="B45" i="13"/>
  <c r="Q45" i="13" s="1"/>
  <c r="N44" i="13"/>
  <c r="B44" i="13"/>
  <c r="Q44" i="13" s="1"/>
  <c r="N43" i="13"/>
  <c r="B43" i="13"/>
  <c r="Q43" i="13" s="1"/>
  <c r="N42" i="13"/>
  <c r="B42" i="13"/>
  <c r="Q42" i="13" s="1"/>
  <c r="N41" i="13"/>
  <c r="B41" i="13"/>
  <c r="Q41" i="13" s="1"/>
  <c r="N40" i="13"/>
  <c r="B40" i="13"/>
  <c r="Q40" i="13" s="1"/>
  <c r="N39" i="13"/>
  <c r="J39" i="13"/>
  <c r="B39" i="13"/>
  <c r="Q39" i="13" s="1"/>
  <c r="N38" i="13"/>
  <c r="J38" i="13"/>
  <c r="B38" i="13"/>
  <c r="Q38" i="13" s="1"/>
  <c r="N37" i="13"/>
  <c r="B37" i="13"/>
  <c r="Q37" i="13" s="1"/>
  <c r="N36" i="13"/>
  <c r="B36" i="13"/>
  <c r="Q36" i="13" s="1"/>
  <c r="N35" i="13"/>
  <c r="B35" i="13"/>
  <c r="Q35" i="13" s="1"/>
  <c r="N34" i="13"/>
  <c r="B34" i="13"/>
  <c r="Q34" i="13" s="1"/>
  <c r="N33" i="13"/>
  <c r="B33" i="13"/>
  <c r="Q33" i="13" s="1"/>
  <c r="N32" i="13"/>
  <c r="J32" i="13"/>
  <c r="B32" i="13"/>
  <c r="Q32" i="13" s="1"/>
  <c r="N31" i="13"/>
  <c r="B31" i="13"/>
  <c r="Q31" i="13" s="1"/>
  <c r="N30" i="13"/>
  <c r="B30" i="13"/>
  <c r="Q30" i="13" s="1"/>
  <c r="N29" i="13"/>
  <c r="B29" i="13"/>
  <c r="Q29" i="13" s="1"/>
  <c r="N28" i="13"/>
  <c r="B28" i="13"/>
  <c r="Q28" i="13" s="1"/>
  <c r="N27" i="13"/>
  <c r="B27" i="13"/>
  <c r="Q27" i="13" s="1"/>
  <c r="N26" i="13"/>
  <c r="B26" i="13"/>
  <c r="Q26" i="13" s="1"/>
  <c r="N25" i="13"/>
  <c r="B25" i="13"/>
  <c r="Q25" i="13" s="1"/>
  <c r="N24" i="13"/>
  <c r="B24" i="13"/>
  <c r="Q24" i="13" s="1"/>
  <c r="N23" i="13"/>
  <c r="B23" i="13"/>
  <c r="Q23" i="13" s="1"/>
  <c r="N22" i="13"/>
  <c r="B22" i="13"/>
  <c r="Q22" i="13" s="1"/>
  <c r="N21" i="13"/>
  <c r="B21" i="13"/>
  <c r="Q21" i="13" s="1"/>
  <c r="N20" i="13"/>
  <c r="B20" i="13"/>
  <c r="Q20" i="13" s="1"/>
  <c r="N19" i="13"/>
  <c r="B19" i="13"/>
  <c r="Q19" i="13" s="1"/>
  <c r="N18" i="13"/>
  <c r="B18" i="13"/>
  <c r="Q18" i="13" s="1"/>
  <c r="N17" i="13"/>
  <c r="B17" i="13"/>
  <c r="Q17" i="13" s="1"/>
  <c r="N16" i="13"/>
  <c r="B16" i="13"/>
  <c r="Q16" i="13" s="1"/>
  <c r="N15" i="13"/>
  <c r="B15" i="13"/>
  <c r="Q15" i="13" s="1"/>
  <c r="N14" i="13"/>
  <c r="B14" i="13"/>
  <c r="Q14" i="13" s="1"/>
  <c r="N13" i="13"/>
  <c r="B13" i="13"/>
  <c r="Q13" i="13" s="1"/>
  <c r="N12" i="13"/>
  <c r="B12" i="13"/>
  <c r="Q12" i="13" s="1"/>
  <c r="N11" i="13"/>
  <c r="B11" i="13"/>
  <c r="Q11" i="13" s="1"/>
  <c r="N10" i="13"/>
  <c r="B10" i="13"/>
  <c r="Q10" i="13" s="1"/>
  <c r="N9" i="13"/>
  <c r="B9" i="13"/>
  <c r="Q9" i="13" s="1"/>
  <c r="N8" i="13"/>
  <c r="B8" i="13"/>
  <c r="Q8" i="13" s="1"/>
  <c r="N7" i="13"/>
  <c r="B7" i="13"/>
  <c r="Q7" i="13" s="1"/>
  <c r="N6" i="13"/>
  <c r="B6" i="13"/>
  <c r="Q6" i="13" s="1"/>
  <c r="N5" i="13"/>
  <c r="B5" i="13"/>
  <c r="Q5" i="13" s="1"/>
  <c r="N4" i="13"/>
  <c r="B4" i="13"/>
  <c r="Q4" i="13" s="1"/>
  <c r="N3" i="13"/>
  <c r="B3" i="13"/>
  <c r="Q3" i="13" s="1"/>
  <c r="N2" i="13"/>
  <c r="B2" i="13"/>
  <c r="Q2" i="13" s="1"/>
  <c r="J21" i="12"/>
  <c r="J38" i="12"/>
  <c r="J39" i="12"/>
  <c r="J43" i="12"/>
  <c r="J51" i="12"/>
  <c r="I23" i="12"/>
  <c r="I42" i="12"/>
  <c r="I54" i="12"/>
  <c r="I55" i="12"/>
  <c r="I56" i="12"/>
  <c r="I59" i="12"/>
  <c r="H2" i="12"/>
  <c r="C2" i="12" s="1"/>
  <c r="H3" i="12"/>
  <c r="C3" i="12" s="1"/>
  <c r="H4" i="12"/>
  <c r="C4" i="12" s="1"/>
  <c r="H5" i="12"/>
  <c r="C5" i="12" s="1"/>
  <c r="H6" i="12"/>
  <c r="C6" i="12" s="1"/>
  <c r="H7" i="12"/>
  <c r="C7" i="12" s="1"/>
  <c r="H8" i="12"/>
  <c r="C8" i="12" s="1"/>
  <c r="H9" i="12"/>
  <c r="C9" i="12" s="1"/>
  <c r="H10" i="12"/>
  <c r="C10" i="12" s="1"/>
  <c r="H11" i="12"/>
  <c r="C11" i="12" s="1"/>
  <c r="H12" i="12"/>
  <c r="C12" i="12" s="1"/>
  <c r="H13" i="12"/>
  <c r="C13" i="12" s="1"/>
  <c r="H14" i="12"/>
  <c r="C14" i="12" s="1"/>
  <c r="H15" i="12"/>
  <c r="C15" i="12" s="1"/>
  <c r="H16" i="12"/>
  <c r="C16" i="12" s="1"/>
  <c r="H17" i="12"/>
  <c r="C17" i="12" s="1"/>
  <c r="H18" i="12"/>
  <c r="C18" i="12" s="1"/>
  <c r="H19" i="12"/>
  <c r="C19" i="12" s="1"/>
  <c r="H20" i="12"/>
  <c r="C20" i="12" s="1"/>
  <c r="H21" i="12"/>
  <c r="C21" i="12" s="1"/>
  <c r="H22" i="12"/>
  <c r="C22" i="12" s="1"/>
  <c r="H23" i="12"/>
  <c r="C23" i="12" s="1"/>
  <c r="H24" i="12"/>
  <c r="C24" i="12" s="1"/>
  <c r="H25" i="12"/>
  <c r="C25" i="12" s="1"/>
  <c r="H26" i="12"/>
  <c r="C26" i="12" s="1"/>
  <c r="H27" i="12"/>
  <c r="C27" i="12" s="1"/>
  <c r="H28" i="12"/>
  <c r="C28" i="12" s="1"/>
  <c r="H29" i="12"/>
  <c r="C29" i="12" s="1"/>
  <c r="H30" i="12"/>
  <c r="C30" i="12" s="1"/>
  <c r="H31" i="12"/>
  <c r="C31" i="12" s="1"/>
  <c r="H32" i="12"/>
  <c r="C32" i="12" s="1"/>
  <c r="H33" i="12"/>
  <c r="C33" i="12" s="1"/>
  <c r="H34" i="12"/>
  <c r="C34" i="12" s="1"/>
  <c r="H35" i="12"/>
  <c r="C35" i="12" s="1"/>
  <c r="H36" i="12"/>
  <c r="C36" i="12" s="1"/>
  <c r="H37" i="12"/>
  <c r="C37" i="12" s="1"/>
  <c r="H38" i="12"/>
  <c r="C38" i="12" s="1"/>
  <c r="H39" i="12"/>
  <c r="C39" i="12" s="1"/>
  <c r="H40" i="12"/>
  <c r="C40" i="12" s="1"/>
  <c r="H41" i="12"/>
  <c r="C41" i="12" s="1"/>
  <c r="H42" i="12"/>
  <c r="C42" i="12" s="1"/>
  <c r="H43" i="12"/>
  <c r="C43" i="12" s="1"/>
  <c r="H44" i="12"/>
  <c r="C44" i="12" s="1"/>
  <c r="H45" i="12"/>
  <c r="C45" i="12" s="1"/>
  <c r="H46" i="12"/>
  <c r="C46" i="12" s="1"/>
  <c r="H47" i="12"/>
  <c r="C47" i="12" s="1"/>
  <c r="H48" i="12"/>
  <c r="C48" i="12" s="1"/>
  <c r="H49" i="12"/>
  <c r="C49" i="12" s="1"/>
  <c r="H50" i="12"/>
  <c r="C50" i="12" s="1"/>
  <c r="H51" i="12"/>
  <c r="C51" i="12" s="1"/>
  <c r="H52" i="12"/>
  <c r="C52" i="12" s="1"/>
  <c r="H53" i="12"/>
  <c r="C53" i="12" s="1"/>
  <c r="H54" i="12"/>
  <c r="C54" i="12" s="1"/>
  <c r="H55" i="12"/>
  <c r="C55" i="12" s="1"/>
  <c r="H56" i="12"/>
  <c r="C56" i="12" s="1"/>
  <c r="H57" i="12"/>
  <c r="C57" i="12" s="1"/>
  <c r="H58" i="12"/>
  <c r="C58" i="12" s="1"/>
  <c r="H59" i="12"/>
  <c r="C59" i="12" s="1"/>
  <c r="H60" i="12"/>
  <c r="C60" i="12" s="1"/>
  <c r="H61" i="12"/>
  <c r="C61" i="12" s="1"/>
  <c r="H62" i="12"/>
  <c r="C62" i="12" s="1"/>
  <c r="H63" i="12"/>
  <c r="C63" i="12" s="1"/>
  <c r="H64" i="12"/>
  <c r="C64" i="12" s="1"/>
  <c r="H65" i="12"/>
  <c r="C65" i="12" s="1"/>
  <c r="H66" i="12"/>
  <c r="C66" i="12" s="1"/>
  <c r="H67" i="12"/>
  <c r="C67" i="12" s="1"/>
  <c r="H68" i="12"/>
  <c r="C68" i="12" s="1"/>
  <c r="H69" i="12"/>
  <c r="C69" i="12" s="1"/>
  <c r="H70" i="12"/>
  <c r="C70" i="12" s="1"/>
  <c r="H71" i="12"/>
  <c r="C71" i="12" s="1"/>
  <c r="H72" i="12"/>
  <c r="C72" i="12" s="1"/>
  <c r="H73" i="12"/>
  <c r="C73" i="12" s="1"/>
  <c r="H74" i="12"/>
  <c r="C74" i="12" s="1"/>
  <c r="H75" i="12"/>
  <c r="C75" i="12" s="1"/>
  <c r="H76" i="12"/>
  <c r="C76" i="12" s="1"/>
  <c r="H77" i="12"/>
  <c r="C77" i="12" s="1"/>
  <c r="O77" i="12"/>
  <c r="B77" i="12"/>
  <c r="S77" i="12" s="1"/>
  <c r="O76" i="12"/>
  <c r="K76" i="12"/>
  <c r="B76" i="12"/>
  <c r="S76" i="12" s="1"/>
  <c r="O75" i="12"/>
  <c r="B75" i="12"/>
  <c r="S75" i="12" s="1"/>
  <c r="O74" i="12"/>
  <c r="B74" i="12"/>
  <c r="S74" i="12" s="1"/>
  <c r="O73" i="12"/>
  <c r="B73" i="12"/>
  <c r="S73" i="12" s="1"/>
  <c r="O72" i="12"/>
  <c r="B72" i="12"/>
  <c r="S72" i="12" s="1"/>
  <c r="O71" i="12"/>
  <c r="K71" i="12"/>
  <c r="B71" i="12"/>
  <c r="S71" i="12" s="1"/>
  <c r="O70" i="12"/>
  <c r="B70" i="12"/>
  <c r="S70" i="12" s="1"/>
  <c r="O69" i="12"/>
  <c r="B69" i="12"/>
  <c r="S69" i="12" s="1"/>
  <c r="O68" i="12"/>
  <c r="B68" i="12"/>
  <c r="S68" i="12" s="1"/>
  <c r="O67" i="12"/>
  <c r="B67" i="12"/>
  <c r="S67" i="12" s="1"/>
  <c r="O66" i="12"/>
  <c r="B66" i="12"/>
  <c r="S66" i="12" s="1"/>
  <c r="O65" i="12"/>
  <c r="B65" i="12"/>
  <c r="S65" i="12" s="1"/>
  <c r="O64" i="12"/>
  <c r="B64" i="12"/>
  <c r="S64" i="12" s="1"/>
  <c r="O63" i="12"/>
  <c r="B63" i="12"/>
  <c r="S63" i="12" s="1"/>
  <c r="O62" i="12"/>
  <c r="B62" i="12"/>
  <c r="S62" i="12" s="1"/>
  <c r="O61" i="12"/>
  <c r="B61" i="12"/>
  <c r="S61" i="12" s="1"/>
  <c r="O60" i="12"/>
  <c r="B60" i="12"/>
  <c r="S60" i="12" s="1"/>
  <c r="O59" i="12"/>
  <c r="B59" i="12"/>
  <c r="S59" i="12" s="1"/>
  <c r="O58" i="12"/>
  <c r="B58" i="12"/>
  <c r="S58" i="12" s="1"/>
  <c r="O57" i="12"/>
  <c r="B57" i="12"/>
  <c r="S57" i="12" s="1"/>
  <c r="O56" i="12"/>
  <c r="B56" i="12"/>
  <c r="S56" i="12" s="1"/>
  <c r="O55" i="12"/>
  <c r="B55" i="12"/>
  <c r="S55" i="12" s="1"/>
  <c r="O54" i="12"/>
  <c r="B54" i="12"/>
  <c r="S54" i="12" s="1"/>
  <c r="O53" i="12"/>
  <c r="B53" i="12"/>
  <c r="S53" i="12" s="1"/>
  <c r="O52" i="12"/>
  <c r="B52" i="12"/>
  <c r="S52" i="12" s="1"/>
  <c r="O51" i="12"/>
  <c r="B51" i="12"/>
  <c r="S51" i="12" s="1"/>
  <c r="O50" i="12"/>
  <c r="B50" i="12"/>
  <c r="S50" i="12" s="1"/>
  <c r="O49" i="12"/>
  <c r="B49" i="12"/>
  <c r="S49" i="12" s="1"/>
  <c r="O48" i="12"/>
  <c r="B48" i="12"/>
  <c r="S48" i="12" s="1"/>
  <c r="O47" i="12"/>
  <c r="B47" i="12"/>
  <c r="S47" i="12" s="1"/>
  <c r="O46" i="12"/>
  <c r="B46" i="12"/>
  <c r="S46" i="12" s="1"/>
  <c r="O45" i="12"/>
  <c r="B45" i="12"/>
  <c r="S45" i="12" s="1"/>
  <c r="O44" i="12"/>
  <c r="B44" i="12"/>
  <c r="S44" i="12" s="1"/>
  <c r="O43" i="12"/>
  <c r="B43" i="12"/>
  <c r="S43" i="12" s="1"/>
  <c r="O42" i="12"/>
  <c r="K42" i="12"/>
  <c r="B42" i="12"/>
  <c r="S42" i="12" s="1"/>
  <c r="O41" i="12"/>
  <c r="B41" i="12"/>
  <c r="S41" i="12" s="1"/>
  <c r="O40" i="12"/>
  <c r="B40" i="12"/>
  <c r="S40" i="12" s="1"/>
  <c r="O39" i="12"/>
  <c r="B39" i="12"/>
  <c r="S39" i="12" s="1"/>
  <c r="O38" i="12"/>
  <c r="B38" i="12"/>
  <c r="S38" i="12" s="1"/>
  <c r="O37" i="12"/>
  <c r="B37" i="12"/>
  <c r="S37" i="12" s="1"/>
  <c r="O36" i="12"/>
  <c r="B36" i="12"/>
  <c r="S36" i="12" s="1"/>
  <c r="O35" i="12"/>
  <c r="B35" i="12"/>
  <c r="S35" i="12" s="1"/>
  <c r="O34" i="12"/>
  <c r="B34" i="12"/>
  <c r="S34" i="12" s="1"/>
  <c r="O33" i="12"/>
  <c r="B33" i="12"/>
  <c r="S33" i="12" s="1"/>
  <c r="O32" i="12"/>
  <c r="B32" i="12"/>
  <c r="S32" i="12" s="1"/>
  <c r="O31" i="12"/>
  <c r="B31" i="12"/>
  <c r="S31" i="12" s="1"/>
  <c r="O30" i="12"/>
  <c r="B30" i="12"/>
  <c r="S30" i="12" s="1"/>
  <c r="O29" i="12"/>
  <c r="B29" i="12"/>
  <c r="S29" i="12" s="1"/>
  <c r="O28" i="12"/>
  <c r="B28" i="12"/>
  <c r="S28" i="12" s="1"/>
  <c r="O27" i="12"/>
  <c r="B27" i="12"/>
  <c r="S27" i="12" s="1"/>
  <c r="O26" i="12"/>
  <c r="B26" i="12"/>
  <c r="S26" i="12" s="1"/>
  <c r="O25" i="12"/>
  <c r="B25" i="12"/>
  <c r="S25" i="12" s="1"/>
  <c r="O24" i="12"/>
  <c r="B24" i="12"/>
  <c r="S24" i="12" s="1"/>
  <c r="O23" i="12"/>
  <c r="B23" i="12"/>
  <c r="S23" i="12" s="1"/>
  <c r="O22" i="12"/>
  <c r="B22" i="12"/>
  <c r="S22" i="12" s="1"/>
  <c r="O21" i="12"/>
  <c r="B21" i="12"/>
  <c r="S21" i="12" s="1"/>
  <c r="O20" i="12"/>
  <c r="B20" i="12"/>
  <c r="S20" i="12" s="1"/>
  <c r="O19" i="12"/>
  <c r="B19" i="12"/>
  <c r="S19" i="12" s="1"/>
  <c r="O18" i="12"/>
  <c r="B18" i="12"/>
  <c r="S18" i="12" s="1"/>
  <c r="O17" i="12"/>
  <c r="B17" i="12"/>
  <c r="S17" i="12" s="1"/>
  <c r="O16" i="12"/>
  <c r="B16" i="12"/>
  <c r="S16" i="12" s="1"/>
  <c r="O15" i="12"/>
  <c r="B15" i="12"/>
  <c r="S15" i="12" s="1"/>
  <c r="O14" i="12"/>
  <c r="B14" i="12"/>
  <c r="S14" i="12" s="1"/>
  <c r="O13" i="12"/>
  <c r="B13" i="12"/>
  <c r="S13" i="12" s="1"/>
  <c r="O12" i="12"/>
  <c r="B12" i="12"/>
  <c r="S12" i="12" s="1"/>
  <c r="O11" i="12"/>
  <c r="K11" i="12"/>
  <c r="B11" i="12"/>
  <c r="S11" i="12" s="1"/>
  <c r="O10" i="12"/>
  <c r="K10" i="12"/>
  <c r="B10" i="12"/>
  <c r="S10" i="12" s="1"/>
  <c r="O9" i="12"/>
  <c r="B9" i="12"/>
  <c r="S9" i="12" s="1"/>
  <c r="O8" i="12"/>
  <c r="B8" i="12"/>
  <c r="S8" i="12" s="1"/>
  <c r="O7" i="12"/>
  <c r="B7" i="12"/>
  <c r="S7" i="12" s="1"/>
  <c r="O6" i="12"/>
  <c r="B6" i="12"/>
  <c r="S6" i="12" s="1"/>
  <c r="O5" i="12"/>
  <c r="B5" i="12"/>
  <c r="S5" i="12" s="1"/>
  <c r="O4" i="12"/>
  <c r="B4" i="12"/>
  <c r="S4" i="12" s="1"/>
  <c r="O3" i="12"/>
  <c r="B3" i="12"/>
  <c r="S3" i="12" s="1"/>
  <c r="O2" i="12"/>
  <c r="B2" i="12"/>
  <c r="S2" i="12" s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E51" i="3" s="1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E76" i="3" s="1"/>
  <c r="B77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E28" i="3"/>
  <c r="P54" i="9"/>
  <c r="J19" i="9"/>
  <c r="M2" i="8"/>
  <c r="N2" i="8" s="1"/>
  <c r="M3" i="8"/>
  <c r="N3" i="8" s="1"/>
  <c r="M4" i="8"/>
  <c r="N4" i="8" s="1"/>
  <c r="M5" i="8"/>
  <c r="N5" i="8" s="1"/>
  <c r="M6" i="8"/>
  <c r="N6" i="8" s="1"/>
  <c r="M7" i="8"/>
  <c r="N7" i="8" s="1"/>
  <c r="M8" i="8"/>
  <c r="N8" i="8" s="1"/>
  <c r="M9" i="8"/>
  <c r="N9" i="8" s="1"/>
  <c r="M10" i="8"/>
  <c r="N10" i="8" s="1"/>
  <c r="M11" i="8"/>
  <c r="N11" i="8" s="1"/>
  <c r="M12" i="8"/>
  <c r="N12" i="8" s="1"/>
  <c r="M13" i="8"/>
  <c r="N13" i="8" s="1"/>
  <c r="M14" i="8"/>
  <c r="N14" i="8" s="1"/>
  <c r="M15" i="8"/>
  <c r="N15" i="8" s="1"/>
  <c r="M16" i="8"/>
  <c r="N16" i="8" s="1"/>
  <c r="M17" i="8"/>
  <c r="N17" i="8" s="1"/>
  <c r="M18" i="8"/>
  <c r="N18" i="8" s="1"/>
  <c r="M19" i="8"/>
  <c r="N19" i="8" s="1"/>
  <c r="M20" i="8"/>
  <c r="N20" i="8" s="1"/>
  <c r="M21" i="8"/>
  <c r="N21" i="8" s="1"/>
  <c r="M22" i="8"/>
  <c r="N22" i="8" s="1"/>
  <c r="M23" i="8"/>
  <c r="N23" i="8" s="1"/>
  <c r="M24" i="8"/>
  <c r="N24" i="8" s="1"/>
  <c r="M25" i="8"/>
  <c r="N25" i="8" s="1"/>
  <c r="M26" i="8"/>
  <c r="N26" i="8" s="1"/>
  <c r="M27" i="8"/>
  <c r="N27" i="8" s="1"/>
  <c r="M28" i="8"/>
  <c r="N28" i="8" s="1"/>
  <c r="M29" i="8"/>
  <c r="N29" i="8" s="1"/>
  <c r="M30" i="8"/>
  <c r="N30" i="8" s="1"/>
  <c r="M31" i="8"/>
  <c r="N31" i="8" s="1"/>
  <c r="M32" i="8"/>
  <c r="N32" i="8" s="1"/>
  <c r="M33" i="8"/>
  <c r="N33" i="8" s="1"/>
  <c r="M34" i="8"/>
  <c r="N34" i="8" s="1"/>
  <c r="M35" i="8"/>
  <c r="N35" i="8" s="1"/>
  <c r="M36" i="8"/>
  <c r="N36" i="8" s="1"/>
  <c r="M37" i="8"/>
  <c r="N37" i="8" s="1"/>
  <c r="M38" i="8"/>
  <c r="N38" i="8" s="1"/>
  <c r="M39" i="8"/>
  <c r="N39" i="8" s="1"/>
  <c r="M40" i="8"/>
  <c r="N40" i="8" s="1"/>
  <c r="M41" i="8"/>
  <c r="N41" i="8" s="1"/>
  <c r="M42" i="8"/>
  <c r="N42" i="8" s="1"/>
  <c r="M43" i="8"/>
  <c r="N43" i="8" s="1"/>
  <c r="M44" i="8"/>
  <c r="N44" i="8" s="1"/>
  <c r="M45" i="8"/>
  <c r="N45" i="8" s="1"/>
  <c r="M46" i="8"/>
  <c r="N46" i="8" s="1"/>
  <c r="M47" i="8"/>
  <c r="N47" i="8" s="1"/>
  <c r="M48" i="8"/>
  <c r="N48" i="8" s="1"/>
  <c r="M49" i="8"/>
  <c r="N49" i="8" s="1"/>
  <c r="M50" i="8"/>
  <c r="N50" i="8" s="1"/>
  <c r="M51" i="8"/>
  <c r="N51" i="8" s="1"/>
  <c r="M52" i="8"/>
  <c r="N52" i="8" s="1"/>
  <c r="M53" i="8"/>
  <c r="N53" i="8" s="1"/>
  <c r="M54" i="8"/>
  <c r="N54" i="8" s="1"/>
  <c r="M55" i="8"/>
  <c r="N55" i="8" s="1"/>
  <c r="M56" i="8"/>
  <c r="N56" i="8" s="1"/>
  <c r="M57" i="8"/>
  <c r="N57" i="8" s="1"/>
  <c r="M58" i="8"/>
  <c r="N58" i="8" s="1"/>
  <c r="M59" i="8"/>
  <c r="N59" i="8" s="1"/>
  <c r="M60" i="8"/>
  <c r="N60" i="8" s="1"/>
  <c r="M61" i="8"/>
  <c r="N61" i="8" s="1"/>
  <c r="M62" i="8"/>
  <c r="N62" i="8" s="1"/>
  <c r="M63" i="8"/>
  <c r="N63" i="8" s="1"/>
  <c r="M64" i="8"/>
  <c r="N64" i="8" s="1"/>
  <c r="M65" i="8"/>
  <c r="N65" i="8" s="1"/>
  <c r="M66" i="8"/>
  <c r="N66" i="8" s="1"/>
  <c r="M67" i="8"/>
  <c r="N67" i="8" s="1"/>
  <c r="M68" i="8"/>
  <c r="N68" i="8" s="1"/>
  <c r="M69" i="8"/>
  <c r="N69" i="8" s="1"/>
  <c r="M70" i="8"/>
  <c r="N70" i="8" s="1"/>
  <c r="M71" i="8"/>
  <c r="N71" i="8" s="1"/>
  <c r="M72" i="8"/>
  <c r="N72" i="8" s="1"/>
  <c r="M73" i="8"/>
  <c r="N73" i="8" s="1"/>
  <c r="M74" i="8"/>
  <c r="N74" i="8" s="1"/>
  <c r="M75" i="8"/>
  <c r="N75" i="8" s="1"/>
  <c r="M76" i="8"/>
  <c r="N76" i="8" s="1"/>
  <c r="M77" i="8"/>
  <c r="N77" i="8" s="1"/>
  <c r="K2" i="8"/>
  <c r="L2" i="8" s="1"/>
  <c r="K3" i="8"/>
  <c r="L3" i="8" s="1"/>
  <c r="K4" i="8"/>
  <c r="L4" i="8" s="1"/>
  <c r="K5" i="8"/>
  <c r="L5" i="8" s="1"/>
  <c r="K6" i="8"/>
  <c r="L6" i="8" s="1"/>
  <c r="K7" i="8"/>
  <c r="L7" i="8" s="1"/>
  <c r="K8" i="8"/>
  <c r="L8" i="8" s="1"/>
  <c r="K9" i="8"/>
  <c r="L9" i="8" s="1"/>
  <c r="K10" i="8"/>
  <c r="L10" i="8" s="1"/>
  <c r="K11" i="8"/>
  <c r="L11" i="8" s="1"/>
  <c r="K12" i="8"/>
  <c r="L12" i="8" s="1"/>
  <c r="K13" i="8"/>
  <c r="L13" i="8" s="1"/>
  <c r="K14" i="8"/>
  <c r="L14" i="8" s="1"/>
  <c r="K15" i="8"/>
  <c r="L15" i="8" s="1"/>
  <c r="K16" i="8"/>
  <c r="L16" i="8" s="1"/>
  <c r="K17" i="8"/>
  <c r="L17" i="8" s="1"/>
  <c r="K18" i="8"/>
  <c r="L18" i="8" s="1"/>
  <c r="K19" i="8"/>
  <c r="L19" i="8" s="1"/>
  <c r="K20" i="8"/>
  <c r="L20" i="8" s="1"/>
  <c r="K21" i="8"/>
  <c r="L21" i="8" s="1"/>
  <c r="K22" i="8"/>
  <c r="L22" i="8" s="1"/>
  <c r="K23" i="8"/>
  <c r="L23" i="8" s="1"/>
  <c r="K24" i="8"/>
  <c r="L24" i="8" s="1"/>
  <c r="K25" i="8"/>
  <c r="L25" i="8" s="1"/>
  <c r="K26" i="8"/>
  <c r="L26" i="8" s="1"/>
  <c r="K27" i="8"/>
  <c r="L27" i="8" s="1"/>
  <c r="K28" i="8"/>
  <c r="L28" i="8" s="1"/>
  <c r="K29" i="8"/>
  <c r="L29" i="8" s="1"/>
  <c r="K30" i="8"/>
  <c r="L30" i="8" s="1"/>
  <c r="K31" i="8"/>
  <c r="L31" i="8" s="1"/>
  <c r="K32" i="8"/>
  <c r="L32" i="8" s="1"/>
  <c r="K33" i="8"/>
  <c r="L33" i="8" s="1"/>
  <c r="K34" i="8"/>
  <c r="L34" i="8" s="1"/>
  <c r="K35" i="8"/>
  <c r="L35" i="8" s="1"/>
  <c r="K36" i="8"/>
  <c r="L36" i="8" s="1"/>
  <c r="K37" i="8"/>
  <c r="L37" i="8" s="1"/>
  <c r="K38" i="8"/>
  <c r="L38" i="8" s="1"/>
  <c r="K39" i="8"/>
  <c r="L39" i="8" s="1"/>
  <c r="K40" i="8"/>
  <c r="L40" i="8" s="1"/>
  <c r="K41" i="8"/>
  <c r="L41" i="8" s="1"/>
  <c r="K42" i="8"/>
  <c r="L42" i="8" s="1"/>
  <c r="K43" i="8"/>
  <c r="L43" i="8" s="1"/>
  <c r="K44" i="8"/>
  <c r="L44" i="8" s="1"/>
  <c r="K45" i="8"/>
  <c r="L45" i="8" s="1"/>
  <c r="K46" i="8"/>
  <c r="L46" i="8" s="1"/>
  <c r="K47" i="8"/>
  <c r="L47" i="8" s="1"/>
  <c r="K48" i="8"/>
  <c r="L48" i="8" s="1"/>
  <c r="K49" i="8"/>
  <c r="L49" i="8" s="1"/>
  <c r="K50" i="8"/>
  <c r="L50" i="8" s="1"/>
  <c r="K51" i="8"/>
  <c r="L51" i="8" s="1"/>
  <c r="K52" i="8"/>
  <c r="L52" i="8" s="1"/>
  <c r="K53" i="8"/>
  <c r="L53" i="8" s="1"/>
  <c r="K54" i="8"/>
  <c r="L54" i="8" s="1"/>
  <c r="K55" i="8"/>
  <c r="L55" i="8" s="1"/>
  <c r="K56" i="8"/>
  <c r="L56" i="8" s="1"/>
  <c r="K57" i="8"/>
  <c r="L57" i="8" s="1"/>
  <c r="K58" i="8"/>
  <c r="L58" i="8" s="1"/>
  <c r="K59" i="8"/>
  <c r="L59" i="8" s="1"/>
  <c r="K60" i="8"/>
  <c r="L60" i="8" s="1"/>
  <c r="K61" i="8"/>
  <c r="L61" i="8" s="1"/>
  <c r="K62" i="8"/>
  <c r="L62" i="8" s="1"/>
  <c r="K63" i="8"/>
  <c r="L63" i="8" s="1"/>
  <c r="K64" i="8"/>
  <c r="L64" i="8" s="1"/>
  <c r="K65" i="8"/>
  <c r="L65" i="8" s="1"/>
  <c r="K66" i="8"/>
  <c r="L66" i="8" s="1"/>
  <c r="K67" i="8"/>
  <c r="L67" i="8" s="1"/>
  <c r="K68" i="8"/>
  <c r="L68" i="8" s="1"/>
  <c r="K69" i="8"/>
  <c r="L69" i="8" s="1"/>
  <c r="K70" i="8"/>
  <c r="L70" i="8" s="1"/>
  <c r="K71" i="8"/>
  <c r="L71" i="8" s="1"/>
  <c r="K72" i="8"/>
  <c r="L72" i="8" s="1"/>
  <c r="K73" i="8"/>
  <c r="L73" i="8" s="1"/>
  <c r="K74" i="8"/>
  <c r="L74" i="8" s="1"/>
  <c r="K75" i="8"/>
  <c r="L75" i="8" s="1"/>
  <c r="K76" i="8"/>
  <c r="L76" i="8" s="1"/>
  <c r="K77" i="8"/>
  <c r="L77" i="8" s="1"/>
  <c r="I2" i="8"/>
  <c r="J2" i="8" s="1"/>
  <c r="I3" i="8"/>
  <c r="J3" i="8" s="1"/>
  <c r="I4" i="8"/>
  <c r="J4" i="8" s="1"/>
  <c r="I5" i="8"/>
  <c r="J5" i="8" s="1"/>
  <c r="I6" i="8"/>
  <c r="J6" i="8" s="1"/>
  <c r="I7" i="8"/>
  <c r="J7" i="8" s="1"/>
  <c r="I8" i="8"/>
  <c r="J8" i="8" s="1"/>
  <c r="I9" i="8"/>
  <c r="J9" i="8" s="1"/>
  <c r="I10" i="8"/>
  <c r="J10" i="8" s="1"/>
  <c r="I11" i="8"/>
  <c r="J11" i="8" s="1"/>
  <c r="I12" i="8"/>
  <c r="J12" i="8" s="1"/>
  <c r="I13" i="8"/>
  <c r="J13" i="8" s="1"/>
  <c r="I14" i="8"/>
  <c r="J14" i="8" s="1"/>
  <c r="I15" i="8"/>
  <c r="J15" i="8" s="1"/>
  <c r="I16" i="8"/>
  <c r="J16" i="8" s="1"/>
  <c r="I17" i="8"/>
  <c r="J17" i="8" s="1"/>
  <c r="I18" i="8"/>
  <c r="J18" i="8" s="1"/>
  <c r="I19" i="8"/>
  <c r="J19" i="8" s="1"/>
  <c r="I20" i="8"/>
  <c r="J20" i="8" s="1"/>
  <c r="I21" i="8"/>
  <c r="J21" i="8" s="1"/>
  <c r="I22" i="8"/>
  <c r="J22" i="8" s="1"/>
  <c r="I23" i="8"/>
  <c r="J23" i="8" s="1"/>
  <c r="I24" i="8"/>
  <c r="J24" i="8" s="1"/>
  <c r="I25" i="8"/>
  <c r="J25" i="8" s="1"/>
  <c r="I26" i="8"/>
  <c r="J26" i="8" s="1"/>
  <c r="I27" i="8"/>
  <c r="J27" i="8" s="1"/>
  <c r="I28" i="8"/>
  <c r="J28" i="8" s="1"/>
  <c r="I29" i="8"/>
  <c r="J29" i="8" s="1"/>
  <c r="I30" i="8"/>
  <c r="J30" i="8" s="1"/>
  <c r="I31" i="8"/>
  <c r="J31" i="8" s="1"/>
  <c r="I32" i="8"/>
  <c r="J32" i="8" s="1"/>
  <c r="I33" i="8"/>
  <c r="J33" i="8" s="1"/>
  <c r="I34" i="8"/>
  <c r="J34" i="8" s="1"/>
  <c r="I35" i="8"/>
  <c r="J35" i="8" s="1"/>
  <c r="I36" i="8"/>
  <c r="J36" i="8" s="1"/>
  <c r="I37" i="8"/>
  <c r="J37" i="8" s="1"/>
  <c r="I38" i="8"/>
  <c r="J38" i="8" s="1"/>
  <c r="I39" i="8"/>
  <c r="J39" i="8" s="1"/>
  <c r="I40" i="8"/>
  <c r="J40" i="8" s="1"/>
  <c r="I41" i="8"/>
  <c r="J41" i="8" s="1"/>
  <c r="I42" i="8"/>
  <c r="J42" i="8" s="1"/>
  <c r="I43" i="8"/>
  <c r="J43" i="8" s="1"/>
  <c r="I44" i="8"/>
  <c r="J44" i="8" s="1"/>
  <c r="I45" i="8"/>
  <c r="J45" i="8" s="1"/>
  <c r="I46" i="8"/>
  <c r="J46" i="8" s="1"/>
  <c r="I47" i="8"/>
  <c r="J47" i="8" s="1"/>
  <c r="I48" i="8"/>
  <c r="J48" i="8" s="1"/>
  <c r="I49" i="8"/>
  <c r="J49" i="8" s="1"/>
  <c r="I50" i="8"/>
  <c r="J50" i="8" s="1"/>
  <c r="I51" i="8"/>
  <c r="J51" i="8" s="1"/>
  <c r="I52" i="8"/>
  <c r="J52" i="8" s="1"/>
  <c r="I53" i="8"/>
  <c r="J53" i="8" s="1"/>
  <c r="I54" i="8"/>
  <c r="J54" i="8" s="1"/>
  <c r="I55" i="8"/>
  <c r="J55" i="8" s="1"/>
  <c r="I56" i="8"/>
  <c r="J56" i="8" s="1"/>
  <c r="I57" i="8"/>
  <c r="J57" i="8" s="1"/>
  <c r="I58" i="8"/>
  <c r="J58" i="8" s="1"/>
  <c r="I59" i="8"/>
  <c r="J59" i="8" s="1"/>
  <c r="I60" i="8"/>
  <c r="J60" i="8" s="1"/>
  <c r="I61" i="8"/>
  <c r="J61" i="8" s="1"/>
  <c r="I62" i="8"/>
  <c r="J62" i="8" s="1"/>
  <c r="I63" i="8"/>
  <c r="J63" i="8" s="1"/>
  <c r="I64" i="8"/>
  <c r="J64" i="8" s="1"/>
  <c r="I65" i="8"/>
  <c r="J65" i="8" s="1"/>
  <c r="I66" i="8"/>
  <c r="J66" i="8" s="1"/>
  <c r="I67" i="8"/>
  <c r="J67" i="8" s="1"/>
  <c r="I68" i="8"/>
  <c r="J68" i="8" s="1"/>
  <c r="I69" i="8"/>
  <c r="J69" i="8" s="1"/>
  <c r="I70" i="8"/>
  <c r="J70" i="8" s="1"/>
  <c r="I71" i="8"/>
  <c r="J71" i="8" s="1"/>
  <c r="I72" i="8"/>
  <c r="J72" i="8" s="1"/>
  <c r="I73" i="8"/>
  <c r="J73" i="8" s="1"/>
  <c r="I74" i="8"/>
  <c r="J74" i="8" s="1"/>
  <c r="I75" i="8"/>
  <c r="J75" i="8" s="1"/>
  <c r="I76" i="8"/>
  <c r="J76" i="8" s="1"/>
  <c r="I77" i="8"/>
  <c r="J77" i="8" s="1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B2" i="8"/>
  <c r="O2" i="8" s="1"/>
  <c r="N2" i="5"/>
  <c r="K2" i="14" s="1"/>
  <c r="L2" i="14" s="1"/>
  <c r="N3" i="5"/>
  <c r="K3" i="14" s="1"/>
  <c r="L3" i="14" s="1"/>
  <c r="N4" i="5"/>
  <c r="K4" i="14" s="1"/>
  <c r="L4" i="14" s="1"/>
  <c r="N5" i="5"/>
  <c r="K5" i="14" s="1"/>
  <c r="L5" i="14" s="1"/>
  <c r="N6" i="5"/>
  <c r="K6" i="14" s="1"/>
  <c r="L6" i="14" s="1"/>
  <c r="N7" i="5"/>
  <c r="K7" i="14" s="1"/>
  <c r="L7" i="14" s="1"/>
  <c r="N8" i="5"/>
  <c r="K8" i="14" s="1"/>
  <c r="L8" i="14" s="1"/>
  <c r="N9" i="5"/>
  <c r="K9" i="14" s="1"/>
  <c r="L9" i="14" s="1"/>
  <c r="N10" i="5"/>
  <c r="K10" i="14" s="1"/>
  <c r="L10" i="14" s="1"/>
  <c r="N11" i="5"/>
  <c r="K11" i="14" s="1"/>
  <c r="L11" i="14" s="1"/>
  <c r="N12" i="5"/>
  <c r="K12" i="14" s="1"/>
  <c r="L12" i="14" s="1"/>
  <c r="N13" i="5"/>
  <c r="K13" i="14" s="1"/>
  <c r="L13" i="14" s="1"/>
  <c r="N14" i="5"/>
  <c r="K14" i="14" s="1"/>
  <c r="L14" i="14" s="1"/>
  <c r="N15" i="5"/>
  <c r="K15" i="14" s="1"/>
  <c r="L15" i="14" s="1"/>
  <c r="N16" i="5"/>
  <c r="K16" i="14" s="1"/>
  <c r="L16" i="14" s="1"/>
  <c r="N17" i="5"/>
  <c r="K17" i="14" s="1"/>
  <c r="L17" i="14" s="1"/>
  <c r="N18" i="5"/>
  <c r="K18" i="14" s="1"/>
  <c r="L18" i="14" s="1"/>
  <c r="N19" i="5"/>
  <c r="K19" i="14" s="1"/>
  <c r="L19" i="14" s="1"/>
  <c r="N20" i="5"/>
  <c r="K20" i="14" s="1"/>
  <c r="L20" i="14" s="1"/>
  <c r="N21" i="5"/>
  <c r="K21" i="14" s="1"/>
  <c r="L21" i="14" s="1"/>
  <c r="N22" i="5"/>
  <c r="K22" i="14" s="1"/>
  <c r="L22" i="14" s="1"/>
  <c r="N23" i="5"/>
  <c r="K23" i="14" s="1"/>
  <c r="L23" i="14" s="1"/>
  <c r="N24" i="5"/>
  <c r="K24" i="14" s="1"/>
  <c r="L24" i="14" s="1"/>
  <c r="N25" i="5"/>
  <c r="K25" i="14" s="1"/>
  <c r="L25" i="14" s="1"/>
  <c r="N26" i="5"/>
  <c r="K26" i="14" s="1"/>
  <c r="L26" i="14" s="1"/>
  <c r="N27" i="5"/>
  <c r="K27" i="14" s="1"/>
  <c r="L27" i="14" s="1"/>
  <c r="N28" i="5"/>
  <c r="K28" i="14" s="1"/>
  <c r="L28" i="14" s="1"/>
  <c r="N29" i="5"/>
  <c r="K29" i="14" s="1"/>
  <c r="L29" i="14" s="1"/>
  <c r="N30" i="5"/>
  <c r="K30" i="14" s="1"/>
  <c r="L30" i="14" s="1"/>
  <c r="N31" i="5"/>
  <c r="K31" i="14" s="1"/>
  <c r="L31" i="14" s="1"/>
  <c r="N32" i="5"/>
  <c r="K32" i="14" s="1"/>
  <c r="L32" i="14" s="1"/>
  <c r="N33" i="5"/>
  <c r="K33" i="14" s="1"/>
  <c r="L33" i="14" s="1"/>
  <c r="N34" i="5"/>
  <c r="K34" i="14" s="1"/>
  <c r="L34" i="14" s="1"/>
  <c r="N35" i="5"/>
  <c r="K35" i="14" s="1"/>
  <c r="L35" i="14" s="1"/>
  <c r="N36" i="5"/>
  <c r="K36" i="14" s="1"/>
  <c r="L36" i="14" s="1"/>
  <c r="N37" i="5"/>
  <c r="K37" i="14" s="1"/>
  <c r="L37" i="14" s="1"/>
  <c r="N38" i="5"/>
  <c r="K38" i="14" s="1"/>
  <c r="L38" i="14" s="1"/>
  <c r="N39" i="5"/>
  <c r="K39" i="14" s="1"/>
  <c r="L39" i="14" s="1"/>
  <c r="N40" i="5"/>
  <c r="K40" i="14" s="1"/>
  <c r="L40" i="14" s="1"/>
  <c r="N41" i="5"/>
  <c r="K41" i="14" s="1"/>
  <c r="L41" i="14" s="1"/>
  <c r="N42" i="5"/>
  <c r="K42" i="14" s="1"/>
  <c r="L42" i="14" s="1"/>
  <c r="N43" i="5"/>
  <c r="K43" i="14" s="1"/>
  <c r="L43" i="14" s="1"/>
  <c r="N44" i="5"/>
  <c r="K44" i="14" s="1"/>
  <c r="L44" i="14" s="1"/>
  <c r="N45" i="5"/>
  <c r="K45" i="14" s="1"/>
  <c r="L45" i="14" s="1"/>
  <c r="N46" i="5"/>
  <c r="K46" i="14" s="1"/>
  <c r="L46" i="14" s="1"/>
  <c r="N47" i="5"/>
  <c r="K47" i="14" s="1"/>
  <c r="L47" i="14" s="1"/>
  <c r="N48" i="5"/>
  <c r="K48" i="14" s="1"/>
  <c r="L48" i="14" s="1"/>
  <c r="N49" i="5"/>
  <c r="K49" i="14" s="1"/>
  <c r="L49" i="14" s="1"/>
  <c r="N50" i="5"/>
  <c r="K50" i="14" s="1"/>
  <c r="L50" i="14" s="1"/>
  <c r="N51" i="5"/>
  <c r="K51" i="14" s="1"/>
  <c r="L51" i="14" s="1"/>
  <c r="N52" i="5"/>
  <c r="K52" i="14" s="1"/>
  <c r="L52" i="14" s="1"/>
  <c r="N53" i="5"/>
  <c r="K53" i="14" s="1"/>
  <c r="L53" i="14" s="1"/>
  <c r="N54" i="5"/>
  <c r="K54" i="14" s="1"/>
  <c r="L54" i="14" s="1"/>
  <c r="N55" i="5"/>
  <c r="K55" i="14" s="1"/>
  <c r="L55" i="14" s="1"/>
  <c r="N56" i="5"/>
  <c r="K56" i="14" s="1"/>
  <c r="L56" i="14" s="1"/>
  <c r="N57" i="5"/>
  <c r="K57" i="14" s="1"/>
  <c r="L57" i="14" s="1"/>
  <c r="N58" i="5"/>
  <c r="K58" i="14" s="1"/>
  <c r="L58" i="14" s="1"/>
  <c r="N59" i="5"/>
  <c r="K59" i="14" s="1"/>
  <c r="L59" i="14" s="1"/>
  <c r="N60" i="5"/>
  <c r="K60" i="14" s="1"/>
  <c r="L60" i="14" s="1"/>
  <c r="N61" i="5"/>
  <c r="K61" i="14" s="1"/>
  <c r="L61" i="14" s="1"/>
  <c r="N62" i="5"/>
  <c r="K62" i="14" s="1"/>
  <c r="L62" i="14" s="1"/>
  <c r="N63" i="5"/>
  <c r="K63" i="14" s="1"/>
  <c r="L63" i="14" s="1"/>
  <c r="N64" i="5"/>
  <c r="K64" i="14" s="1"/>
  <c r="L64" i="14" s="1"/>
  <c r="N65" i="5"/>
  <c r="K65" i="14" s="1"/>
  <c r="L65" i="14" s="1"/>
  <c r="N66" i="5"/>
  <c r="K66" i="14" s="1"/>
  <c r="L66" i="14" s="1"/>
  <c r="N67" i="5"/>
  <c r="K67" i="14" s="1"/>
  <c r="L67" i="14" s="1"/>
  <c r="N68" i="5"/>
  <c r="K68" i="14" s="1"/>
  <c r="L68" i="14" s="1"/>
  <c r="N69" i="5"/>
  <c r="K69" i="14" s="1"/>
  <c r="L69" i="14" s="1"/>
  <c r="N70" i="5"/>
  <c r="K70" i="14" s="1"/>
  <c r="L70" i="14" s="1"/>
  <c r="N71" i="5"/>
  <c r="K71" i="14" s="1"/>
  <c r="L71" i="14" s="1"/>
  <c r="N72" i="5"/>
  <c r="K72" i="14" s="1"/>
  <c r="L72" i="14" s="1"/>
  <c r="N73" i="5"/>
  <c r="K73" i="14" s="1"/>
  <c r="L73" i="14" s="1"/>
  <c r="N74" i="5"/>
  <c r="K74" i="14" s="1"/>
  <c r="L74" i="14" s="1"/>
  <c r="N75" i="5"/>
  <c r="K75" i="14" s="1"/>
  <c r="L75" i="14" s="1"/>
  <c r="N76" i="5"/>
  <c r="K76" i="14" s="1"/>
  <c r="L76" i="14" s="1"/>
  <c r="N77" i="5"/>
  <c r="K77" i="14" s="1"/>
  <c r="L77" i="14" s="1"/>
  <c r="H2" i="9"/>
  <c r="C2" i="9" s="1"/>
  <c r="H3" i="9"/>
  <c r="C3" i="9" s="1"/>
  <c r="H4" i="9"/>
  <c r="C4" i="9" s="1"/>
  <c r="H5" i="9"/>
  <c r="C5" i="9" s="1"/>
  <c r="H6" i="9"/>
  <c r="C6" i="9" s="1"/>
  <c r="H7" i="9"/>
  <c r="C7" i="9" s="1"/>
  <c r="H8" i="9"/>
  <c r="C8" i="9" s="1"/>
  <c r="H9" i="9"/>
  <c r="C9" i="9" s="1"/>
  <c r="H10" i="9"/>
  <c r="C10" i="9" s="1"/>
  <c r="H11" i="9"/>
  <c r="C11" i="9" s="1"/>
  <c r="H12" i="9"/>
  <c r="C12" i="9" s="1"/>
  <c r="H13" i="9"/>
  <c r="C13" i="9" s="1"/>
  <c r="H14" i="9"/>
  <c r="C14" i="9" s="1"/>
  <c r="H15" i="9"/>
  <c r="C15" i="9" s="1"/>
  <c r="H16" i="9"/>
  <c r="C16" i="9" s="1"/>
  <c r="H17" i="9"/>
  <c r="C17" i="9" s="1"/>
  <c r="H18" i="9"/>
  <c r="C18" i="9" s="1"/>
  <c r="H19" i="9"/>
  <c r="C19" i="9" s="1"/>
  <c r="H20" i="9"/>
  <c r="C20" i="9" s="1"/>
  <c r="H21" i="9"/>
  <c r="C21" i="9" s="1"/>
  <c r="H22" i="9"/>
  <c r="C22" i="9" s="1"/>
  <c r="H23" i="9"/>
  <c r="C23" i="9" s="1"/>
  <c r="H24" i="9"/>
  <c r="C24" i="9" s="1"/>
  <c r="H25" i="9"/>
  <c r="C25" i="9" s="1"/>
  <c r="H26" i="9"/>
  <c r="C26" i="9" s="1"/>
  <c r="H27" i="9"/>
  <c r="C27" i="9" s="1"/>
  <c r="H28" i="9"/>
  <c r="C28" i="9" s="1"/>
  <c r="H29" i="9"/>
  <c r="C29" i="9" s="1"/>
  <c r="H30" i="9"/>
  <c r="C30" i="9" s="1"/>
  <c r="H31" i="9"/>
  <c r="C31" i="9" s="1"/>
  <c r="H32" i="9"/>
  <c r="C32" i="9" s="1"/>
  <c r="H33" i="9"/>
  <c r="C33" i="9" s="1"/>
  <c r="H34" i="9"/>
  <c r="C34" i="9" s="1"/>
  <c r="H35" i="9"/>
  <c r="C35" i="9" s="1"/>
  <c r="H36" i="9"/>
  <c r="C36" i="9" s="1"/>
  <c r="H37" i="9"/>
  <c r="C37" i="9" s="1"/>
  <c r="H38" i="9"/>
  <c r="C38" i="9" s="1"/>
  <c r="H39" i="9"/>
  <c r="C39" i="9" s="1"/>
  <c r="H40" i="9"/>
  <c r="C40" i="9" s="1"/>
  <c r="H41" i="9"/>
  <c r="C41" i="9" s="1"/>
  <c r="H42" i="9"/>
  <c r="C42" i="9" s="1"/>
  <c r="H43" i="9"/>
  <c r="C43" i="9" s="1"/>
  <c r="H44" i="9"/>
  <c r="C44" i="9" s="1"/>
  <c r="H45" i="9"/>
  <c r="C45" i="9" s="1"/>
  <c r="H46" i="9"/>
  <c r="C46" i="9" s="1"/>
  <c r="H47" i="9"/>
  <c r="C47" i="9" s="1"/>
  <c r="H48" i="9"/>
  <c r="C48" i="9" s="1"/>
  <c r="H49" i="9"/>
  <c r="C49" i="9" s="1"/>
  <c r="H50" i="9"/>
  <c r="C50" i="9" s="1"/>
  <c r="H51" i="9"/>
  <c r="C51" i="9" s="1"/>
  <c r="H52" i="9"/>
  <c r="C52" i="9" s="1"/>
  <c r="H53" i="9"/>
  <c r="C53" i="9" s="1"/>
  <c r="H54" i="9"/>
  <c r="C54" i="9" s="1"/>
  <c r="H55" i="9"/>
  <c r="C55" i="9" s="1"/>
  <c r="H56" i="9"/>
  <c r="C56" i="9" s="1"/>
  <c r="H57" i="9"/>
  <c r="C57" i="9" s="1"/>
  <c r="H58" i="9"/>
  <c r="C58" i="9" s="1"/>
  <c r="H59" i="9"/>
  <c r="C59" i="9" s="1"/>
  <c r="H60" i="9"/>
  <c r="C60" i="9" s="1"/>
  <c r="H61" i="9"/>
  <c r="C61" i="9" s="1"/>
  <c r="H62" i="9"/>
  <c r="C62" i="9" s="1"/>
  <c r="H63" i="9"/>
  <c r="C63" i="9" s="1"/>
  <c r="H64" i="9"/>
  <c r="C64" i="9" s="1"/>
  <c r="H65" i="9"/>
  <c r="C65" i="9" s="1"/>
  <c r="H66" i="9"/>
  <c r="C66" i="9" s="1"/>
  <c r="H67" i="9"/>
  <c r="C67" i="9" s="1"/>
  <c r="H68" i="9"/>
  <c r="C68" i="9" s="1"/>
  <c r="H69" i="9"/>
  <c r="C69" i="9" s="1"/>
  <c r="H70" i="9"/>
  <c r="C70" i="9" s="1"/>
  <c r="H71" i="9"/>
  <c r="C71" i="9" s="1"/>
  <c r="H72" i="9"/>
  <c r="C72" i="9" s="1"/>
  <c r="H73" i="9"/>
  <c r="C73" i="9" s="1"/>
  <c r="H74" i="9"/>
  <c r="C74" i="9" s="1"/>
  <c r="H75" i="9"/>
  <c r="C75" i="9" s="1"/>
  <c r="H76" i="9"/>
  <c r="C76" i="9" s="1"/>
  <c r="H77" i="9"/>
  <c r="C77" i="9" s="1"/>
  <c r="E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2" i="3"/>
  <c r="E5" i="3"/>
  <c r="E39" i="3"/>
  <c r="E40" i="3"/>
  <c r="E52" i="3"/>
  <c r="E54" i="3"/>
  <c r="E64" i="3"/>
  <c r="E66" i="3"/>
  <c r="B77" i="9"/>
  <c r="Q77" i="9" s="1"/>
  <c r="B76" i="9"/>
  <c r="Q76" i="9" s="1"/>
  <c r="B75" i="9"/>
  <c r="Q75" i="9" s="1"/>
  <c r="B74" i="9"/>
  <c r="Q74" i="9" s="1"/>
  <c r="B73" i="9"/>
  <c r="Q73" i="9" s="1"/>
  <c r="B72" i="9"/>
  <c r="Q72" i="9" s="1"/>
  <c r="B71" i="9"/>
  <c r="Q71" i="9" s="1"/>
  <c r="B70" i="9"/>
  <c r="Q70" i="9" s="1"/>
  <c r="B69" i="9"/>
  <c r="Q69" i="9" s="1"/>
  <c r="B68" i="9"/>
  <c r="Q68" i="9" s="1"/>
  <c r="B67" i="9"/>
  <c r="Q67" i="9" s="1"/>
  <c r="B66" i="9"/>
  <c r="Q66" i="9" s="1"/>
  <c r="B65" i="9"/>
  <c r="Q65" i="9" s="1"/>
  <c r="B64" i="9"/>
  <c r="Q64" i="9" s="1"/>
  <c r="B63" i="9"/>
  <c r="Q63" i="9" s="1"/>
  <c r="B62" i="9"/>
  <c r="Q62" i="9" s="1"/>
  <c r="B61" i="9"/>
  <c r="Q61" i="9" s="1"/>
  <c r="B60" i="9"/>
  <c r="Q60" i="9" s="1"/>
  <c r="B59" i="9"/>
  <c r="Q59" i="9" s="1"/>
  <c r="B58" i="9"/>
  <c r="Q58" i="9" s="1"/>
  <c r="B57" i="9"/>
  <c r="Q57" i="9" s="1"/>
  <c r="B56" i="9"/>
  <c r="Q56" i="9" s="1"/>
  <c r="B55" i="9"/>
  <c r="Q55" i="9" s="1"/>
  <c r="B54" i="9"/>
  <c r="Q54" i="9" s="1"/>
  <c r="B53" i="9"/>
  <c r="Q53" i="9" s="1"/>
  <c r="B52" i="9"/>
  <c r="Q52" i="9" s="1"/>
  <c r="B51" i="9"/>
  <c r="Q51" i="9" s="1"/>
  <c r="B50" i="9"/>
  <c r="Q50" i="9" s="1"/>
  <c r="B49" i="9"/>
  <c r="Q49" i="9" s="1"/>
  <c r="B48" i="9"/>
  <c r="Q48" i="9" s="1"/>
  <c r="B47" i="9"/>
  <c r="Q47" i="9" s="1"/>
  <c r="B46" i="9"/>
  <c r="Q46" i="9" s="1"/>
  <c r="B45" i="9"/>
  <c r="Q45" i="9" s="1"/>
  <c r="B44" i="9"/>
  <c r="Q44" i="9" s="1"/>
  <c r="B43" i="9"/>
  <c r="Q43" i="9" s="1"/>
  <c r="B42" i="9"/>
  <c r="Q42" i="9" s="1"/>
  <c r="B41" i="9"/>
  <c r="Q41" i="9" s="1"/>
  <c r="B40" i="9"/>
  <c r="Q40" i="9" s="1"/>
  <c r="B39" i="9"/>
  <c r="Q39" i="9" s="1"/>
  <c r="B38" i="9"/>
  <c r="Q38" i="9" s="1"/>
  <c r="B37" i="9"/>
  <c r="Q37" i="9" s="1"/>
  <c r="B36" i="9"/>
  <c r="Q36" i="9" s="1"/>
  <c r="B35" i="9"/>
  <c r="Q35" i="9" s="1"/>
  <c r="B34" i="9"/>
  <c r="Q34" i="9" s="1"/>
  <c r="B33" i="9"/>
  <c r="Q33" i="9" s="1"/>
  <c r="B32" i="9"/>
  <c r="Q32" i="9" s="1"/>
  <c r="B31" i="9"/>
  <c r="Q31" i="9" s="1"/>
  <c r="B30" i="9"/>
  <c r="Q30" i="9" s="1"/>
  <c r="B29" i="9"/>
  <c r="Q29" i="9" s="1"/>
  <c r="B28" i="9"/>
  <c r="Q28" i="9" s="1"/>
  <c r="B27" i="9"/>
  <c r="Q27" i="9" s="1"/>
  <c r="B26" i="9"/>
  <c r="Q26" i="9" s="1"/>
  <c r="B25" i="9"/>
  <c r="Q25" i="9" s="1"/>
  <c r="B24" i="9"/>
  <c r="Q24" i="9" s="1"/>
  <c r="B23" i="9"/>
  <c r="Q23" i="9" s="1"/>
  <c r="B22" i="9"/>
  <c r="Q22" i="9" s="1"/>
  <c r="B21" i="9"/>
  <c r="Q21" i="9" s="1"/>
  <c r="B20" i="9"/>
  <c r="Q20" i="9" s="1"/>
  <c r="B19" i="9"/>
  <c r="Q19" i="9" s="1"/>
  <c r="B18" i="9"/>
  <c r="Q18" i="9" s="1"/>
  <c r="B17" i="9"/>
  <c r="Q17" i="9" s="1"/>
  <c r="B16" i="9"/>
  <c r="Q16" i="9" s="1"/>
  <c r="B15" i="9"/>
  <c r="Q15" i="9" s="1"/>
  <c r="B14" i="9"/>
  <c r="Q14" i="9" s="1"/>
  <c r="B13" i="9"/>
  <c r="Q13" i="9" s="1"/>
  <c r="B12" i="9"/>
  <c r="Q12" i="9" s="1"/>
  <c r="B11" i="9"/>
  <c r="Q11" i="9" s="1"/>
  <c r="B10" i="9"/>
  <c r="Q10" i="9" s="1"/>
  <c r="B9" i="9"/>
  <c r="Q9" i="9" s="1"/>
  <c r="B8" i="9"/>
  <c r="Q8" i="9" s="1"/>
  <c r="B7" i="9"/>
  <c r="Q7" i="9" s="1"/>
  <c r="B6" i="9"/>
  <c r="Q6" i="9" s="1"/>
  <c r="B5" i="9"/>
  <c r="Q5" i="9" s="1"/>
  <c r="B4" i="9"/>
  <c r="Q4" i="9" s="1"/>
  <c r="B3" i="9"/>
  <c r="Q3" i="9" s="1"/>
  <c r="B2" i="9"/>
  <c r="Q2" i="9" s="1"/>
  <c r="B77" i="8"/>
  <c r="O77" i="8" s="1"/>
  <c r="B76" i="8"/>
  <c r="O76" i="8" s="1"/>
  <c r="B75" i="8"/>
  <c r="O75" i="8" s="1"/>
  <c r="B74" i="8"/>
  <c r="O74" i="8" s="1"/>
  <c r="B73" i="8"/>
  <c r="O73" i="8" s="1"/>
  <c r="B72" i="8"/>
  <c r="O72" i="8" s="1"/>
  <c r="B71" i="8"/>
  <c r="O71" i="8" s="1"/>
  <c r="B70" i="8"/>
  <c r="O70" i="8" s="1"/>
  <c r="B69" i="8"/>
  <c r="O69" i="8" s="1"/>
  <c r="B68" i="8"/>
  <c r="O68" i="8" s="1"/>
  <c r="B67" i="8"/>
  <c r="O67" i="8" s="1"/>
  <c r="B66" i="8"/>
  <c r="O66" i="8" s="1"/>
  <c r="B65" i="8"/>
  <c r="O65" i="8" s="1"/>
  <c r="B64" i="8"/>
  <c r="O64" i="8" s="1"/>
  <c r="B63" i="8"/>
  <c r="O63" i="8" s="1"/>
  <c r="B62" i="8"/>
  <c r="O62" i="8" s="1"/>
  <c r="B61" i="8"/>
  <c r="O61" i="8" s="1"/>
  <c r="B60" i="8"/>
  <c r="O60" i="8" s="1"/>
  <c r="B59" i="8"/>
  <c r="O59" i="8" s="1"/>
  <c r="B58" i="8"/>
  <c r="O58" i="8" s="1"/>
  <c r="B57" i="8"/>
  <c r="O57" i="8" s="1"/>
  <c r="B56" i="8"/>
  <c r="O56" i="8" s="1"/>
  <c r="B55" i="8"/>
  <c r="O55" i="8" s="1"/>
  <c r="B54" i="8"/>
  <c r="O54" i="8" s="1"/>
  <c r="B53" i="8"/>
  <c r="O53" i="8" s="1"/>
  <c r="B52" i="8"/>
  <c r="O52" i="8" s="1"/>
  <c r="B51" i="8"/>
  <c r="O51" i="8" s="1"/>
  <c r="B50" i="8"/>
  <c r="O50" i="8" s="1"/>
  <c r="B49" i="8"/>
  <c r="O49" i="8" s="1"/>
  <c r="B48" i="8"/>
  <c r="O48" i="8" s="1"/>
  <c r="B47" i="8"/>
  <c r="O47" i="8" s="1"/>
  <c r="B46" i="8"/>
  <c r="O46" i="8" s="1"/>
  <c r="B45" i="8"/>
  <c r="O45" i="8" s="1"/>
  <c r="B44" i="8"/>
  <c r="O44" i="8" s="1"/>
  <c r="B43" i="8"/>
  <c r="O43" i="8" s="1"/>
  <c r="B42" i="8"/>
  <c r="O42" i="8" s="1"/>
  <c r="B41" i="8"/>
  <c r="O41" i="8" s="1"/>
  <c r="B40" i="8"/>
  <c r="O40" i="8" s="1"/>
  <c r="B39" i="8"/>
  <c r="O39" i="8" s="1"/>
  <c r="B38" i="8"/>
  <c r="O38" i="8" s="1"/>
  <c r="B37" i="8"/>
  <c r="O37" i="8" s="1"/>
  <c r="B36" i="8"/>
  <c r="O36" i="8" s="1"/>
  <c r="B35" i="8"/>
  <c r="O35" i="8" s="1"/>
  <c r="B34" i="8"/>
  <c r="O34" i="8" s="1"/>
  <c r="B33" i="8"/>
  <c r="O33" i="8" s="1"/>
  <c r="B32" i="8"/>
  <c r="O32" i="8" s="1"/>
  <c r="B31" i="8"/>
  <c r="O31" i="8" s="1"/>
  <c r="B30" i="8"/>
  <c r="O30" i="8" s="1"/>
  <c r="B29" i="8"/>
  <c r="O29" i="8" s="1"/>
  <c r="B28" i="8"/>
  <c r="O28" i="8" s="1"/>
  <c r="B27" i="8"/>
  <c r="O27" i="8" s="1"/>
  <c r="B26" i="8"/>
  <c r="O26" i="8" s="1"/>
  <c r="B25" i="8"/>
  <c r="O25" i="8" s="1"/>
  <c r="B24" i="8"/>
  <c r="O24" i="8" s="1"/>
  <c r="B23" i="8"/>
  <c r="O23" i="8" s="1"/>
  <c r="B22" i="8"/>
  <c r="O22" i="8" s="1"/>
  <c r="B21" i="8"/>
  <c r="O21" i="8" s="1"/>
  <c r="B20" i="8"/>
  <c r="O20" i="8" s="1"/>
  <c r="B19" i="8"/>
  <c r="O19" i="8" s="1"/>
  <c r="B18" i="8"/>
  <c r="O18" i="8" s="1"/>
  <c r="B17" i="8"/>
  <c r="O17" i="8" s="1"/>
  <c r="B16" i="8"/>
  <c r="O16" i="8" s="1"/>
  <c r="B15" i="8"/>
  <c r="O15" i="8" s="1"/>
  <c r="B14" i="8"/>
  <c r="O14" i="8" s="1"/>
  <c r="B13" i="8"/>
  <c r="O13" i="8" s="1"/>
  <c r="B12" i="8"/>
  <c r="O12" i="8" s="1"/>
  <c r="B11" i="8"/>
  <c r="O11" i="8" s="1"/>
  <c r="B10" i="8"/>
  <c r="O10" i="8" s="1"/>
  <c r="B9" i="8"/>
  <c r="O9" i="8" s="1"/>
  <c r="B8" i="8"/>
  <c r="O8" i="8" s="1"/>
  <c r="B7" i="8"/>
  <c r="O7" i="8" s="1"/>
  <c r="B6" i="8"/>
  <c r="O6" i="8" s="1"/>
  <c r="B5" i="8"/>
  <c r="O5" i="8" s="1"/>
  <c r="B4" i="8"/>
  <c r="O4" i="8" s="1"/>
  <c r="B3" i="8"/>
  <c r="O3" i="8" s="1"/>
  <c r="H2" i="5"/>
  <c r="H3" i="5"/>
  <c r="K3" i="12" s="1"/>
  <c r="H4" i="5"/>
  <c r="K4" i="12" s="1"/>
  <c r="H5" i="5"/>
  <c r="H6" i="5"/>
  <c r="K6" i="12" s="1"/>
  <c r="H7" i="5"/>
  <c r="K7" i="12" s="1"/>
  <c r="H8" i="5"/>
  <c r="J8" i="9" s="1"/>
  <c r="H9" i="5"/>
  <c r="J9" i="9" s="1"/>
  <c r="H10" i="5"/>
  <c r="J10" i="9" s="1"/>
  <c r="H11" i="5"/>
  <c r="J11" i="9" s="1"/>
  <c r="H12" i="5"/>
  <c r="H13" i="5"/>
  <c r="H14" i="5"/>
  <c r="H15" i="5"/>
  <c r="K15" i="12" s="1"/>
  <c r="H16" i="5"/>
  <c r="H17" i="5"/>
  <c r="H18" i="5"/>
  <c r="K18" i="12" s="1"/>
  <c r="H19" i="5"/>
  <c r="K19" i="12" s="1"/>
  <c r="H20" i="5"/>
  <c r="H21" i="5"/>
  <c r="K21" i="12" s="1"/>
  <c r="H22" i="5"/>
  <c r="H23" i="5"/>
  <c r="K23" i="12" s="1"/>
  <c r="H24" i="5"/>
  <c r="I24" i="13" s="1"/>
  <c r="H25" i="5"/>
  <c r="I25" i="13" s="1"/>
  <c r="H26" i="5"/>
  <c r="J26" i="9" s="1"/>
  <c r="H27" i="5"/>
  <c r="K27" i="12" s="1"/>
  <c r="H28" i="5"/>
  <c r="H29" i="5"/>
  <c r="I29" i="13" s="1"/>
  <c r="H30" i="5"/>
  <c r="J30" i="9" s="1"/>
  <c r="H31" i="5"/>
  <c r="H32" i="5"/>
  <c r="H33" i="5"/>
  <c r="H34" i="5"/>
  <c r="H35" i="5"/>
  <c r="H36" i="5"/>
  <c r="H37" i="5"/>
  <c r="H38" i="5"/>
  <c r="H39" i="5"/>
  <c r="K39" i="12" s="1"/>
  <c r="H40" i="5"/>
  <c r="H41" i="5"/>
  <c r="H42" i="5"/>
  <c r="H43" i="5"/>
  <c r="H44" i="5"/>
  <c r="I44" i="13" s="1"/>
  <c r="H45" i="5"/>
  <c r="J45" i="9" s="1"/>
  <c r="H46" i="5"/>
  <c r="H47" i="5"/>
  <c r="K47" i="12" s="1"/>
  <c r="H48" i="5"/>
  <c r="H49" i="5"/>
  <c r="H50" i="5"/>
  <c r="J50" i="9" s="1"/>
  <c r="H51" i="5"/>
  <c r="H52" i="5"/>
  <c r="H53" i="5"/>
  <c r="H54" i="5"/>
  <c r="K54" i="12" s="1"/>
  <c r="H55" i="5"/>
  <c r="J55" i="9" s="1"/>
  <c r="H56" i="5"/>
  <c r="J56" i="9" s="1"/>
  <c r="H57" i="5"/>
  <c r="H58" i="5"/>
  <c r="H59" i="5"/>
  <c r="H60" i="5"/>
  <c r="H61" i="5"/>
  <c r="H62" i="5"/>
  <c r="H63" i="5"/>
  <c r="H64" i="5"/>
  <c r="H65" i="5"/>
  <c r="H66" i="5"/>
  <c r="H67" i="5"/>
  <c r="I67" i="13" s="1"/>
  <c r="H68" i="5"/>
  <c r="I68" i="13" s="1"/>
  <c r="H69" i="5"/>
  <c r="H70" i="5"/>
  <c r="I70" i="13" s="1"/>
  <c r="H71" i="5"/>
  <c r="J71" i="9" s="1"/>
  <c r="H72" i="5"/>
  <c r="I72" i="13" s="1"/>
  <c r="H73" i="5"/>
  <c r="J73" i="9" s="1"/>
  <c r="H74" i="5"/>
  <c r="H75" i="5"/>
  <c r="H76" i="5"/>
  <c r="H77" i="5"/>
  <c r="I77" i="13" s="1"/>
  <c r="G2" i="5"/>
  <c r="G3" i="5"/>
  <c r="G4" i="5"/>
  <c r="G5" i="5"/>
  <c r="G6" i="5"/>
  <c r="G7" i="5"/>
  <c r="G8" i="5"/>
  <c r="G9" i="5"/>
  <c r="G10" i="5"/>
  <c r="I10" i="12" s="1"/>
  <c r="G11" i="5"/>
  <c r="I11" i="12" s="1"/>
  <c r="G12" i="5"/>
  <c r="I12" i="12" s="1"/>
  <c r="G13" i="5"/>
  <c r="O13" i="5" s="1"/>
  <c r="G14" i="5"/>
  <c r="O14" i="5" s="1"/>
  <c r="G15" i="5"/>
  <c r="G16" i="5"/>
  <c r="G17" i="5"/>
  <c r="G18" i="5"/>
  <c r="G19" i="5"/>
  <c r="I19" i="12" s="1"/>
  <c r="G20" i="5"/>
  <c r="I20" i="12" s="1"/>
  <c r="G21" i="5"/>
  <c r="G22" i="5"/>
  <c r="O22" i="5" s="1"/>
  <c r="P22" i="9" s="1"/>
  <c r="G23" i="5"/>
  <c r="O23" i="5" s="1"/>
  <c r="P23" i="13" s="1"/>
  <c r="G24" i="5"/>
  <c r="G25" i="5"/>
  <c r="G26" i="5"/>
  <c r="G27" i="5"/>
  <c r="G28" i="5"/>
  <c r="G29" i="5"/>
  <c r="O29" i="5" s="1"/>
  <c r="Q29" i="12" s="1"/>
  <c r="G30" i="5"/>
  <c r="G31" i="5"/>
  <c r="I31" i="12" s="1"/>
  <c r="G32" i="5"/>
  <c r="G33" i="5"/>
  <c r="I33" i="12" s="1"/>
  <c r="G34" i="5"/>
  <c r="I34" i="12" s="1"/>
  <c r="G35" i="5"/>
  <c r="G36" i="5"/>
  <c r="G37" i="5"/>
  <c r="O37" i="5" s="1"/>
  <c r="P37" i="13" s="1"/>
  <c r="G38" i="5"/>
  <c r="O38" i="5" s="1"/>
  <c r="P38" i="9" s="1"/>
  <c r="G39" i="5"/>
  <c r="G40" i="5"/>
  <c r="I40" i="12" s="1"/>
  <c r="G41" i="5"/>
  <c r="G42" i="5"/>
  <c r="O42" i="5" s="1"/>
  <c r="G43" i="5"/>
  <c r="G44" i="5"/>
  <c r="G45" i="5"/>
  <c r="I45" i="12" s="1"/>
  <c r="G46" i="5"/>
  <c r="I46" i="12" s="1"/>
  <c r="G47" i="5"/>
  <c r="G48" i="5"/>
  <c r="G49" i="5"/>
  <c r="G50" i="5"/>
  <c r="G51" i="5"/>
  <c r="G52" i="5"/>
  <c r="G53" i="5"/>
  <c r="O53" i="5" s="1"/>
  <c r="P53" i="9" s="1"/>
  <c r="G54" i="5"/>
  <c r="O54" i="5" s="1"/>
  <c r="G55" i="5"/>
  <c r="O55" i="5" s="1"/>
  <c r="Q55" i="12" s="1"/>
  <c r="G56" i="5"/>
  <c r="O56" i="5" s="1"/>
  <c r="G57" i="5"/>
  <c r="G58" i="5"/>
  <c r="G59" i="5"/>
  <c r="O59" i="5" s="1"/>
  <c r="P59" i="9" s="1"/>
  <c r="G60" i="5"/>
  <c r="O60" i="5" s="1"/>
  <c r="P60" i="13" s="1"/>
  <c r="G61" i="5"/>
  <c r="I61" i="12" s="1"/>
  <c r="G62" i="5"/>
  <c r="I62" i="12" s="1"/>
  <c r="G63" i="5"/>
  <c r="G64" i="5"/>
  <c r="I64" i="12" s="1"/>
  <c r="G65" i="5"/>
  <c r="O65" i="5" s="1"/>
  <c r="Q65" i="12" s="1"/>
  <c r="G66" i="5"/>
  <c r="G67" i="5"/>
  <c r="G68" i="5"/>
  <c r="G69" i="5"/>
  <c r="I69" i="12" s="1"/>
  <c r="G70" i="5"/>
  <c r="G71" i="5"/>
  <c r="G72" i="5"/>
  <c r="O72" i="5" s="1"/>
  <c r="P72" i="9" s="1"/>
  <c r="G73" i="5"/>
  <c r="O73" i="5" s="1"/>
  <c r="Q73" i="12" s="1"/>
  <c r="G74" i="5"/>
  <c r="O74" i="5" s="1"/>
  <c r="G75" i="5"/>
  <c r="G76" i="5"/>
  <c r="O76" i="5" s="1"/>
  <c r="G77" i="5"/>
  <c r="F2" i="5"/>
  <c r="I2" i="9" s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J17" i="13" s="1"/>
  <c r="F18" i="5"/>
  <c r="F19" i="5"/>
  <c r="F20" i="5"/>
  <c r="F21" i="5"/>
  <c r="J21" i="13" s="1"/>
  <c r="F22" i="5"/>
  <c r="J22" i="13" s="1"/>
  <c r="F23" i="5"/>
  <c r="J23" i="13" s="1"/>
  <c r="F24" i="5"/>
  <c r="F25" i="5"/>
  <c r="F26" i="5"/>
  <c r="F27" i="5"/>
  <c r="F28" i="5"/>
  <c r="F29" i="5"/>
  <c r="F30" i="5"/>
  <c r="F31" i="5"/>
  <c r="F32" i="5"/>
  <c r="J32" i="12" s="1"/>
  <c r="F33" i="5"/>
  <c r="F34" i="5"/>
  <c r="F35" i="5"/>
  <c r="F36" i="5"/>
  <c r="F37" i="5"/>
  <c r="I37" i="9" s="1"/>
  <c r="D37" i="9" s="1"/>
  <c r="F38" i="5"/>
  <c r="F39" i="5"/>
  <c r="I39" i="9" s="1"/>
  <c r="D39" i="9" s="1"/>
  <c r="F40" i="5"/>
  <c r="F41" i="5"/>
  <c r="J41" i="13" s="1"/>
  <c r="F42" i="5"/>
  <c r="F43" i="5"/>
  <c r="J43" i="13" s="1"/>
  <c r="F44" i="5"/>
  <c r="F45" i="5"/>
  <c r="F46" i="5"/>
  <c r="J46" i="12" s="1"/>
  <c r="F47" i="5"/>
  <c r="F48" i="5"/>
  <c r="F49" i="5"/>
  <c r="J49" i="12" s="1"/>
  <c r="F50" i="5"/>
  <c r="I50" i="9" s="1"/>
  <c r="D50" i="9" s="1"/>
  <c r="F51" i="5"/>
  <c r="F52" i="5"/>
  <c r="F53" i="5"/>
  <c r="F54" i="5"/>
  <c r="F55" i="5"/>
  <c r="F56" i="5"/>
  <c r="F57" i="5"/>
  <c r="F58" i="5"/>
  <c r="F59" i="5"/>
  <c r="F60" i="5"/>
  <c r="F61" i="5"/>
  <c r="J61" i="13" s="1"/>
  <c r="F62" i="5"/>
  <c r="F63" i="5"/>
  <c r="J63" i="13" s="1"/>
  <c r="F64" i="5"/>
  <c r="F65" i="5"/>
  <c r="J65" i="12" s="1"/>
  <c r="F66" i="5"/>
  <c r="F67" i="5"/>
  <c r="J67" i="13" s="1"/>
  <c r="F68" i="5"/>
  <c r="J68" i="13" s="1"/>
  <c r="F69" i="5"/>
  <c r="J69" i="13" s="1"/>
  <c r="F70" i="5"/>
  <c r="I70" i="9" s="1"/>
  <c r="D70" i="9" s="1"/>
  <c r="F71" i="5"/>
  <c r="F72" i="5"/>
  <c r="F73" i="5"/>
  <c r="F74" i="5"/>
  <c r="F75" i="5"/>
  <c r="J75" i="12" s="1"/>
  <c r="F76" i="5"/>
  <c r="F77" i="5"/>
  <c r="B2" i="5"/>
  <c r="Q2" i="5" s="1"/>
  <c r="B3" i="5"/>
  <c r="B4" i="5"/>
  <c r="B5" i="5"/>
  <c r="Q5" i="5" s="1"/>
  <c r="B6" i="5"/>
  <c r="Q6" i="5" s="1"/>
  <c r="B7" i="5"/>
  <c r="Q7" i="5" s="1"/>
  <c r="B8" i="5"/>
  <c r="Q8" i="5" s="1"/>
  <c r="B9" i="5"/>
  <c r="Q9" i="5" s="1"/>
  <c r="B10" i="5"/>
  <c r="Q10" i="5" s="1"/>
  <c r="B11" i="5"/>
  <c r="B12" i="5"/>
  <c r="Q12" i="5" s="1"/>
  <c r="B13" i="5"/>
  <c r="Q13" i="5" s="1"/>
  <c r="B14" i="5"/>
  <c r="Q14" i="5" s="1"/>
  <c r="B15" i="5"/>
  <c r="Q15" i="5" s="1"/>
  <c r="B16" i="5"/>
  <c r="Q16" i="5" s="1"/>
  <c r="B17" i="5"/>
  <c r="Q17" i="5" s="1"/>
  <c r="B18" i="5"/>
  <c r="B19" i="5"/>
  <c r="Q19" i="5" s="1"/>
  <c r="B20" i="5"/>
  <c r="Q20" i="5" s="1"/>
  <c r="B21" i="5"/>
  <c r="Q21" i="5" s="1"/>
  <c r="B22" i="5"/>
  <c r="Q22" i="5" s="1"/>
  <c r="B23" i="5"/>
  <c r="Q23" i="5" s="1"/>
  <c r="B24" i="5"/>
  <c r="Q24" i="5" s="1"/>
  <c r="B25" i="5"/>
  <c r="Q25" i="5" s="1"/>
  <c r="B26" i="5"/>
  <c r="Q26" i="5" s="1"/>
  <c r="B27" i="5"/>
  <c r="Q27" i="5" s="1"/>
  <c r="B28" i="5"/>
  <c r="B29" i="5"/>
  <c r="B30" i="5"/>
  <c r="Q30" i="5" s="1"/>
  <c r="B31" i="5"/>
  <c r="Q31" i="5" s="1"/>
  <c r="B32" i="5"/>
  <c r="Q32" i="5" s="1"/>
  <c r="B33" i="5"/>
  <c r="Q33" i="5" s="1"/>
  <c r="B34" i="5"/>
  <c r="Q34" i="5" s="1"/>
  <c r="B35" i="5"/>
  <c r="B36" i="5"/>
  <c r="Q36" i="5" s="1"/>
  <c r="B37" i="5"/>
  <c r="Q37" i="5" s="1"/>
  <c r="B38" i="5"/>
  <c r="Q38" i="5" s="1"/>
  <c r="B39" i="5"/>
  <c r="Q39" i="5" s="1"/>
  <c r="B40" i="5"/>
  <c r="Q40" i="5" s="1"/>
  <c r="B41" i="5"/>
  <c r="Q41" i="5" s="1"/>
  <c r="B42" i="5"/>
  <c r="Q42" i="5" s="1"/>
  <c r="B43" i="5"/>
  <c r="Q43" i="5" s="1"/>
  <c r="B44" i="5"/>
  <c r="Q44" i="5" s="1"/>
  <c r="B45" i="5"/>
  <c r="Q45" i="5" s="1"/>
  <c r="B46" i="5"/>
  <c r="Q46" i="5" s="1"/>
  <c r="B47" i="5"/>
  <c r="B48" i="5"/>
  <c r="Q48" i="5" s="1"/>
  <c r="B49" i="5"/>
  <c r="Q49" i="5" s="1"/>
  <c r="B50" i="5"/>
  <c r="Q50" i="5" s="1"/>
  <c r="B51" i="5"/>
  <c r="Q51" i="5" s="1"/>
  <c r="B52" i="5"/>
  <c r="Q52" i="5" s="1"/>
  <c r="B53" i="5"/>
  <c r="Q53" i="5" s="1"/>
  <c r="B54" i="5"/>
  <c r="Q54" i="5" s="1"/>
  <c r="B55" i="5"/>
  <c r="Q55" i="5" s="1"/>
  <c r="B56" i="5"/>
  <c r="Q56" i="5" s="1"/>
  <c r="B57" i="5"/>
  <c r="B58" i="5"/>
  <c r="Q58" i="5" s="1"/>
  <c r="B59" i="5"/>
  <c r="Q59" i="5" s="1"/>
  <c r="B60" i="5"/>
  <c r="Q60" i="5" s="1"/>
  <c r="B61" i="5"/>
  <c r="Q61" i="5" s="1"/>
  <c r="B62" i="5"/>
  <c r="Q62" i="5" s="1"/>
  <c r="B63" i="5"/>
  <c r="Q63" i="5" s="1"/>
  <c r="B64" i="5"/>
  <c r="B65" i="5"/>
  <c r="B66" i="5"/>
  <c r="B67" i="5"/>
  <c r="Q67" i="5" s="1"/>
  <c r="B68" i="5"/>
  <c r="Q68" i="5" s="1"/>
  <c r="B69" i="5"/>
  <c r="Q69" i="5" s="1"/>
  <c r="B70" i="5"/>
  <c r="Q70" i="5" s="1"/>
  <c r="B71" i="5"/>
  <c r="Q71" i="5" s="1"/>
  <c r="B72" i="5"/>
  <c r="Q72" i="5" s="1"/>
  <c r="B73" i="5"/>
  <c r="Q73" i="5" s="1"/>
  <c r="B74" i="5"/>
  <c r="Q74" i="5" s="1"/>
  <c r="B75" i="5"/>
  <c r="Q75" i="5" s="1"/>
  <c r="B76" i="5"/>
  <c r="B77" i="5"/>
  <c r="Q77" i="5" s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D28" i="2"/>
  <c r="F28" i="2" s="1"/>
  <c r="D27" i="2"/>
  <c r="F27" i="2" s="1"/>
  <c r="D26" i="2"/>
  <c r="F26" i="2" s="1"/>
  <c r="D25" i="2"/>
  <c r="F25" i="2" s="1"/>
  <c r="D24" i="2"/>
  <c r="F24" i="2" s="1"/>
  <c r="D23" i="2"/>
  <c r="F23" i="2" s="1"/>
  <c r="F22" i="2"/>
  <c r="D22" i="2"/>
  <c r="D21" i="2"/>
  <c r="F21" i="2" s="1"/>
  <c r="D20" i="2"/>
  <c r="F20" i="2" s="1"/>
  <c r="D19" i="2"/>
  <c r="F19" i="2" s="1"/>
  <c r="D18" i="2"/>
  <c r="F18" i="2" s="1"/>
  <c r="D17" i="2"/>
  <c r="F17" i="2" s="1"/>
  <c r="D16" i="2"/>
  <c r="F16" i="2" s="1"/>
  <c r="D15" i="2"/>
  <c r="F15" i="2" s="1"/>
  <c r="D14" i="2"/>
  <c r="F14" i="2" s="1"/>
  <c r="D13" i="2"/>
  <c r="F13" i="2" s="1"/>
  <c r="D12" i="2"/>
  <c r="F12" i="2" s="1"/>
  <c r="D11" i="2"/>
  <c r="F11" i="2" s="1"/>
  <c r="D10" i="2"/>
  <c r="F10" i="2" s="1"/>
  <c r="D9" i="2"/>
  <c r="F9" i="2" s="1"/>
  <c r="D8" i="2"/>
  <c r="F8" i="2" s="1"/>
  <c r="D7" i="2"/>
  <c r="F7" i="2" s="1"/>
  <c r="D6" i="2"/>
  <c r="F6" i="2" s="1"/>
  <c r="D5" i="2"/>
  <c r="F5" i="2" s="1"/>
  <c r="D4" i="2"/>
  <c r="F4" i="2" s="1"/>
  <c r="D3" i="2"/>
  <c r="F3" i="2" s="1"/>
  <c r="D2" i="2"/>
  <c r="F2" i="2" s="1"/>
  <c r="J10" i="19" l="1"/>
  <c r="P16" i="21"/>
  <c r="B263" i="21"/>
  <c r="B249" i="21"/>
  <c r="B45" i="21"/>
  <c r="B279" i="21"/>
  <c r="B302" i="21"/>
  <c r="B251" i="21"/>
  <c r="B239" i="21"/>
  <c r="B32" i="21"/>
  <c r="B265" i="21"/>
  <c r="B240" i="21"/>
  <c r="B287" i="21"/>
  <c r="B227" i="21"/>
  <c r="B65" i="21"/>
  <c r="B102" i="21"/>
  <c r="B297" i="21"/>
  <c r="B261" i="21"/>
  <c r="B195" i="21"/>
  <c r="B171" i="21"/>
  <c r="B111" i="21"/>
  <c r="B218" i="21"/>
  <c r="B194" i="21"/>
  <c r="B158" i="21"/>
  <c r="B110" i="21"/>
  <c r="B10" i="21"/>
  <c r="B217" i="21"/>
  <c r="B157" i="21"/>
  <c r="B109" i="21"/>
  <c r="B245" i="21"/>
  <c r="B291" i="21"/>
  <c r="B7" i="21"/>
  <c r="B69" i="21"/>
  <c r="B133" i="21"/>
  <c r="B183" i="21"/>
  <c r="B169" i="21"/>
  <c r="B147" i="21"/>
  <c r="B292" i="21"/>
  <c r="B125" i="21"/>
  <c r="B44" i="21"/>
  <c r="B275" i="21"/>
  <c r="B246" i="21"/>
  <c r="B57" i="21"/>
  <c r="B269" i="21"/>
  <c r="B43" i="21"/>
  <c r="B30" i="21"/>
  <c r="B122" i="21"/>
  <c r="B242" i="21"/>
  <c r="B18" i="21"/>
  <c r="B219" i="21"/>
  <c r="B289" i="21"/>
  <c r="B42" i="21"/>
  <c r="B123" i="21"/>
  <c r="B205" i="21"/>
  <c r="B66" i="21"/>
  <c r="B2" i="21"/>
  <c r="B11" i="21"/>
  <c r="B266" i="21"/>
  <c r="B304" i="21"/>
  <c r="B168" i="21"/>
  <c r="B68" i="21"/>
  <c r="B56" i="21"/>
  <c r="B241" i="21"/>
  <c r="B67" i="21"/>
  <c r="B55" i="21"/>
  <c r="B31" i="21"/>
  <c r="B19" i="21"/>
  <c r="B264" i="21"/>
  <c r="B228" i="21"/>
  <c r="B229" i="21"/>
  <c r="B33" i="21"/>
  <c r="B288" i="21"/>
  <c r="B193" i="21"/>
  <c r="B145" i="21"/>
  <c r="B121" i="21"/>
  <c r="B97" i="21"/>
  <c r="B257" i="21"/>
  <c r="B301" i="21"/>
  <c r="B77" i="21"/>
  <c r="B14" i="21"/>
  <c r="B196" i="21"/>
  <c r="B172" i="21"/>
  <c r="B290" i="21"/>
  <c r="B159" i="21"/>
  <c r="B135" i="21"/>
  <c r="B87" i="21"/>
  <c r="B305" i="21"/>
  <c r="B9" i="21"/>
  <c r="B16" i="21"/>
  <c r="B75" i="21"/>
  <c r="B222" i="21"/>
  <c r="B150" i="21"/>
  <c r="B3" i="21"/>
  <c r="B294" i="21"/>
  <c r="B216" i="21"/>
  <c r="B144" i="21"/>
  <c r="B132" i="21"/>
  <c r="B108" i="21"/>
  <c r="B96" i="21"/>
  <c r="B84" i="21"/>
  <c r="B284" i="21"/>
  <c r="B4" i="21"/>
  <c r="B53" i="21"/>
  <c r="B41" i="21"/>
  <c r="B29" i="21"/>
  <c r="B192" i="21"/>
  <c r="B296" i="21"/>
  <c r="B180" i="21"/>
  <c r="B280" i="21"/>
  <c r="B258" i="21"/>
  <c r="B234" i="21"/>
  <c r="B278" i="21"/>
  <c r="B303" i="21"/>
  <c r="B78" i="21"/>
  <c r="B212" i="21"/>
  <c r="B152" i="21"/>
  <c r="B285" i="21"/>
  <c r="B5" i="21"/>
  <c r="B8" i="21"/>
  <c r="B6" i="21"/>
  <c r="B64" i="21"/>
  <c r="B28" i="21"/>
  <c r="B15" i="21"/>
  <c r="B17" i="21"/>
  <c r="B76" i="21"/>
  <c r="B274" i="21"/>
  <c r="B262" i="21"/>
  <c r="B250" i="21"/>
  <c r="B238" i="21"/>
  <c r="B226" i="21"/>
  <c r="B293" i="21"/>
  <c r="B272" i="21"/>
  <c r="B236" i="21"/>
  <c r="B300" i="21"/>
  <c r="B271" i="21"/>
  <c r="B259" i="21"/>
  <c r="B247" i="21"/>
  <c r="B235" i="21"/>
  <c r="B156" i="21"/>
  <c r="B270" i="21"/>
  <c r="B204" i="21"/>
  <c r="B254" i="21"/>
  <c r="B230" i="21"/>
  <c r="B186" i="21"/>
  <c r="B120" i="21"/>
  <c r="B206" i="21"/>
  <c r="B182" i="21"/>
  <c r="B170" i="21"/>
  <c r="B146" i="21"/>
  <c r="B134" i="21"/>
  <c r="B98" i="21"/>
  <c r="B86" i="21"/>
  <c r="B273" i="21"/>
  <c r="B237" i="21"/>
  <c r="B225" i="21"/>
  <c r="B167" i="21"/>
  <c r="B277" i="21"/>
  <c r="B299" i="21"/>
  <c r="B21" i="21"/>
  <c r="B85" i="21"/>
  <c r="B130" i="21"/>
  <c r="B252" i="21"/>
  <c r="B276" i="21"/>
  <c r="B298" i="21"/>
  <c r="B215" i="21"/>
  <c r="B253" i="21"/>
  <c r="B181" i="21"/>
  <c r="B213" i="21"/>
  <c r="B149" i="21"/>
  <c r="B12" i="21"/>
  <c r="B221" i="21"/>
  <c r="B209" i="21"/>
  <c r="B185" i="21"/>
  <c r="B173" i="21"/>
  <c r="B54" i="21"/>
  <c r="B207" i="21"/>
  <c r="B99" i="21"/>
  <c r="B220" i="21"/>
  <c r="B208" i="21"/>
  <c r="B184" i="21"/>
  <c r="B160" i="21"/>
  <c r="B233" i="21"/>
  <c r="B20" i="21"/>
  <c r="B79" i="21"/>
  <c r="B286" i="21"/>
  <c r="B295" i="21"/>
  <c r="B283" i="21"/>
  <c r="B282" i="21"/>
  <c r="B281" i="21"/>
  <c r="B268" i="21"/>
  <c r="B256" i="21"/>
  <c r="B244" i="21"/>
  <c r="B232" i="21"/>
  <c r="B267" i="21"/>
  <c r="B255" i="21"/>
  <c r="B243" i="21"/>
  <c r="B231" i="21"/>
  <c r="B260" i="21"/>
  <c r="B248" i="21"/>
  <c r="B119" i="21"/>
  <c r="B190" i="21"/>
  <c r="B142" i="21"/>
  <c r="B106" i="21"/>
  <c r="B189" i="21"/>
  <c r="B117" i="21"/>
  <c r="B188" i="21"/>
  <c r="B140" i="21"/>
  <c r="B163" i="21"/>
  <c r="B139" i="21"/>
  <c r="B115" i="21"/>
  <c r="B129" i="21"/>
  <c r="B203" i="21"/>
  <c r="B179" i="21"/>
  <c r="B143" i="21"/>
  <c r="B107" i="21"/>
  <c r="B177" i="21"/>
  <c r="B141" i="21"/>
  <c r="B93" i="21"/>
  <c r="B164" i="21"/>
  <c r="B199" i="21"/>
  <c r="B91" i="21"/>
  <c r="B214" i="21"/>
  <c r="B211" i="21"/>
  <c r="B128" i="21"/>
  <c r="B131" i="21"/>
  <c r="B202" i="21"/>
  <c r="B178" i="21"/>
  <c r="B154" i="21"/>
  <c r="B94" i="21"/>
  <c r="B201" i="21"/>
  <c r="B200" i="21"/>
  <c r="B116" i="21"/>
  <c r="B166" i="21"/>
  <c r="B223" i="21"/>
  <c r="B175" i="21"/>
  <c r="B103" i="21"/>
  <c r="B191" i="21"/>
  <c r="B104" i="21"/>
  <c r="B151" i="21"/>
  <c r="B155" i="21"/>
  <c r="B95" i="21"/>
  <c r="B118" i="21"/>
  <c r="B165" i="21"/>
  <c r="B153" i="21"/>
  <c r="B105" i="21"/>
  <c r="B224" i="21"/>
  <c r="B176" i="21"/>
  <c r="B92" i="21"/>
  <c r="B187" i="21"/>
  <c r="B127" i="21"/>
  <c r="B90" i="21"/>
  <c r="B89" i="21"/>
  <c r="B138" i="21"/>
  <c r="B137" i="21"/>
  <c r="B174" i="21"/>
  <c r="B114" i="21"/>
  <c r="B197" i="21"/>
  <c r="B161" i="21"/>
  <c r="B101" i="21"/>
  <c r="B210" i="21"/>
  <c r="B198" i="21"/>
  <c r="B162" i="21"/>
  <c r="B126" i="21"/>
  <c r="B113" i="21"/>
  <c r="B148" i="21"/>
  <c r="B136" i="21"/>
  <c r="B124" i="21"/>
  <c r="B112" i="21"/>
  <c r="B100" i="21"/>
  <c r="B88" i="21"/>
  <c r="B83" i="21"/>
  <c r="B81" i="21"/>
  <c r="B82" i="21"/>
  <c r="B80" i="21"/>
  <c r="B63" i="21"/>
  <c r="B74" i="21"/>
  <c r="B50" i="21"/>
  <c r="B26" i="21"/>
  <c r="B61" i="21"/>
  <c r="B48" i="21"/>
  <c r="B36" i="21"/>
  <c r="B71" i="21"/>
  <c r="B59" i="21"/>
  <c r="B47" i="21"/>
  <c r="B35" i="21"/>
  <c r="B23" i="21"/>
  <c r="B52" i="21"/>
  <c r="B40" i="21"/>
  <c r="B39" i="21"/>
  <c r="B49" i="21"/>
  <c r="B60" i="21"/>
  <c r="B70" i="21"/>
  <c r="B58" i="21"/>
  <c r="B46" i="21"/>
  <c r="B34" i="21"/>
  <c r="B22" i="21"/>
  <c r="B51" i="21"/>
  <c r="B62" i="21"/>
  <c r="B38" i="21"/>
  <c r="B37" i="21"/>
  <c r="B72" i="21"/>
  <c r="B24" i="21"/>
  <c r="B27" i="21"/>
  <c r="B73" i="21"/>
  <c r="B25" i="21"/>
  <c r="B13" i="21"/>
  <c r="J14" i="19"/>
  <c r="J24" i="19"/>
  <c r="J13" i="19"/>
  <c r="J12" i="19"/>
  <c r="J11" i="19"/>
  <c r="J23" i="19"/>
  <c r="M70" i="9"/>
  <c r="M39" i="9"/>
  <c r="M37" i="9"/>
  <c r="M50" i="9"/>
  <c r="J3" i="19"/>
  <c r="J30" i="19"/>
  <c r="J18" i="19"/>
  <c r="J17" i="19"/>
  <c r="J16" i="19"/>
  <c r="J15" i="19"/>
  <c r="J2" i="19"/>
  <c r="J9" i="19"/>
  <c r="J8" i="19"/>
  <c r="J7" i="19"/>
  <c r="J6" i="19"/>
  <c r="J5" i="19"/>
  <c r="P23" i="9"/>
  <c r="Q72" i="12"/>
  <c r="P60" i="9"/>
  <c r="O7" i="5"/>
  <c r="P7" i="9" s="1"/>
  <c r="Q37" i="12"/>
  <c r="J21" i="19"/>
  <c r="J20" i="19"/>
  <c r="J19" i="19"/>
  <c r="J4" i="19"/>
  <c r="I2" i="5"/>
  <c r="O77" i="5"/>
  <c r="P77" i="9" s="1"/>
  <c r="I77" i="12"/>
  <c r="O41" i="5"/>
  <c r="I41" i="12"/>
  <c r="O17" i="5"/>
  <c r="I17" i="12"/>
  <c r="J69" i="9"/>
  <c r="K69" i="12"/>
  <c r="I57" i="13"/>
  <c r="J57" i="9"/>
  <c r="I33" i="13"/>
  <c r="K33" i="12"/>
  <c r="O16" i="5"/>
  <c r="P16" i="13" s="1"/>
  <c r="I16" i="12"/>
  <c r="K20" i="12"/>
  <c r="J20" i="9"/>
  <c r="I53" i="12"/>
  <c r="O40" i="5"/>
  <c r="Q40" i="12" s="1"/>
  <c r="P65" i="13"/>
  <c r="P65" i="9"/>
  <c r="I68" i="12"/>
  <c r="O68" i="5"/>
  <c r="P68" i="9" s="1"/>
  <c r="J50" i="12"/>
  <c r="I73" i="9"/>
  <c r="D73" i="9" s="1"/>
  <c r="M73" i="9" s="1"/>
  <c r="J73" i="13"/>
  <c r="I9" i="13"/>
  <c r="K9" i="12"/>
  <c r="I45" i="13"/>
  <c r="J60" i="13"/>
  <c r="J60" i="12"/>
  <c r="J44" i="9"/>
  <c r="K44" i="12"/>
  <c r="I15" i="9"/>
  <c r="D15" i="9" s="1"/>
  <c r="M15" i="9" s="1"/>
  <c r="J15" i="12"/>
  <c r="I67" i="12"/>
  <c r="O67" i="5"/>
  <c r="P55" i="9"/>
  <c r="P55" i="13"/>
  <c r="I43" i="12"/>
  <c r="O43" i="5"/>
  <c r="P43" i="9" s="1"/>
  <c r="J59" i="9"/>
  <c r="K59" i="12"/>
  <c r="J62" i="12"/>
  <c r="J62" i="13"/>
  <c r="I26" i="9"/>
  <c r="D26" i="9" s="1"/>
  <c r="M26" i="9" s="1"/>
  <c r="J26" i="12"/>
  <c r="J14" i="12"/>
  <c r="J14" i="13"/>
  <c r="J2" i="13"/>
  <c r="P54" i="13"/>
  <c r="Q54" i="12"/>
  <c r="O30" i="5"/>
  <c r="P30" i="13" s="1"/>
  <c r="I30" i="12"/>
  <c r="J70" i="9"/>
  <c r="K70" i="12"/>
  <c r="J58" i="9"/>
  <c r="K58" i="12"/>
  <c r="J34" i="9"/>
  <c r="K34" i="12"/>
  <c r="I69" i="13"/>
  <c r="J46" i="13"/>
  <c r="J54" i="9"/>
  <c r="I60" i="12"/>
  <c r="I14" i="12"/>
  <c r="P13" i="13"/>
  <c r="P13" i="9"/>
  <c r="Q13" i="12"/>
  <c r="I54" i="9"/>
  <c r="D54" i="9" s="1"/>
  <c r="M54" i="9" s="1"/>
  <c r="J54" i="12"/>
  <c r="J54" i="13"/>
  <c r="I29" i="9"/>
  <c r="D29" i="9" s="1"/>
  <c r="M29" i="9" s="1"/>
  <c r="J29" i="12"/>
  <c r="J29" i="13"/>
  <c r="I57" i="12"/>
  <c r="O57" i="5"/>
  <c r="J49" i="9"/>
  <c r="K49" i="12"/>
  <c r="I76" i="9"/>
  <c r="D76" i="9" s="1"/>
  <c r="M76" i="9" s="1"/>
  <c r="J76" i="12"/>
  <c r="I64" i="9"/>
  <c r="D64" i="9" s="1"/>
  <c r="M64" i="9" s="1"/>
  <c r="J64" i="12"/>
  <c r="J64" i="13"/>
  <c r="I52" i="9"/>
  <c r="D52" i="9" s="1"/>
  <c r="M52" i="9" s="1"/>
  <c r="J52" i="13"/>
  <c r="J52" i="12"/>
  <c r="I40" i="9"/>
  <c r="D40" i="9" s="1"/>
  <c r="M40" i="9" s="1"/>
  <c r="J40" i="13"/>
  <c r="J28" i="13"/>
  <c r="J28" i="12"/>
  <c r="I16" i="9"/>
  <c r="D16" i="9" s="1"/>
  <c r="M16" i="9" s="1"/>
  <c r="J16" i="13"/>
  <c r="I4" i="9"/>
  <c r="J4" i="13"/>
  <c r="J4" i="12"/>
  <c r="P56" i="9"/>
  <c r="Q56" i="12"/>
  <c r="O44" i="5"/>
  <c r="I44" i="12"/>
  <c r="I32" i="12"/>
  <c r="O32" i="5"/>
  <c r="I8" i="12"/>
  <c r="O8" i="5"/>
  <c r="J72" i="9"/>
  <c r="K72" i="12"/>
  <c r="J60" i="9"/>
  <c r="I60" i="13"/>
  <c r="K60" i="12"/>
  <c r="J48" i="9"/>
  <c r="I48" i="13"/>
  <c r="K48" i="12"/>
  <c r="J36" i="9"/>
  <c r="K36" i="12"/>
  <c r="I36" i="13"/>
  <c r="J24" i="9"/>
  <c r="K24" i="12"/>
  <c r="J12" i="9"/>
  <c r="I12" i="13"/>
  <c r="K12" i="12"/>
  <c r="K55" i="12"/>
  <c r="K67" i="12"/>
  <c r="I22" i="12"/>
  <c r="J16" i="12"/>
  <c r="O34" i="5"/>
  <c r="I73" i="13"/>
  <c r="I26" i="13"/>
  <c r="O69" i="5"/>
  <c r="O33" i="5"/>
  <c r="I18" i="9"/>
  <c r="D18" i="9" s="1"/>
  <c r="M18" i="9" s="1"/>
  <c r="J18" i="12"/>
  <c r="J18" i="13"/>
  <c r="O58" i="5"/>
  <c r="I58" i="12"/>
  <c r="I77" i="9"/>
  <c r="D77" i="9" s="1"/>
  <c r="M77" i="9" s="1"/>
  <c r="J77" i="12"/>
  <c r="J77" i="13"/>
  <c r="J61" i="9"/>
  <c r="I61" i="13"/>
  <c r="J13" i="9"/>
  <c r="I13" i="13"/>
  <c r="K13" i="12"/>
  <c r="P19" i="13"/>
  <c r="Q19" i="12"/>
  <c r="J12" i="12"/>
  <c r="J12" i="13"/>
  <c r="K68" i="12"/>
  <c r="I13" i="12"/>
  <c r="J40" i="12"/>
  <c r="J76" i="13"/>
  <c r="I20" i="13"/>
  <c r="O64" i="5"/>
  <c r="J71" i="12"/>
  <c r="J71" i="13"/>
  <c r="I59" i="9"/>
  <c r="D59" i="9" s="1"/>
  <c r="M59" i="9" s="1"/>
  <c r="J59" i="13"/>
  <c r="J59" i="12"/>
  <c r="I47" i="9"/>
  <c r="D47" i="9" s="1"/>
  <c r="M47" i="9" s="1"/>
  <c r="J47" i="12"/>
  <c r="J47" i="13"/>
  <c r="I35" i="9"/>
  <c r="D35" i="9" s="1"/>
  <c r="M35" i="9" s="1"/>
  <c r="J35" i="12"/>
  <c r="I11" i="9"/>
  <c r="D11" i="9" s="1"/>
  <c r="M11" i="9" s="1"/>
  <c r="J11" i="13"/>
  <c r="J11" i="12"/>
  <c r="I75" i="12"/>
  <c r="O75" i="5"/>
  <c r="I63" i="12"/>
  <c r="O63" i="5"/>
  <c r="I51" i="12"/>
  <c r="O51" i="5"/>
  <c r="I39" i="12"/>
  <c r="O39" i="5"/>
  <c r="I27" i="12"/>
  <c r="O27" i="5"/>
  <c r="I15" i="12"/>
  <c r="O15" i="5"/>
  <c r="I3" i="12"/>
  <c r="O3" i="5"/>
  <c r="I43" i="13"/>
  <c r="K43" i="12"/>
  <c r="J43" i="9"/>
  <c r="J31" i="9"/>
  <c r="I31" i="13"/>
  <c r="K31" i="12"/>
  <c r="J7" i="9"/>
  <c r="I7" i="13"/>
  <c r="P20" i="9"/>
  <c r="Q60" i="12"/>
  <c r="I76" i="12"/>
  <c r="P72" i="13"/>
  <c r="I19" i="13"/>
  <c r="O62" i="5"/>
  <c r="Q62" i="12" s="1"/>
  <c r="O12" i="5"/>
  <c r="I6" i="9"/>
  <c r="J6" i="12"/>
  <c r="J6" i="13"/>
  <c r="J62" i="9"/>
  <c r="I62" i="13"/>
  <c r="K62" i="12"/>
  <c r="O21" i="5"/>
  <c r="I21" i="12"/>
  <c r="J72" i="13"/>
  <c r="J72" i="12"/>
  <c r="P76" i="13"/>
  <c r="Q76" i="12"/>
  <c r="O28" i="5"/>
  <c r="I28" i="12"/>
  <c r="I8" i="13"/>
  <c r="K8" i="12"/>
  <c r="I58" i="9"/>
  <c r="D58" i="9" s="1"/>
  <c r="M58" i="9" s="1"/>
  <c r="J58" i="13"/>
  <c r="J58" i="12"/>
  <c r="I34" i="9"/>
  <c r="D34" i="9" s="1"/>
  <c r="M34" i="9" s="1"/>
  <c r="J34" i="12"/>
  <c r="J34" i="13"/>
  <c r="J10" i="13"/>
  <c r="J10" i="12"/>
  <c r="Q74" i="12"/>
  <c r="P74" i="9"/>
  <c r="I50" i="12"/>
  <c r="O50" i="5"/>
  <c r="Q50" i="12" s="1"/>
  <c r="O26" i="5"/>
  <c r="Q26" i="12" s="1"/>
  <c r="I26" i="12"/>
  <c r="O2" i="5"/>
  <c r="I2" i="12"/>
  <c r="J66" i="9"/>
  <c r="I66" i="13"/>
  <c r="K66" i="12"/>
  <c r="J42" i="9"/>
  <c r="I42" i="13"/>
  <c r="I30" i="13"/>
  <c r="K30" i="12"/>
  <c r="J18" i="9"/>
  <c r="I18" i="13"/>
  <c r="J6" i="9"/>
  <c r="P19" i="9"/>
  <c r="I74" i="12"/>
  <c r="I38" i="12"/>
  <c r="J70" i="12"/>
  <c r="I55" i="13"/>
  <c r="I6" i="13"/>
  <c r="O61" i="5"/>
  <c r="O11" i="5"/>
  <c r="I66" i="9"/>
  <c r="D66" i="9" s="1"/>
  <c r="M66" i="9" s="1"/>
  <c r="J66" i="12"/>
  <c r="J66" i="13"/>
  <c r="I30" i="9"/>
  <c r="D30" i="9" s="1"/>
  <c r="M30" i="9" s="1"/>
  <c r="J30" i="12"/>
  <c r="J30" i="13"/>
  <c r="J74" i="9"/>
  <c r="I74" i="13"/>
  <c r="K74" i="12"/>
  <c r="K38" i="12"/>
  <c r="J38" i="9"/>
  <c r="I38" i="13"/>
  <c r="J14" i="9"/>
  <c r="K14" i="12"/>
  <c r="I14" i="13"/>
  <c r="I65" i="9"/>
  <c r="D65" i="9" s="1"/>
  <c r="M65" i="9" s="1"/>
  <c r="J65" i="13"/>
  <c r="I41" i="9"/>
  <c r="D41" i="9" s="1"/>
  <c r="M41" i="9" s="1"/>
  <c r="J41" i="12"/>
  <c r="I5" i="9"/>
  <c r="J5" i="13"/>
  <c r="J5" i="12"/>
  <c r="J37" i="9"/>
  <c r="I37" i="13"/>
  <c r="K37" i="12"/>
  <c r="J36" i="13"/>
  <c r="J36" i="12"/>
  <c r="K56" i="12"/>
  <c r="I56" i="13"/>
  <c r="I32" i="13"/>
  <c r="J32" i="9"/>
  <c r="J57" i="13"/>
  <c r="J57" i="12"/>
  <c r="J45" i="13"/>
  <c r="J45" i="12"/>
  <c r="J33" i="13"/>
  <c r="J33" i="12"/>
  <c r="J9" i="13"/>
  <c r="J9" i="12"/>
  <c r="P73" i="9"/>
  <c r="P73" i="13"/>
  <c r="O49" i="5"/>
  <c r="I49" i="12"/>
  <c r="O25" i="5"/>
  <c r="I25" i="12"/>
  <c r="J77" i="9"/>
  <c r="K77" i="12"/>
  <c r="J65" i="9"/>
  <c r="I65" i="13"/>
  <c r="K65" i="12"/>
  <c r="J53" i="9"/>
  <c r="I53" i="13"/>
  <c r="K53" i="12"/>
  <c r="J41" i="9"/>
  <c r="K41" i="12"/>
  <c r="I41" i="13"/>
  <c r="J29" i="9"/>
  <c r="K29" i="12"/>
  <c r="J17" i="9"/>
  <c r="K17" i="12"/>
  <c r="I17" i="13"/>
  <c r="J5" i="9"/>
  <c r="K5" i="12"/>
  <c r="J68" i="9"/>
  <c r="P76" i="9"/>
  <c r="Q23" i="12"/>
  <c r="K50" i="12"/>
  <c r="K61" i="12"/>
  <c r="I73" i="12"/>
  <c r="I37" i="12"/>
  <c r="J69" i="12"/>
  <c r="I54" i="13"/>
  <c r="I5" i="13"/>
  <c r="O10" i="5"/>
  <c r="J56" i="13"/>
  <c r="J56" i="12"/>
  <c r="J44" i="13"/>
  <c r="J44" i="12"/>
  <c r="I20" i="9"/>
  <c r="D20" i="9" s="1"/>
  <c r="M20" i="9" s="1"/>
  <c r="J20" i="12"/>
  <c r="J20" i="13"/>
  <c r="I8" i="9"/>
  <c r="J8" i="13"/>
  <c r="J8" i="12"/>
  <c r="O48" i="5"/>
  <c r="I48" i="12"/>
  <c r="O36" i="5"/>
  <c r="I36" i="12"/>
  <c r="O24" i="5"/>
  <c r="I24" i="12"/>
  <c r="J76" i="9"/>
  <c r="I76" i="13"/>
  <c r="J64" i="9"/>
  <c r="I64" i="13"/>
  <c r="K64" i="12"/>
  <c r="J52" i="9"/>
  <c r="I52" i="13"/>
  <c r="K52" i="12"/>
  <c r="J40" i="9"/>
  <c r="I40" i="13"/>
  <c r="K40" i="12"/>
  <c r="J28" i="9"/>
  <c r="I28" i="13"/>
  <c r="K28" i="12"/>
  <c r="J16" i="9"/>
  <c r="I16" i="13"/>
  <c r="K16" i="12"/>
  <c r="J4" i="9"/>
  <c r="I4" i="13"/>
  <c r="J67" i="9"/>
  <c r="Q20" i="12"/>
  <c r="I72" i="12"/>
  <c r="J68" i="12"/>
  <c r="J23" i="12"/>
  <c r="J35" i="13"/>
  <c r="P56" i="13"/>
  <c r="I50" i="13"/>
  <c r="O46" i="5"/>
  <c r="I42" i="9"/>
  <c r="D42" i="9" s="1"/>
  <c r="M42" i="9" s="1"/>
  <c r="J42" i="12"/>
  <c r="J42" i="13"/>
  <c r="I70" i="12"/>
  <c r="O70" i="5"/>
  <c r="Q22" i="12"/>
  <c r="P22" i="13"/>
  <c r="J2" i="9"/>
  <c r="I2" i="13"/>
  <c r="K2" i="12"/>
  <c r="I53" i="9"/>
  <c r="D53" i="9" s="1"/>
  <c r="M53" i="9" s="1"/>
  <c r="J53" i="13"/>
  <c r="J53" i="12"/>
  <c r="I9" i="12"/>
  <c r="O9" i="5"/>
  <c r="J25" i="9"/>
  <c r="K25" i="12"/>
  <c r="J17" i="12"/>
  <c r="K26" i="12"/>
  <c r="J48" i="13"/>
  <c r="J48" i="12"/>
  <c r="J24" i="13"/>
  <c r="J24" i="12"/>
  <c r="I52" i="12"/>
  <c r="O52" i="5"/>
  <c r="O4" i="5"/>
  <c r="I4" i="12"/>
  <c r="J55" i="13"/>
  <c r="J55" i="12"/>
  <c r="J31" i="12"/>
  <c r="J31" i="13"/>
  <c r="J19" i="12"/>
  <c r="J19" i="13"/>
  <c r="J7" i="12"/>
  <c r="J7" i="13"/>
  <c r="I71" i="12"/>
  <c r="O71" i="5"/>
  <c r="P59" i="13"/>
  <c r="Q59" i="12"/>
  <c r="O47" i="5"/>
  <c r="I47" i="12"/>
  <c r="O35" i="5"/>
  <c r="I35" i="12"/>
  <c r="J75" i="9"/>
  <c r="I75" i="13"/>
  <c r="K75" i="12"/>
  <c r="J63" i="9"/>
  <c r="I63" i="13"/>
  <c r="K63" i="12"/>
  <c r="J51" i="9"/>
  <c r="I51" i="13"/>
  <c r="K51" i="12"/>
  <c r="J39" i="9"/>
  <c r="I39" i="13"/>
  <c r="J27" i="9"/>
  <c r="I27" i="13"/>
  <c r="J15" i="9"/>
  <c r="I15" i="13"/>
  <c r="J3" i="9"/>
  <c r="I3" i="13"/>
  <c r="P37" i="9"/>
  <c r="K32" i="12"/>
  <c r="K73" i="12"/>
  <c r="J67" i="12"/>
  <c r="J22" i="12"/>
  <c r="J70" i="13"/>
  <c r="I49" i="13"/>
  <c r="O45" i="5"/>
  <c r="I51" i="9"/>
  <c r="D51" i="9" s="1"/>
  <c r="M51" i="9" s="1"/>
  <c r="J51" i="13"/>
  <c r="J35" i="9"/>
  <c r="K35" i="12"/>
  <c r="K45" i="12"/>
  <c r="I29" i="12"/>
  <c r="J37" i="12"/>
  <c r="J50" i="13"/>
  <c r="O31" i="5"/>
  <c r="J47" i="9"/>
  <c r="I47" i="13"/>
  <c r="I74" i="9"/>
  <c r="D74" i="9" s="1"/>
  <c r="M74" i="9" s="1"/>
  <c r="J74" i="13"/>
  <c r="O66" i="5"/>
  <c r="I66" i="12"/>
  <c r="P42" i="13"/>
  <c r="P42" i="9"/>
  <c r="O18" i="5"/>
  <c r="I18" i="12"/>
  <c r="O6" i="5"/>
  <c r="I6" i="12"/>
  <c r="J46" i="9"/>
  <c r="I46" i="13"/>
  <c r="K46" i="12"/>
  <c r="J22" i="9"/>
  <c r="K22" i="12"/>
  <c r="I22" i="13"/>
  <c r="Q42" i="12"/>
  <c r="I65" i="12"/>
  <c r="J26" i="13"/>
  <c r="I59" i="13"/>
  <c r="I11" i="13"/>
  <c r="I63" i="9"/>
  <c r="D63" i="9" s="1"/>
  <c r="M63" i="9" s="1"/>
  <c r="J63" i="12"/>
  <c r="I27" i="9"/>
  <c r="D27" i="9" s="1"/>
  <c r="M27" i="9" s="1"/>
  <c r="J27" i="12"/>
  <c r="J27" i="13"/>
  <c r="J3" i="13"/>
  <c r="J3" i="12"/>
  <c r="J23" i="9"/>
  <c r="I23" i="13"/>
  <c r="I61" i="9"/>
  <c r="D61" i="9" s="1"/>
  <c r="M61" i="9" s="1"/>
  <c r="J61" i="12"/>
  <c r="I49" i="9"/>
  <c r="D49" i="9" s="1"/>
  <c r="M49" i="9" s="1"/>
  <c r="J49" i="13"/>
  <c r="I25" i="9"/>
  <c r="D25" i="9" s="1"/>
  <c r="M25" i="9" s="1"/>
  <c r="J25" i="13"/>
  <c r="J25" i="12"/>
  <c r="I13" i="9"/>
  <c r="D13" i="9" s="1"/>
  <c r="M13" i="9" s="1"/>
  <c r="J13" i="12"/>
  <c r="J13" i="13"/>
  <c r="P77" i="13"/>
  <c r="Q77" i="12"/>
  <c r="P53" i="13"/>
  <c r="Q53" i="12"/>
  <c r="P29" i="13"/>
  <c r="P29" i="9"/>
  <c r="O5" i="5"/>
  <c r="I5" i="12"/>
  <c r="J21" i="9"/>
  <c r="I21" i="13"/>
  <c r="J33" i="9"/>
  <c r="K57" i="12"/>
  <c r="J74" i="12"/>
  <c r="J15" i="13"/>
  <c r="J37" i="13"/>
  <c r="I58" i="13"/>
  <c r="I35" i="13"/>
  <c r="I10" i="13"/>
  <c r="J73" i="12"/>
  <c r="I34" i="13"/>
  <c r="I7" i="12"/>
  <c r="J2" i="12"/>
  <c r="J75" i="13"/>
  <c r="P14" i="13"/>
  <c r="P14" i="9"/>
  <c r="P38" i="13"/>
  <c r="P74" i="13"/>
  <c r="Q14" i="12"/>
  <c r="Q38" i="12"/>
  <c r="P50" i="9"/>
  <c r="I57" i="5"/>
  <c r="I45" i="5"/>
  <c r="I9" i="5"/>
  <c r="I67" i="5"/>
  <c r="I55" i="5"/>
  <c r="I43" i="5"/>
  <c r="I31" i="5"/>
  <c r="I19" i="5"/>
  <c r="I7" i="5"/>
  <c r="Q65" i="5"/>
  <c r="I69" i="9"/>
  <c r="D69" i="9" s="1"/>
  <c r="M69" i="9" s="1"/>
  <c r="I69" i="5"/>
  <c r="Q29" i="5"/>
  <c r="Q28" i="5"/>
  <c r="Q64" i="5"/>
  <c r="I33" i="9"/>
  <c r="D33" i="9" s="1"/>
  <c r="M33" i="9" s="1"/>
  <c r="I33" i="5"/>
  <c r="I21" i="9"/>
  <c r="D21" i="9" s="1"/>
  <c r="M21" i="9" s="1"/>
  <c r="I21" i="5"/>
  <c r="Q76" i="5"/>
  <c r="Q4" i="5"/>
  <c r="I68" i="5"/>
  <c r="I17" i="5"/>
  <c r="I56" i="5"/>
  <c r="I32" i="5"/>
  <c r="I8" i="5"/>
  <c r="I28" i="5"/>
  <c r="I44" i="5"/>
  <c r="I20" i="5"/>
  <c r="I75" i="5"/>
  <c r="I3" i="5"/>
  <c r="I62" i="5"/>
  <c r="I38" i="5"/>
  <c r="I14" i="5"/>
  <c r="I75" i="9"/>
  <c r="D75" i="9" s="1"/>
  <c r="M75" i="9" s="1"/>
  <c r="I72" i="5"/>
  <c r="I60" i="5"/>
  <c r="I48" i="5"/>
  <c r="I36" i="5"/>
  <c r="I24" i="5"/>
  <c r="I12" i="5"/>
  <c r="I71" i="5"/>
  <c r="I23" i="5"/>
  <c r="I46" i="5"/>
  <c r="I22" i="5"/>
  <c r="I10" i="5"/>
  <c r="Q3" i="5"/>
  <c r="I28" i="9"/>
  <c r="D28" i="9" s="1"/>
  <c r="M28" i="9" s="1"/>
  <c r="I66" i="5"/>
  <c r="I54" i="5"/>
  <c r="I42" i="5"/>
  <c r="I30" i="5"/>
  <c r="I18" i="5"/>
  <c r="I6" i="5"/>
  <c r="I77" i="5"/>
  <c r="I65" i="5"/>
  <c r="I53" i="5"/>
  <c r="I41" i="5"/>
  <c r="I29" i="5"/>
  <c r="I5" i="5"/>
  <c r="I76" i="5"/>
  <c r="I64" i="5"/>
  <c r="I52" i="5"/>
  <c r="I40" i="5"/>
  <c r="I16" i="5"/>
  <c r="I4" i="5"/>
  <c r="Q47" i="5"/>
  <c r="Q35" i="5"/>
  <c r="Q11" i="5"/>
  <c r="I63" i="5"/>
  <c r="I51" i="5"/>
  <c r="I39" i="5"/>
  <c r="I27" i="5"/>
  <c r="I15" i="5"/>
  <c r="I74" i="5"/>
  <c r="I50" i="5"/>
  <c r="I26" i="5"/>
  <c r="I46" i="9"/>
  <c r="D46" i="9" s="1"/>
  <c r="M46" i="9" s="1"/>
  <c r="Q57" i="5"/>
  <c r="I73" i="5"/>
  <c r="I61" i="5"/>
  <c r="I49" i="5"/>
  <c r="I37" i="5"/>
  <c r="I25" i="5"/>
  <c r="I13" i="5"/>
  <c r="I59" i="5"/>
  <c r="I47" i="5"/>
  <c r="I35" i="5"/>
  <c r="I11" i="5"/>
  <c r="Q66" i="5"/>
  <c r="Q18" i="5"/>
  <c r="I70" i="5"/>
  <c r="I58" i="5"/>
  <c r="I34" i="5"/>
  <c r="I57" i="9"/>
  <c r="D57" i="9" s="1"/>
  <c r="M57" i="9" s="1"/>
  <c r="I44" i="9"/>
  <c r="D44" i="9" s="1"/>
  <c r="M44" i="9" s="1"/>
  <c r="I38" i="9"/>
  <c r="D38" i="9" s="1"/>
  <c r="M38" i="9" s="1"/>
  <c r="I72" i="9"/>
  <c r="D72" i="9" s="1"/>
  <c r="M72" i="9" s="1"/>
  <c r="I60" i="9"/>
  <c r="D60" i="9" s="1"/>
  <c r="M60" i="9" s="1"/>
  <c r="I24" i="9"/>
  <c r="D24" i="9" s="1"/>
  <c r="M24" i="9" s="1"/>
  <c r="I12" i="9"/>
  <c r="D12" i="9" s="1"/>
  <c r="M12" i="9" s="1"/>
  <c r="I36" i="9"/>
  <c r="D36" i="9" s="1"/>
  <c r="M36" i="9" s="1"/>
  <c r="I71" i="9"/>
  <c r="D71" i="9" s="1"/>
  <c r="M71" i="9" s="1"/>
  <c r="I23" i="9"/>
  <c r="D23" i="9" s="1"/>
  <c r="M23" i="9" s="1"/>
  <c r="I62" i="9"/>
  <c r="D62" i="9" s="1"/>
  <c r="M62" i="9" s="1"/>
  <c r="I10" i="9"/>
  <c r="D10" i="9" s="1"/>
  <c r="M10" i="9" s="1"/>
  <c r="I68" i="9"/>
  <c r="D68" i="9" s="1"/>
  <c r="M68" i="9" s="1"/>
  <c r="I32" i="9"/>
  <c r="D32" i="9" s="1"/>
  <c r="M32" i="9" s="1"/>
  <c r="I14" i="9"/>
  <c r="D14" i="9" s="1"/>
  <c r="M14" i="9" s="1"/>
  <c r="I48" i="9"/>
  <c r="D48" i="9" s="1"/>
  <c r="M48" i="9" s="1"/>
  <c r="I22" i="9"/>
  <c r="D22" i="9" s="1"/>
  <c r="M22" i="9" s="1"/>
  <c r="I3" i="9"/>
  <c r="I56" i="9"/>
  <c r="D56" i="9" s="1"/>
  <c r="M56" i="9" s="1"/>
  <c r="I67" i="9"/>
  <c r="D67" i="9" s="1"/>
  <c r="M67" i="9" s="1"/>
  <c r="I55" i="9"/>
  <c r="D55" i="9" s="1"/>
  <c r="M55" i="9" s="1"/>
  <c r="I43" i="9"/>
  <c r="D43" i="9" s="1"/>
  <c r="M43" i="9" s="1"/>
  <c r="I31" i="9"/>
  <c r="D31" i="9" s="1"/>
  <c r="M31" i="9" s="1"/>
  <c r="I19" i="9"/>
  <c r="D19" i="9" s="1"/>
  <c r="M19" i="9" s="1"/>
  <c r="I7" i="9"/>
  <c r="I17" i="9"/>
  <c r="D17" i="9" s="1"/>
  <c r="M17" i="9" s="1"/>
  <c r="I45" i="9"/>
  <c r="D45" i="9" s="1"/>
  <c r="M45" i="9" s="1"/>
  <c r="I9" i="9"/>
  <c r="D9" i="9" s="1"/>
  <c r="M9" i="9" s="1"/>
  <c r="E15" i="3"/>
  <c r="E75" i="3"/>
  <c r="E63" i="3"/>
  <c r="N63" i="9" s="1"/>
  <c r="E42" i="3"/>
  <c r="E26" i="3"/>
  <c r="N26" i="9"/>
  <c r="N76" i="9"/>
  <c r="N15" i="9"/>
  <c r="N52" i="9"/>
  <c r="N51" i="9"/>
  <c r="N66" i="9"/>
  <c r="N54" i="9"/>
  <c r="N40" i="9"/>
  <c r="N39" i="9"/>
  <c r="N28" i="9"/>
  <c r="N5" i="9"/>
  <c r="N64" i="9"/>
  <c r="E30" i="3"/>
  <c r="E27" i="3"/>
  <c r="E6" i="3"/>
  <c r="E10" i="3"/>
  <c r="E18" i="3"/>
  <c r="E4" i="3"/>
  <c r="E17" i="3"/>
  <c r="E77" i="3"/>
  <c r="E65" i="3"/>
  <c r="E53" i="3"/>
  <c r="E41" i="3"/>
  <c r="E29" i="3"/>
  <c r="E16" i="3"/>
  <c r="E38" i="3"/>
  <c r="E2" i="3"/>
  <c r="E49" i="3"/>
  <c r="E13" i="3"/>
  <c r="E48" i="3"/>
  <c r="E12" i="3"/>
  <c r="E71" i="3"/>
  <c r="E59" i="3"/>
  <c r="E35" i="3"/>
  <c r="E23" i="3"/>
  <c r="E11" i="3"/>
  <c r="E62" i="3"/>
  <c r="E47" i="3"/>
  <c r="E70" i="3"/>
  <c r="E58" i="3"/>
  <c r="E46" i="3"/>
  <c r="E34" i="3"/>
  <c r="E22" i="3"/>
  <c r="E14" i="3"/>
  <c r="E50" i="3"/>
  <c r="E73" i="3"/>
  <c r="E36" i="3"/>
  <c r="E45" i="3"/>
  <c r="E33" i="3"/>
  <c r="E21" i="3"/>
  <c r="E9" i="3"/>
  <c r="E74" i="3"/>
  <c r="E61" i="3"/>
  <c r="E25" i="3"/>
  <c r="E72" i="3"/>
  <c r="E57" i="3"/>
  <c r="E56" i="3"/>
  <c r="E32" i="3"/>
  <c r="E20" i="3"/>
  <c r="E8" i="3"/>
  <c r="E37" i="3"/>
  <c r="E60" i="3"/>
  <c r="E24" i="3"/>
  <c r="E69" i="3"/>
  <c r="E68" i="3"/>
  <c r="E44" i="3"/>
  <c r="E67" i="3"/>
  <c r="E55" i="3"/>
  <c r="E43" i="3"/>
  <c r="E31" i="3"/>
  <c r="E19" i="3"/>
  <c r="E7" i="3"/>
  <c r="P7" i="13" l="1"/>
  <c r="Q7" i="12"/>
  <c r="P16" i="9"/>
  <c r="P50" i="13"/>
  <c r="Q16" i="12"/>
  <c r="P62" i="13"/>
  <c r="P26" i="9"/>
  <c r="P40" i="9"/>
  <c r="P40" i="13"/>
  <c r="P43" i="13"/>
  <c r="P26" i="13"/>
  <c r="Q43" i="12"/>
  <c r="P68" i="13"/>
  <c r="P62" i="9"/>
  <c r="Q30" i="12"/>
  <c r="P30" i="9"/>
  <c r="P67" i="13"/>
  <c r="Q67" i="12"/>
  <c r="Q68" i="12"/>
  <c r="P17" i="13"/>
  <c r="P17" i="9"/>
  <c r="Q17" i="12"/>
  <c r="P67" i="9"/>
  <c r="P41" i="13"/>
  <c r="P41" i="9"/>
  <c r="Q41" i="12"/>
  <c r="L8" i="12"/>
  <c r="K8" i="13"/>
  <c r="P46" i="9"/>
  <c r="P46" i="13"/>
  <c r="Q46" i="12"/>
  <c r="P36" i="13"/>
  <c r="Q36" i="12"/>
  <c r="P36" i="9"/>
  <c r="P12" i="9"/>
  <c r="P12" i="13"/>
  <c r="Q12" i="12"/>
  <c r="K76" i="13"/>
  <c r="L76" i="13" s="1"/>
  <c r="L76" i="12"/>
  <c r="M76" i="12" s="1"/>
  <c r="R76" i="12" s="1"/>
  <c r="K39" i="13"/>
  <c r="L39" i="13" s="1"/>
  <c r="L39" i="12"/>
  <c r="M39" i="12" s="1"/>
  <c r="R39" i="12" s="1"/>
  <c r="L72" i="12"/>
  <c r="M72" i="12" s="1"/>
  <c r="R72" i="12" s="1"/>
  <c r="K72" i="13"/>
  <c r="L72" i="13" s="1"/>
  <c r="P18" i="13"/>
  <c r="Q18" i="12"/>
  <c r="P18" i="9"/>
  <c r="P31" i="9"/>
  <c r="P31" i="13"/>
  <c r="Q31" i="12"/>
  <c r="P25" i="13"/>
  <c r="P25" i="9"/>
  <c r="Q25" i="12"/>
  <c r="L34" i="12"/>
  <c r="M34" i="12" s="1"/>
  <c r="R34" i="12" s="1"/>
  <c r="K34" i="13"/>
  <c r="L34" i="13" s="1"/>
  <c r="K49" i="13"/>
  <c r="L49" i="13" s="1"/>
  <c r="L49" i="12"/>
  <c r="M49" i="12" s="1"/>
  <c r="R49" i="12" s="1"/>
  <c r="K51" i="13"/>
  <c r="L51" i="13" s="1"/>
  <c r="L51" i="12"/>
  <c r="M51" i="12" s="1"/>
  <c r="R51" i="12" s="1"/>
  <c r="K29" i="13"/>
  <c r="L29" i="13" s="1"/>
  <c r="L29" i="12"/>
  <c r="M29" i="12" s="1"/>
  <c r="R29" i="12" s="1"/>
  <c r="K17" i="13"/>
  <c r="L17" i="13" s="1"/>
  <c r="L17" i="12"/>
  <c r="M17" i="12" s="1"/>
  <c r="R17" i="12" s="1"/>
  <c r="K45" i="13"/>
  <c r="L45" i="13" s="1"/>
  <c r="L45" i="12"/>
  <c r="M45" i="12" s="1"/>
  <c r="R45" i="12" s="1"/>
  <c r="Q35" i="12"/>
  <c r="P35" i="13"/>
  <c r="P35" i="9"/>
  <c r="P10" i="9"/>
  <c r="Q10" i="12"/>
  <c r="P10" i="13"/>
  <c r="P63" i="9"/>
  <c r="Q63" i="12"/>
  <c r="P63" i="13"/>
  <c r="Q58" i="12"/>
  <c r="P58" i="9"/>
  <c r="P58" i="13"/>
  <c r="K15" i="13"/>
  <c r="L15" i="13" s="1"/>
  <c r="L15" i="12"/>
  <c r="M15" i="12" s="1"/>
  <c r="R15" i="12" s="1"/>
  <c r="P6" i="13"/>
  <c r="Q6" i="12"/>
  <c r="P6" i="9"/>
  <c r="L66" i="12"/>
  <c r="M66" i="12" s="1"/>
  <c r="R66" i="12" s="1"/>
  <c r="K66" i="13"/>
  <c r="L66" i="13" s="1"/>
  <c r="Q51" i="12"/>
  <c r="P51" i="9"/>
  <c r="P51" i="13"/>
  <c r="L5" i="12"/>
  <c r="K5" i="13"/>
  <c r="K9" i="13"/>
  <c r="L9" i="13" s="1"/>
  <c r="L9" i="12"/>
  <c r="M9" i="12" s="1"/>
  <c r="R9" i="12" s="1"/>
  <c r="K22" i="13"/>
  <c r="L22" i="13" s="1"/>
  <c r="L22" i="12"/>
  <c r="M22" i="12" s="1"/>
  <c r="R22" i="12" s="1"/>
  <c r="K38" i="13"/>
  <c r="L38" i="13" s="1"/>
  <c r="L38" i="12"/>
  <c r="M38" i="12" s="1"/>
  <c r="R38" i="12" s="1"/>
  <c r="P47" i="13"/>
  <c r="P47" i="9"/>
  <c r="Q47" i="12"/>
  <c r="P75" i="9"/>
  <c r="P75" i="13"/>
  <c r="Q75" i="12"/>
  <c r="K65" i="13"/>
  <c r="L65" i="13" s="1"/>
  <c r="L65" i="12"/>
  <c r="M65" i="12" s="1"/>
  <c r="R65" i="12" s="1"/>
  <c r="L62" i="12"/>
  <c r="M62" i="12" s="1"/>
  <c r="R62" i="12" s="1"/>
  <c r="K62" i="13"/>
  <c r="L62" i="13" s="1"/>
  <c r="Q2" i="12"/>
  <c r="P2" i="9"/>
  <c r="P2" i="13"/>
  <c r="P21" i="13"/>
  <c r="Q21" i="12"/>
  <c r="P21" i="9"/>
  <c r="K11" i="13"/>
  <c r="L11" i="13" s="1"/>
  <c r="L11" i="12"/>
  <c r="M11" i="12" s="1"/>
  <c r="R11" i="12" s="1"/>
  <c r="K2" i="13"/>
  <c r="L2" i="12"/>
  <c r="K4" i="13"/>
  <c r="L4" i="12"/>
  <c r="K6" i="13"/>
  <c r="L6" i="13" s="1"/>
  <c r="L6" i="12"/>
  <c r="K71" i="13"/>
  <c r="L71" i="13" s="1"/>
  <c r="L71" i="12"/>
  <c r="M71" i="12" s="1"/>
  <c r="R71" i="12" s="1"/>
  <c r="K75" i="13"/>
  <c r="L75" i="13" s="1"/>
  <c r="L75" i="12"/>
  <c r="M75" i="12" s="1"/>
  <c r="R75" i="12" s="1"/>
  <c r="L7" i="12"/>
  <c r="M7" i="12" s="1"/>
  <c r="K7" i="13"/>
  <c r="L7" i="13" s="1"/>
  <c r="P5" i="9"/>
  <c r="Q5" i="12"/>
  <c r="P5" i="13"/>
  <c r="P66" i="13"/>
  <c r="Q66" i="12"/>
  <c r="P66" i="9"/>
  <c r="P71" i="13"/>
  <c r="P71" i="9"/>
  <c r="Q71" i="12"/>
  <c r="P52" i="9"/>
  <c r="P52" i="13"/>
  <c r="Q52" i="12"/>
  <c r="P64" i="9"/>
  <c r="P64" i="13"/>
  <c r="Q64" i="12"/>
  <c r="Q69" i="12"/>
  <c r="P69" i="9"/>
  <c r="P69" i="13"/>
  <c r="P8" i="13"/>
  <c r="Q8" i="12"/>
  <c r="P8" i="9"/>
  <c r="K54" i="13"/>
  <c r="L54" i="13" s="1"/>
  <c r="L54" i="12"/>
  <c r="M54" i="12" s="1"/>
  <c r="R54" i="12" s="1"/>
  <c r="L67" i="12"/>
  <c r="M67" i="12" s="1"/>
  <c r="R67" i="12" s="1"/>
  <c r="K67" i="13"/>
  <c r="L67" i="13" s="1"/>
  <c r="K56" i="13"/>
  <c r="L56" i="13" s="1"/>
  <c r="L56" i="12"/>
  <c r="M56" i="12" s="1"/>
  <c r="R56" i="12" s="1"/>
  <c r="K14" i="13"/>
  <c r="L14" i="13" s="1"/>
  <c r="L14" i="12"/>
  <c r="M14" i="12" s="1"/>
  <c r="R14" i="12" s="1"/>
  <c r="L26" i="12"/>
  <c r="M26" i="12" s="1"/>
  <c r="R26" i="12" s="1"/>
  <c r="K26" i="13"/>
  <c r="L26" i="13" s="1"/>
  <c r="Q27" i="12"/>
  <c r="P27" i="13"/>
  <c r="P27" i="9"/>
  <c r="L13" i="12"/>
  <c r="M13" i="12" s="1"/>
  <c r="R13" i="12" s="1"/>
  <c r="K13" i="13"/>
  <c r="L13" i="13" s="1"/>
  <c r="K64" i="13"/>
  <c r="L64" i="13" s="1"/>
  <c r="L64" i="12"/>
  <c r="M64" i="12" s="1"/>
  <c r="R64" i="12" s="1"/>
  <c r="K48" i="13"/>
  <c r="L48" i="13" s="1"/>
  <c r="L48" i="12"/>
  <c r="M48" i="12" s="1"/>
  <c r="R48" i="12" s="1"/>
  <c r="L55" i="12"/>
  <c r="M55" i="12" s="1"/>
  <c r="R55" i="12" s="1"/>
  <c r="K55" i="13"/>
  <c r="L55" i="13" s="1"/>
  <c r="P45" i="13"/>
  <c r="Q45" i="12"/>
  <c r="P45" i="9"/>
  <c r="Q24" i="12"/>
  <c r="P24" i="9"/>
  <c r="P24" i="13"/>
  <c r="P11" i="13"/>
  <c r="P11" i="9"/>
  <c r="Q11" i="12"/>
  <c r="K27" i="13"/>
  <c r="L27" i="13" s="1"/>
  <c r="L27" i="12"/>
  <c r="M27" i="12" s="1"/>
  <c r="R27" i="12" s="1"/>
  <c r="K32" i="13"/>
  <c r="L32" i="13" s="1"/>
  <c r="L32" i="12"/>
  <c r="M32" i="12" s="1"/>
  <c r="R32" i="12" s="1"/>
  <c r="P61" i="13"/>
  <c r="P61" i="9"/>
  <c r="Q61" i="12"/>
  <c r="P28" i="9"/>
  <c r="Q28" i="12"/>
  <c r="P28" i="13"/>
  <c r="P57" i="13"/>
  <c r="Q57" i="12"/>
  <c r="P57" i="9"/>
  <c r="K37" i="13"/>
  <c r="L37" i="13" s="1"/>
  <c r="L37" i="12"/>
  <c r="M37" i="12" s="1"/>
  <c r="R37" i="12" s="1"/>
  <c r="K58" i="13"/>
  <c r="L58" i="13" s="1"/>
  <c r="L58" i="12"/>
  <c r="M58" i="12" s="1"/>
  <c r="R58" i="12" s="1"/>
  <c r="K63" i="13"/>
  <c r="L63" i="13" s="1"/>
  <c r="L63" i="12"/>
  <c r="M63" i="12" s="1"/>
  <c r="R63" i="12" s="1"/>
  <c r="L41" i="12"/>
  <c r="M41" i="12" s="1"/>
  <c r="R41" i="12" s="1"/>
  <c r="K41" i="13"/>
  <c r="L41" i="13" s="1"/>
  <c r="K68" i="13"/>
  <c r="L68" i="13" s="1"/>
  <c r="L68" i="12"/>
  <c r="M68" i="12" s="1"/>
  <c r="R68" i="12" s="1"/>
  <c r="K57" i="13"/>
  <c r="L57" i="13" s="1"/>
  <c r="L57" i="12"/>
  <c r="M57" i="12" s="1"/>
  <c r="R57" i="12" s="1"/>
  <c r="L53" i="12"/>
  <c r="M53" i="12" s="1"/>
  <c r="R53" i="12" s="1"/>
  <c r="K53" i="13"/>
  <c r="L53" i="13" s="1"/>
  <c r="P3" i="13"/>
  <c r="Q3" i="12"/>
  <c r="P3" i="9"/>
  <c r="K46" i="13"/>
  <c r="L46" i="13" s="1"/>
  <c r="L46" i="12"/>
  <c r="M46" i="12" s="1"/>
  <c r="R46" i="12" s="1"/>
  <c r="L77" i="12"/>
  <c r="M77" i="12" s="1"/>
  <c r="R77" i="12" s="1"/>
  <c r="K77" i="13"/>
  <c r="L77" i="13" s="1"/>
  <c r="K3" i="13"/>
  <c r="L3" i="12"/>
  <c r="K35" i="13"/>
  <c r="L35" i="13" s="1"/>
  <c r="L35" i="12"/>
  <c r="M35" i="12" s="1"/>
  <c r="R35" i="12" s="1"/>
  <c r="K20" i="13"/>
  <c r="L20" i="13" s="1"/>
  <c r="L20" i="12"/>
  <c r="M20" i="12" s="1"/>
  <c r="R20" i="12" s="1"/>
  <c r="L19" i="12"/>
  <c r="M19" i="12" s="1"/>
  <c r="R19" i="12" s="1"/>
  <c r="K19" i="13"/>
  <c r="L19" i="13" s="1"/>
  <c r="P70" i="9"/>
  <c r="P70" i="13"/>
  <c r="Q70" i="12"/>
  <c r="K47" i="13"/>
  <c r="L47" i="13" s="1"/>
  <c r="L47" i="12"/>
  <c r="M47" i="12" s="1"/>
  <c r="R47" i="12" s="1"/>
  <c r="K50" i="13"/>
  <c r="L50" i="13" s="1"/>
  <c r="L50" i="12"/>
  <c r="M50" i="12" s="1"/>
  <c r="R50" i="12" s="1"/>
  <c r="K40" i="13"/>
  <c r="L40" i="13" s="1"/>
  <c r="L40" i="12"/>
  <c r="M40" i="12" s="1"/>
  <c r="R40" i="12" s="1"/>
  <c r="K30" i="13"/>
  <c r="L30" i="13" s="1"/>
  <c r="L30" i="12"/>
  <c r="M30" i="12" s="1"/>
  <c r="R30" i="12" s="1"/>
  <c r="L24" i="12"/>
  <c r="M24" i="12" s="1"/>
  <c r="R24" i="12" s="1"/>
  <c r="K24" i="13"/>
  <c r="L24" i="13" s="1"/>
  <c r="K44" i="13"/>
  <c r="L44" i="13" s="1"/>
  <c r="L44" i="12"/>
  <c r="M44" i="12" s="1"/>
  <c r="R44" i="12" s="1"/>
  <c r="K31" i="13"/>
  <c r="L31" i="13" s="1"/>
  <c r="L31" i="12"/>
  <c r="M31" i="12" s="1"/>
  <c r="R31" i="12" s="1"/>
  <c r="Q32" i="12"/>
  <c r="P32" i="9"/>
  <c r="P32" i="13"/>
  <c r="K25" i="13"/>
  <c r="L25" i="13" s="1"/>
  <c r="L25" i="12"/>
  <c r="M25" i="12" s="1"/>
  <c r="R25" i="12" s="1"/>
  <c r="L60" i="12"/>
  <c r="M60" i="12" s="1"/>
  <c r="R60" i="12" s="1"/>
  <c r="K60" i="13"/>
  <c r="L60" i="13" s="1"/>
  <c r="P44" i="9"/>
  <c r="Q44" i="12"/>
  <c r="P44" i="13"/>
  <c r="K69" i="13"/>
  <c r="L69" i="13" s="1"/>
  <c r="L69" i="12"/>
  <c r="M69" i="12" s="1"/>
  <c r="R69" i="12" s="1"/>
  <c r="L61" i="12"/>
  <c r="M61" i="12" s="1"/>
  <c r="R61" i="12" s="1"/>
  <c r="K61" i="13"/>
  <c r="L61" i="13" s="1"/>
  <c r="K10" i="13"/>
  <c r="L10" i="13" s="1"/>
  <c r="L10" i="12"/>
  <c r="M10" i="12" s="1"/>
  <c r="R10" i="12" s="1"/>
  <c r="Q48" i="12"/>
  <c r="P48" i="9"/>
  <c r="P48" i="13"/>
  <c r="P49" i="13"/>
  <c r="P49" i="9"/>
  <c r="Q49" i="12"/>
  <c r="L70" i="12"/>
  <c r="M70" i="12" s="1"/>
  <c r="R70" i="12" s="1"/>
  <c r="K70" i="13"/>
  <c r="L70" i="13" s="1"/>
  <c r="L73" i="12"/>
  <c r="M73" i="12" s="1"/>
  <c r="R73" i="12" s="1"/>
  <c r="K73" i="13"/>
  <c r="L73" i="13" s="1"/>
  <c r="K23" i="13"/>
  <c r="L23" i="13" s="1"/>
  <c r="L23" i="12"/>
  <c r="M23" i="12" s="1"/>
  <c r="R23" i="12" s="1"/>
  <c r="K21" i="13"/>
  <c r="L21" i="13" s="1"/>
  <c r="L21" i="12"/>
  <c r="M21" i="12" s="1"/>
  <c r="R21" i="12" s="1"/>
  <c r="P4" i="13"/>
  <c r="Q4" i="12"/>
  <c r="P4" i="9"/>
  <c r="P15" i="13"/>
  <c r="P15" i="9"/>
  <c r="Q15" i="12"/>
  <c r="Q33" i="12"/>
  <c r="P33" i="13"/>
  <c r="P33" i="9"/>
  <c r="K16" i="13"/>
  <c r="L16" i="13" s="1"/>
  <c r="L16" i="12"/>
  <c r="M16" i="12" s="1"/>
  <c r="R16" i="12" s="1"/>
  <c r="K18" i="13"/>
  <c r="L18" i="13" s="1"/>
  <c r="L18" i="12"/>
  <c r="M18" i="12" s="1"/>
  <c r="R18" i="12" s="1"/>
  <c r="K12" i="13"/>
  <c r="L12" i="13" s="1"/>
  <c r="L12" i="12"/>
  <c r="M12" i="12" s="1"/>
  <c r="R12" i="12" s="1"/>
  <c r="K33" i="13"/>
  <c r="L33" i="13" s="1"/>
  <c r="L33" i="12"/>
  <c r="M33" i="12" s="1"/>
  <c r="R33" i="12" s="1"/>
  <c r="Q9" i="12"/>
  <c r="P9" i="9"/>
  <c r="P9" i="13"/>
  <c r="K59" i="13"/>
  <c r="L59" i="13" s="1"/>
  <c r="L59" i="12"/>
  <c r="M59" i="12" s="1"/>
  <c r="R59" i="12" s="1"/>
  <c r="K74" i="13"/>
  <c r="L74" i="13" s="1"/>
  <c r="L74" i="12"/>
  <c r="M74" i="12" s="1"/>
  <c r="R74" i="12" s="1"/>
  <c r="K52" i="13"/>
  <c r="L52" i="13" s="1"/>
  <c r="L52" i="12"/>
  <c r="M52" i="12" s="1"/>
  <c r="R52" i="12" s="1"/>
  <c r="K42" i="13"/>
  <c r="L42" i="13" s="1"/>
  <c r="L42" i="12"/>
  <c r="M42" i="12" s="1"/>
  <c r="R42" i="12" s="1"/>
  <c r="L36" i="12"/>
  <c r="M36" i="12" s="1"/>
  <c r="R36" i="12" s="1"/>
  <c r="K36" i="13"/>
  <c r="L36" i="13" s="1"/>
  <c r="K28" i="13"/>
  <c r="L28" i="13" s="1"/>
  <c r="L28" i="12"/>
  <c r="M28" i="12" s="1"/>
  <c r="R28" i="12" s="1"/>
  <c r="K43" i="13"/>
  <c r="L43" i="13" s="1"/>
  <c r="L43" i="12"/>
  <c r="M43" i="12" s="1"/>
  <c r="R43" i="12" s="1"/>
  <c r="P39" i="13"/>
  <c r="P39" i="9"/>
  <c r="Q39" i="12"/>
  <c r="P34" i="13"/>
  <c r="Q34" i="12"/>
  <c r="P34" i="9"/>
  <c r="N75" i="9"/>
  <c r="J70" i="5"/>
  <c r="L70" i="5" s="1"/>
  <c r="K70" i="9"/>
  <c r="J29" i="5"/>
  <c r="K29" i="9"/>
  <c r="L29" i="9" s="1"/>
  <c r="J63" i="5"/>
  <c r="L63" i="5" s="1"/>
  <c r="K63" i="9"/>
  <c r="L63" i="9" s="1"/>
  <c r="J41" i="5"/>
  <c r="L41" i="5" s="1"/>
  <c r="K41" i="9"/>
  <c r="L41" i="9" s="1"/>
  <c r="J10" i="5"/>
  <c r="K10" i="9"/>
  <c r="L10" i="9" s="1"/>
  <c r="J14" i="5"/>
  <c r="K14" i="9"/>
  <c r="L14" i="9" s="1"/>
  <c r="J53" i="5"/>
  <c r="L53" i="5" s="1"/>
  <c r="K53" i="9"/>
  <c r="L53" i="9" s="1"/>
  <c r="J22" i="5"/>
  <c r="L22" i="5" s="1"/>
  <c r="K22" i="9"/>
  <c r="L22" i="9" s="1"/>
  <c r="J11" i="5"/>
  <c r="K11" i="9"/>
  <c r="L11" i="9" s="1"/>
  <c r="J65" i="5"/>
  <c r="L65" i="5" s="1"/>
  <c r="K65" i="9"/>
  <c r="L65" i="9" s="1"/>
  <c r="J46" i="5"/>
  <c r="L46" i="5" s="1"/>
  <c r="K46" i="9"/>
  <c r="L46" i="9" s="1"/>
  <c r="J7" i="5"/>
  <c r="L7" i="5" s="1"/>
  <c r="K7" i="9"/>
  <c r="L7" i="9" s="1"/>
  <c r="J35" i="5"/>
  <c r="L35" i="5" s="1"/>
  <c r="K35" i="9"/>
  <c r="L35" i="9" s="1"/>
  <c r="J77" i="5"/>
  <c r="K77" i="9"/>
  <c r="L77" i="9" s="1"/>
  <c r="J23" i="5"/>
  <c r="L23" i="5" s="1"/>
  <c r="K23" i="9"/>
  <c r="L23" i="9" s="1"/>
  <c r="J21" i="5"/>
  <c r="L21" i="5" s="1"/>
  <c r="K21" i="9"/>
  <c r="L21" i="9" s="1"/>
  <c r="J19" i="5"/>
  <c r="L19" i="5" s="1"/>
  <c r="K19" i="9"/>
  <c r="L19" i="9" s="1"/>
  <c r="J2" i="5"/>
  <c r="K2" i="9"/>
  <c r="J4" i="5"/>
  <c r="K4" i="9"/>
  <c r="L4" i="9" s="1"/>
  <c r="J6" i="5"/>
  <c r="K6" i="9"/>
  <c r="L6" i="9" s="1"/>
  <c r="J71" i="5"/>
  <c r="L71" i="5" s="1"/>
  <c r="K71" i="9"/>
  <c r="L71" i="9" s="1"/>
  <c r="J75" i="5"/>
  <c r="L75" i="5" s="1"/>
  <c r="K75" i="9"/>
  <c r="L75" i="9" s="1"/>
  <c r="J31" i="5"/>
  <c r="L31" i="5" s="1"/>
  <c r="K31" i="9"/>
  <c r="L31" i="9" s="1"/>
  <c r="J59" i="5"/>
  <c r="L59" i="5" s="1"/>
  <c r="K59" i="9"/>
  <c r="L59" i="9" s="1"/>
  <c r="J26" i="5"/>
  <c r="L26" i="5" s="1"/>
  <c r="K26" i="9"/>
  <c r="L26" i="9" s="1"/>
  <c r="J16" i="5"/>
  <c r="L16" i="5" s="1"/>
  <c r="K16" i="9"/>
  <c r="L16" i="9" s="1"/>
  <c r="J18" i="5"/>
  <c r="L18" i="5" s="1"/>
  <c r="K18" i="9"/>
  <c r="L18" i="9" s="1"/>
  <c r="J12" i="5"/>
  <c r="K12" i="9"/>
  <c r="L12" i="9" s="1"/>
  <c r="J20" i="5"/>
  <c r="L20" i="5" s="1"/>
  <c r="K20" i="9"/>
  <c r="L20" i="9" s="1"/>
  <c r="J33" i="5"/>
  <c r="L33" i="5" s="1"/>
  <c r="K33" i="9"/>
  <c r="L33" i="9" s="1"/>
  <c r="J43" i="5"/>
  <c r="L43" i="5" s="1"/>
  <c r="K43" i="9"/>
  <c r="L43" i="9" s="1"/>
  <c r="J13" i="5"/>
  <c r="K13" i="9"/>
  <c r="L13" i="9" s="1"/>
  <c r="J50" i="5"/>
  <c r="L50" i="5" s="1"/>
  <c r="K50" i="9"/>
  <c r="J40" i="5"/>
  <c r="L40" i="5" s="1"/>
  <c r="K40" i="9"/>
  <c r="L40" i="9" s="1"/>
  <c r="J30" i="5"/>
  <c r="L30" i="5" s="1"/>
  <c r="K30" i="9"/>
  <c r="L30" i="9" s="1"/>
  <c r="J24" i="5"/>
  <c r="L24" i="5" s="1"/>
  <c r="K24" i="9"/>
  <c r="L24" i="9" s="1"/>
  <c r="J44" i="5"/>
  <c r="K44" i="9"/>
  <c r="L44" i="9" s="1"/>
  <c r="J55" i="5"/>
  <c r="L55" i="5" s="1"/>
  <c r="K55" i="9"/>
  <c r="L55" i="9" s="1"/>
  <c r="J25" i="5"/>
  <c r="L25" i="5" s="1"/>
  <c r="K25" i="9"/>
  <c r="L25" i="9" s="1"/>
  <c r="J74" i="5"/>
  <c r="L74" i="5" s="1"/>
  <c r="K74" i="9"/>
  <c r="L74" i="9" s="1"/>
  <c r="J52" i="5"/>
  <c r="L52" i="5" s="1"/>
  <c r="K52" i="9"/>
  <c r="L52" i="9" s="1"/>
  <c r="J42" i="5"/>
  <c r="L42" i="5" s="1"/>
  <c r="K42" i="9"/>
  <c r="L42" i="9" s="1"/>
  <c r="J36" i="5"/>
  <c r="K36" i="9"/>
  <c r="L36" i="9" s="1"/>
  <c r="J28" i="5"/>
  <c r="L28" i="5" s="1"/>
  <c r="K28" i="9"/>
  <c r="L28" i="9" s="1"/>
  <c r="J67" i="5"/>
  <c r="L67" i="5" s="1"/>
  <c r="K67" i="9"/>
  <c r="L67" i="9" s="1"/>
  <c r="J68" i="5"/>
  <c r="L68" i="5" s="1"/>
  <c r="K68" i="9"/>
  <c r="L68" i="9" s="1"/>
  <c r="J38" i="5"/>
  <c r="L38" i="5" s="1"/>
  <c r="K38" i="9"/>
  <c r="L38" i="9" s="1"/>
  <c r="J47" i="5"/>
  <c r="L47" i="5" s="1"/>
  <c r="K47" i="9"/>
  <c r="L47" i="9" s="1"/>
  <c r="J37" i="5"/>
  <c r="L37" i="5" s="1"/>
  <c r="K37" i="9"/>
  <c r="J15" i="5"/>
  <c r="K15" i="9"/>
  <c r="L15" i="9" s="1"/>
  <c r="J64" i="5"/>
  <c r="L64" i="5" s="1"/>
  <c r="K64" i="9"/>
  <c r="L64" i="9" s="1"/>
  <c r="J54" i="5"/>
  <c r="L54" i="5" s="1"/>
  <c r="K54" i="9"/>
  <c r="L54" i="9" s="1"/>
  <c r="J48" i="5"/>
  <c r="L48" i="5" s="1"/>
  <c r="K48" i="9"/>
  <c r="L48" i="9" s="1"/>
  <c r="J8" i="5"/>
  <c r="K8" i="9"/>
  <c r="L8" i="9" s="1"/>
  <c r="J9" i="5"/>
  <c r="K9" i="9"/>
  <c r="L9" i="9" s="1"/>
  <c r="J73" i="5"/>
  <c r="L73" i="5" s="1"/>
  <c r="K73" i="9"/>
  <c r="L73" i="9" s="1"/>
  <c r="J62" i="5"/>
  <c r="L62" i="5" s="1"/>
  <c r="K62" i="9"/>
  <c r="L62" i="9" s="1"/>
  <c r="J3" i="5"/>
  <c r="K3" i="9"/>
  <c r="L3" i="9" s="1"/>
  <c r="J34" i="5"/>
  <c r="L34" i="5" s="1"/>
  <c r="K34" i="9"/>
  <c r="L34" i="9" s="1"/>
  <c r="J49" i="5"/>
  <c r="K49" i="9"/>
  <c r="L49" i="9" s="1"/>
  <c r="J27" i="5"/>
  <c r="L27" i="5" s="1"/>
  <c r="K27" i="9"/>
  <c r="L27" i="9" s="1"/>
  <c r="J76" i="5"/>
  <c r="L76" i="5" s="1"/>
  <c r="K76" i="9"/>
  <c r="L76" i="9" s="1"/>
  <c r="J66" i="5"/>
  <c r="L66" i="5" s="1"/>
  <c r="K66" i="9"/>
  <c r="L66" i="9" s="1"/>
  <c r="J60" i="5"/>
  <c r="L60" i="5" s="1"/>
  <c r="K60" i="9"/>
  <c r="L60" i="9" s="1"/>
  <c r="J32" i="5"/>
  <c r="L32" i="5" s="1"/>
  <c r="K32" i="9"/>
  <c r="L32" i="9" s="1"/>
  <c r="J45" i="5"/>
  <c r="K45" i="9"/>
  <c r="L45" i="9" s="1"/>
  <c r="J51" i="5"/>
  <c r="L51" i="5" s="1"/>
  <c r="K51" i="9"/>
  <c r="L51" i="9" s="1"/>
  <c r="J17" i="5"/>
  <c r="L17" i="5" s="1"/>
  <c r="K17" i="9"/>
  <c r="L17" i="9" s="1"/>
  <c r="J58" i="5"/>
  <c r="L58" i="5" s="1"/>
  <c r="K58" i="9"/>
  <c r="L58" i="9" s="1"/>
  <c r="J61" i="5"/>
  <c r="L61" i="5" s="1"/>
  <c r="K61" i="9"/>
  <c r="L61" i="9" s="1"/>
  <c r="J39" i="5"/>
  <c r="L39" i="5" s="1"/>
  <c r="K39" i="9"/>
  <c r="J5" i="5"/>
  <c r="K5" i="9"/>
  <c r="L5" i="9" s="1"/>
  <c r="J72" i="5"/>
  <c r="L72" i="5" s="1"/>
  <c r="K72" i="9"/>
  <c r="L72" i="9" s="1"/>
  <c r="J56" i="5"/>
  <c r="L56" i="5" s="1"/>
  <c r="K56" i="9"/>
  <c r="L56" i="9" s="1"/>
  <c r="J69" i="5"/>
  <c r="L69" i="5" s="1"/>
  <c r="K69" i="9"/>
  <c r="L69" i="9" s="1"/>
  <c r="J57" i="5"/>
  <c r="K57" i="5" s="1"/>
  <c r="K57" i="9"/>
  <c r="L57" i="9" s="1"/>
  <c r="K52" i="5"/>
  <c r="K49" i="5"/>
  <c r="K35" i="5"/>
  <c r="K43" i="5"/>
  <c r="K36" i="5"/>
  <c r="N42" i="9"/>
  <c r="N48" i="9"/>
  <c r="N68" i="9"/>
  <c r="N61" i="9"/>
  <c r="N46" i="9"/>
  <c r="N4" i="9"/>
  <c r="N44" i="9"/>
  <c r="N13" i="9"/>
  <c r="N74" i="9"/>
  <c r="N70" i="9"/>
  <c r="N60" i="9"/>
  <c r="N21" i="9"/>
  <c r="N47" i="9"/>
  <c r="N38" i="9"/>
  <c r="N6" i="9"/>
  <c r="N62" i="9"/>
  <c r="N11" i="9"/>
  <c r="N25" i="9"/>
  <c r="N17" i="9"/>
  <c r="N69" i="9"/>
  <c r="N58" i="9"/>
  <c r="N49" i="9"/>
  <c r="N18" i="9"/>
  <c r="N24" i="9"/>
  <c r="N9" i="9"/>
  <c r="N10" i="9"/>
  <c r="N37" i="9"/>
  <c r="N33" i="9"/>
  <c r="N16" i="9"/>
  <c r="N29" i="9"/>
  <c r="N19" i="9"/>
  <c r="N36" i="9"/>
  <c r="N41" i="9"/>
  <c r="N31" i="9"/>
  <c r="N32" i="9"/>
  <c r="N35" i="9"/>
  <c r="N53" i="9"/>
  <c r="N43" i="9"/>
  <c r="N50" i="9"/>
  <c r="N65" i="9"/>
  <c r="N57" i="9"/>
  <c r="N71" i="9"/>
  <c r="N34" i="9"/>
  <c r="N27" i="9"/>
  <c r="N7" i="9"/>
  <c r="N8" i="9"/>
  <c r="N45" i="9"/>
  <c r="N30" i="9"/>
  <c r="N20" i="9"/>
  <c r="N23" i="9"/>
  <c r="N73" i="9"/>
  <c r="N56" i="9"/>
  <c r="N59" i="9"/>
  <c r="N55" i="9"/>
  <c r="N14" i="9"/>
  <c r="N77" i="9"/>
  <c r="N67" i="9"/>
  <c r="N72" i="9"/>
  <c r="N22" i="9"/>
  <c r="N12" i="9"/>
  <c r="N3" i="9"/>
  <c r="N2" i="9"/>
  <c r="L8" i="13" l="1"/>
  <c r="M8" i="12"/>
  <c r="R7" i="12"/>
  <c r="D6" i="9"/>
  <c r="M6" i="9" s="1"/>
  <c r="M6" i="12"/>
  <c r="R6" i="12" s="1"/>
  <c r="K2" i="5"/>
  <c r="L2" i="5"/>
  <c r="M3" i="12"/>
  <c r="R3" i="12" s="1"/>
  <c r="L3" i="13"/>
  <c r="L4" i="13"/>
  <c r="M2" i="12"/>
  <c r="R2" i="12" s="1"/>
  <c r="L2" i="9"/>
  <c r="L2" i="13"/>
  <c r="L5" i="13"/>
  <c r="M4" i="12"/>
  <c r="R4" i="12" s="1"/>
  <c r="M5" i="12"/>
  <c r="R5" i="12" s="1"/>
  <c r="R8" i="12"/>
  <c r="L37" i="9"/>
  <c r="E37" i="9" s="1"/>
  <c r="L70" i="9"/>
  <c r="E70" i="9" s="1"/>
  <c r="L50" i="9"/>
  <c r="E50" i="9" s="1"/>
  <c r="L39" i="9"/>
  <c r="E39" i="9" s="1"/>
  <c r="K37" i="5"/>
  <c r="D8" i="9"/>
  <c r="D7" i="9"/>
  <c r="E61" i="9"/>
  <c r="E13" i="9"/>
  <c r="E23" i="9"/>
  <c r="E52" i="9"/>
  <c r="E48" i="9"/>
  <c r="E30" i="9"/>
  <c r="E46" i="9"/>
  <c r="E19" i="9"/>
  <c r="E20" i="9"/>
  <c r="E21" i="9"/>
  <c r="E12" i="9"/>
  <c r="E74" i="9"/>
  <c r="E56" i="9"/>
  <c r="E75" i="9"/>
  <c r="E54" i="9"/>
  <c r="E51" i="9"/>
  <c r="E60" i="9"/>
  <c r="E16" i="9"/>
  <c r="E41" i="9"/>
  <c r="E57" i="9"/>
  <c r="E29" i="9"/>
  <c r="E65" i="9"/>
  <c r="E73" i="9"/>
  <c r="E55" i="9"/>
  <c r="E44" i="9"/>
  <c r="E47" i="9"/>
  <c r="E9" i="9"/>
  <c r="E27" i="9"/>
  <c r="E22" i="9"/>
  <c r="E63" i="9"/>
  <c r="E17" i="9"/>
  <c r="E66" i="9"/>
  <c r="E11" i="9"/>
  <c r="E26" i="9"/>
  <c r="E24" i="9"/>
  <c r="E36" i="9"/>
  <c r="E69" i="9"/>
  <c r="E35" i="9"/>
  <c r="E10" i="9"/>
  <c r="E14" i="9"/>
  <c r="E53" i="9"/>
  <c r="E58" i="9"/>
  <c r="E64" i="9"/>
  <c r="E67" i="9"/>
  <c r="E59" i="9"/>
  <c r="E43" i="9"/>
  <c r="E25" i="9"/>
  <c r="E77" i="9"/>
  <c r="E28" i="9"/>
  <c r="E15" i="9"/>
  <c r="E42" i="9"/>
  <c r="E76" i="9"/>
  <c r="E18" i="9"/>
  <c r="E49" i="9"/>
  <c r="E32" i="9"/>
  <c r="E38" i="9"/>
  <c r="E72" i="9"/>
  <c r="E71" i="9"/>
  <c r="E62" i="9"/>
  <c r="E45" i="9"/>
  <c r="D3" i="9"/>
  <c r="M3" i="9" s="1"/>
  <c r="E33" i="9"/>
  <c r="E34" i="9"/>
  <c r="E31" i="9"/>
  <c r="E68" i="9"/>
  <c r="E40" i="9"/>
  <c r="K75" i="5"/>
  <c r="L29" i="5"/>
  <c r="C29" i="14" s="1"/>
  <c r="C44" i="14"/>
  <c r="I44" i="14" s="1"/>
  <c r="L44" i="5"/>
  <c r="G44" i="8" s="1"/>
  <c r="D44" i="8" s="1"/>
  <c r="O44" i="9" s="1"/>
  <c r="G44" i="9" s="1"/>
  <c r="K53" i="5"/>
  <c r="L45" i="5"/>
  <c r="G45" i="8" s="1"/>
  <c r="F45" i="8" s="1"/>
  <c r="O45" i="13" s="1"/>
  <c r="L49" i="5"/>
  <c r="G49" i="8" s="1"/>
  <c r="E49" i="8" s="1"/>
  <c r="P49" i="12" s="1"/>
  <c r="K74" i="5"/>
  <c r="K65" i="5"/>
  <c r="K40" i="5"/>
  <c r="C13" i="14"/>
  <c r="C77" i="14"/>
  <c r="L77" i="5"/>
  <c r="G77" i="8" s="1"/>
  <c r="C77" i="8" s="1"/>
  <c r="K12" i="5"/>
  <c r="L57" i="5"/>
  <c r="G57" i="8" s="1"/>
  <c r="C57" i="8" s="1"/>
  <c r="L36" i="5"/>
  <c r="G36" i="8" s="1"/>
  <c r="F36" i="8" s="1"/>
  <c r="O36" i="13" s="1"/>
  <c r="K66" i="5"/>
  <c r="K4" i="5"/>
  <c r="K21" i="5"/>
  <c r="G76" i="8"/>
  <c r="C76" i="8" s="1"/>
  <c r="C76" i="14"/>
  <c r="G73" i="8"/>
  <c r="F73" i="8" s="1"/>
  <c r="O73" i="13" s="1"/>
  <c r="C73" i="14"/>
  <c r="G28" i="8"/>
  <c r="E28" i="8" s="1"/>
  <c r="P28" i="12" s="1"/>
  <c r="C28" i="14"/>
  <c r="G55" i="8"/>
  <c r="C55" i="8" s="1"/>
  <c r="C55" i="14"/>
  <c r="C6" i="14"/>
  <c r="D76" i="13"/>
  <c r="M76" i="13" s="1"/>
  <c r="D24" i="12"/>
  <c r="N24" i="12" s="1"/>
  <c r="D63" i="13"/>
  <c r="M63" i="13" s="1"/>
  <c r="D75" i="13"/>
  <c r="D17" i="13"/>
  <c r="G27" i="8"/>
  <c r="F27" i="8" s="1"/>
  <c r="O27" i="13" s="1"/>
  <c r="C27" i="14"/>
  <c r="D18" i="13"/>
  <c r="M18" i="13" s="1"/>
  <c r="D60" i="12"/>
  <c r="N60" i="12" s="1"/>
  <c r="K44" i="5"/>
  <c r="D16" i="12"/>
  <c r="N16" i="12" s="1"/>
  <c r="D30" i="13"/>
  <c r="M30" i="13" s="1"/>
  <c r="D66" i="13"/>
  <c r="M66" i="13" s="1"/>
  <c r="E66" i="13" s="1"/>
  <c r="K16" i="5"/>
  <c r="G8" i="8"/>
  <c r="F8" i="8" s="1"/>
  <c r="O8" i="13" s="1"/>
  <c r="C8" i="14"/>
  <c r="G42" i="8"/>
  <c r="C42" i="8" s="1"/>
  <c r="C42" i="14"/>
  <c r="G33" i="8"/>
  <c r="F33" i="8" s="1"/>
  <c r="O33" i="13" s="1"/>
  <c r="C33" i="14"/>
  <c r="G2" i="8"/>
  <c r="C2" i="8" s="1"/>
  <c r="C2" i="14"/>
  <c r="D59" i="12"/>
  <c r="N59" i="12" s="1"/>
  <c r="D23" i="12"/>
  <c r="N23" i="12" s="1"/>
  <c r="D40" i="12"/>
  <c r="N40" i="12" s="1"/>
  <c r="D37" i="12"/>
  <c r="N37" i="12" s="1"/>
  <c r="D66" i="12"/>
  <c r="N66" i="12" s="1"/>
  <c r="D51" i="12"/>
  <c r="N51" i="12" s="1"/>
  <c r="K25" i="5"/>
  <c r="D35" i="12"/>
  <c r="N35" i="12" s="1"/>
  <c r="D27" i="12"/>
  <c r="N27" i="12" s="1"/>
  <c r="K5" i="5"/>
  <c r="K42" i="5"/>
  <c r="G39" i="8"/>
  <c r="F39" i="8" s="1"/>
  <c r="O39" i="13" s="1"/>
  <c r="C39" i="14"/>
  <c r="G32" i="8"/>
  <c r="F32" i="8" s="1"/>
  <c r="O32" i="13" s="1"/>
  <c r="C32" i="14"/>
  <c r="G34" i="8"/>
  <c r="E34" i="8" s="1"/>
  <c r="P34" i="12" s="1"/>
  <c r="C34" i="14"/>
  <c r="G48" i="8"/>
  <c r="E48" i="8" s="1"/>
  <c r="P48" i="12" s="1"/>
  <c r="C48" i="14"/>
  <c r="G38" i="8"/>
  <c r="F38" i="8" s="1"/>
  <c r="O38" i="13" s="1"/>
  <c r="C38" i="14"/>
  <c r="G52" i="8"/>
  <c r="D52" i="8" s="1"/>
  <c r="O52" i="9" s="1"/>
  <c r="C52" i="14"/>
  <c r="G30" i="8"/>
  <c r="D30" i="8" s="1"/>
  <c r="O30" i="9" s="1"/>
  <c r="C30" i="14"/>
  <c r="G20" i="8"/>
  <c r="C20" i="8" s="1"/>
  <c r="C20" i="14"/>
  <c r="G31" i="8"/>
  <c r="F31" i="8" s="1"/>
  <c r="O31" i="13" s="1"/>
  <c r="C31" i="14"/>
  <c r="G19" i="8"/>
  <c r="C19" i="8" s="1"/>
  <c r="C19" i="14"/>
  <c r="G46" i="8"/>
  <c r="C46" i="8" s="1"/>
  <c r="C46" i="14"/>
  <c r="D28" i="12"/>
  <c r="N28" i="12" s="1"/>
  <c r="D73" i="13"/>
  <c r="M73" i="13" s="1"/>
  <c r="D61" i="13"/>
  <c r="M61" i="13" s="1"/>
  <c r="D50" i="12"/>
  <c r="N50" i="12" s="1"/>
  <c r="D35" i="13"/>
  <c r="M35" i="13" s="1"/>
  <c r="D57" i="12"/>
  <c r="D27" i="13"/>
  <c r="D48" i="12"/>
  <c r="N48" i="12" s="1"/>
  <c r="D14" i="13"/>
  <c r="M14" i="13" s="1"/>
  <c r="D4" i="12"/>
  <c r="N4" i="12" s="1"/>
  <c r="D62" i="13"/>
  <c r="M62" i="13" s="1"/>
  <c r="D22" i="12"/>
  <c r="N22" i="12" s="1"/>
  <c r="D49" i="12"/>
  <c r="N49" i="12" s="1"/>
  <c r="G17" i="8"/>
  <c r="C17" i="8" s="1"/>
  <c r="C17" i="14"/>
  <c r="D52" i="12"/>
  <c r="N52" i="12" s="1"/>
  <c r="D46" i="13"/>
  <c r="D54" i="13"/>
  <c r="M54" i="13" s="1"/>
  <c r="D52" i="13"/>
  <c r="M52" i="13" s="1"/>
  <c r="D19" i="13"/>
  <c r="G51" i="8"/>
  <c r="D51" i="8" s="1"/>
  <c r="O51" i="9" s="1"/>
  <c r="C51" i="14"/>
  <c r="G26" i="8"/>
  <c r="F26" i="8" s="1"/>
  <c r="O26" i="13" s="1"/>
  <c r="C26" i="14"/>
  <c r="G4" i="8"/>
  <c r="F4" i="8" s="1"/>
  <c r="O4" i="13" s="1"/>
  <c r="C4" i="14"/>
  <c r="G35" i="8"/>
  <c r="E35" i="8" s="1"/>
  <c r="P35" i="12" s="1"/>
  <c r="C35" i="14"/>
  <c r="D74" i="12"/>
  <c r="N74" i="12" s="1"/>
  <c r="D30" i="12"/>
  <c r="N30" i="12" s="1"/>
  <c r="D71" i="12"/>
  <c r="N71" i="12" s="1"/>
  <c r="D29" i="12"/>
  <c r="N29" i="12" s="1"/>
  <c r="K77" i="5"/>
  <c r="G53" i="8"/>
  <c r="C53" i="8" s="1"/>
  <c r="C53" i="14"/>
  <c r="D21" i="13"/>
  <c r="D25" i="12"/>
  <c r="N25" i="12" s="1"/>
  <c r="D20" i="12"/>
  <c r="N20" i="12" s="1"/>
  <c r="D32" i="12"/>
  <c r="D29" i="13"/>
  <c r="K67" i="5"/>
  <c r="G5" i="8"/>
  <c r="D5" i="8" s="1"/>
  <c r="O5" i="9" s="1"/>
  <c r="C5" i="14"/>
  <c r="D43" i="12"/>
  <c r="N43" i="12" s="1"/>
  <c r="D10" i="12"/>
  <c r="D20" i="13"/>
  <c r="D32" i="13"/>
  <c r="D38" i="12"/>
  <c r="K26" i="5"/>
  <c r="G14" i="8"/>
  <c r="C14" i="8" s="1"/>
  <c r="C14" i="14"/>
  <c r="D59" i="13"/>
  <c r="M59" i="13" s="1"/>
  <c r="D23" i="13"/>
  <c r="M23" i="13" s="1"/>
  <c r="D40" i="13"/>
  <c r="M40" i="13" s="1"/>
  <c r="D37" i="13"/>
  <c r="M37" i="13" s="1"/>
  <c r="D38" i="13"/>
  <c r="M38" i="13" s="1"/>
  <c r="K13" i="5"/>
  <c r="K29" i="5"/>
  <c r="G10" i="8"/>
  <c r="C10" i="8" s="1"/>
  <c r="C10" i="14"/>
  <c r="D28" i="13"/>
  <c r="M28" i="13" s="1"/>
  <c r="D73" i="12"/>
  <c r="N73" i="12" s="1"/>
  <c r="D61" i="12"/>
  <c r="N61" i="12" s="1"/>
  <c r="D50" i="13"/>
  <c r="M50" i="13" s="1"/>
  <c r="D3" i="12"/>
  <c r="D57" i="13"/>
  <c r="D48" i="13"/>
  <c r="M48" i="13" s="1"/>
  <c r="D56" i="12"/>
  <c r="D4" i="13"/>
  <c r="M4" i="13" s="1"/>
  <c r="D62" i="12"/>
  <c r="N62" i="12" s="1"/>
  <c r="D22" i="13"/>
  <c r="D49" i="13"/>
  <c r="M49" i="13" s="1"/>
  <c r="D72" i="13"/>
  <c r="M72" i="13" s="1"/>
  <c r="G15" i="8"/>
  <c r="D15" i="8" s="1"/>
  <c r="O15" i="9" s="1"/>
  <c r="C15" i="14"/>
  <c r="D12" i="13"/>
  <c r="D24" i="13"/>
  <c r="M24" i="13" s="1"/>
  <c r="D63" i="12"/>
  <c r="N63" i="12" s="1"/>
  <c r="D75" i="12"/>
  <c r="G22" i="8"/>
  <c r="C22" i="8" s="1"/>
  <c r="C22" i="14"/>
  <c r="D18" i="12"/>
  <c r="N18" i="12" s="1"/>
  <c r="D60" i="13"/>
  <c r="M60" i="13" s="1"/>
  <c r="K28" i="5"/>
  <c r="G72" i="8"/>
  <c r="C72" i="8" s="1"/>
  <c r="C72" i="14"/>
  <c r="G9" i="8"/>
  <c r="F9" i="8" s="1"/>
  <c r="O9" i="13" s="1"/>
  <c r="C9" i="14"/>
  <c r="G37" i="8"/>
  <c r="F37" i="8" s="1"/>
  <c r="O37" i="13" s="1"/>
  <c r="C37" i="14"/>
  <c r="G43" i="8"/>
  <c r="D43" i="8" s="1"/>
  <c r="O43" i="9" s="1"/>
  <c r="G43" i="9" s="1"/>
  <c r="C43" i="14"/>
  <c r="D21" i="12"/>
  <c r="N21" i="12" s="1"/>
  <c r="D19" i="12"/>
  <c r="N19" i="12" s="1"/>
  <c r="D58" i="12"/>
  <c r="N58" i="12" s="1"/>
  <c r="G70" i="8"/>
  <c r="C70" i="8" s="1"/>
  <c r="C70" i="14"/>
  <c r="D74" i="13"/>
  <c r="M74" i="13" s="1"/>
  <c r="D58" i="13"/>
  <c r="D26" i="13"/>
  <c r="M26" i="13" s="1"/>
  <c r="D71" i="13"/>
  <c r="M71" i="13" s="1"/>
  <c r="G47" i="8"/>
  <c r="E47" i="8" s="1"/>
  <c r="P47" i="12" s="1"/>
  <c r="C47" i="14"/>
  <c r="G24" i="8"/>
  <c r="E24" i="8" s="1"/>
  <c r="P24" i="12" s="1"/>
  <c r="C24" i="14"/>
  <c r="G59" i="8"/>
  <c r="F59" i="8" s="1"/>
  <c r="O59" i="13" s="1"/>
  <c r="C59" i="14"/>
  <c r="G7" i="8"/>
  <c r="F7" i="8" s="1"/>
  <c r="O7" i="13" s="1"/>
  <c r="C7" i="14"/>
  <c r="D16" i="13"/>
  <c r="M16" i="13" s="1"/>
  <c r="D25" i="13"/>
  <c r="M25" i="13" s="1"/>
  <c r="D53" i="13"/>
  <c r="D55" i="13"/>
  <c r="D26" i="12"/>
  <c r="N26" i="12" s="1"/>
  <c r="D6" i="12"/>
  <c r="N6" i="12" s="1"/>
  <c r="D43" i="13"/>
  <c r="D10" i="13"/>
  <c r="M10" i="13" s="1"/>
  <c r="D53" i="12"/>
  <c r="N53" i="12" s="1"/>
  <c r="D55" i="12"/>
  <c r="D14" i="12"/>
  <c r="D6" i="13"/>
  <c r="M6" i="13" s="1"/>
  <c r="D51" i="13"/>
  <c r="K69" i="5"/>
  <c r="K47" i="5"/>
  <c r="G61" i="8"/>
  <c r="F61" i="8" s="1"/>
  <c r="O61" i="13" s="1"/>
  <c r="C61" i="14"/>
  <c r="G60" i="8"/>
  <c r="F60" i="8" s="1"/>
  <c r="O60" i="13" s="1"/>
  <c r="C60" i="14"/>
  <c r="G3" i="8"/>
  <c r="E3" i="8" s="1"/>
  <c r="P3" i="12" s="1"/>
  <c r="C3" i="14"/>
  <c r="G54" i="8"/>
  <c r="E54" i="8" s="1"/>
  <c r="P54" i="12" s="1"/>
  <c r="C54" i="14"/>
  <c r="G68" i="8"/>
  <c r="E68" i="8" s="1"/>
  <c r="P68" i="12" s="1"/>
  <c r="C68" i="14"/>
  <c r="G74" i="8"/>
  <c r="C74" i="8" s="1"/>
  <c r="C74" i="14"/>
  <c r="G40" i="8"/>
  <c r="F40" i="8" s="1"/>
  <c r="O40" i="13" s="1"/>
  <c r="C40" i="14"/>
  <c r="G12" i="8"/>
  <c r="D12" i="8" s="1"/>
  <c r="O12" i="9" s="1"/>
  <c r="C12" i="14"/>
  <c r="G75" i="8"/>
  <c r="C75" i="8" s="1"/>
  <c r="C75" i="14"/>
  <c r="G21" i="8"/>
  <c r="F21" i="8" s="1"/>
  <c r="O21" i="13" s="1"/>
  <c r="C21" i="14"/>
  <c r="G65" i="8"/>
  <c r="D65" i="8" s="1"/>
  <c r="O65" i="9" s="1"/>
  <c r="C65" i="14"/>
  <c r="D36" i="13"/>
  <c r="M36" i="13" s="1"/>
  <c r="D70" i="13"/>
  <c r="M70" i="13" s="1"/>
  <c r="D69" i="12"/>
  <c r="D31" i="12"/>
  <c r="D47" i="12"/>
  <c r="N47" i="12" s="1"/>
  <c r="D3" i="13"/>
  <c r="M3" i="13" s="1"/>
  <c r="D68" i="12"/>
  <c r="D64" i="12"/>
  <c r="N64" i="12" s="1"/>
  <c r="D56" i="13"/>
  <c r="D2" i="12"/>
  <c r="D65" i="12"/>
  <c r="N65" i="12" s="1"/>
  <c r="D9" i="12"/>
  <c r="D15" i="12"/>
  <c r="N15" i="12" s="1"/>
  <c r="D34" i="13"/>
  <c r="M34" i="13" s="1"/>
  <c r="D72" i="12"/>
  <c r="N72" i="12" s="1"/>
  <c r="D31" i="13"/>
  <c r="D68" i="13"/>
  <c r="D64" i="13"/>
  <c r="M64" i="13" s="1"/>
  <c r="D2" i="13"/>
  <c r="M2" i="13" s="1"/>
  <c r="G56" i="8"/>
  <c r="D56" i="8" s="1"/>
  <c r="O56" i="9" s="1"/>
  <c r="G56" i="9" s="1"/>
  <c r="C56" i="14"/>
  <c r="D17" i="12"/>
  <c r="N17" i="12" s="1"/>
  <c r="D36" i="12"/>
  <c r="N36" i="12" s="1"/>
  <c r="D70" i="12"/>
  <c r="D47" i="13"/>
  <c r="M47" i="13" s="1"/>
  <c r="D9" i="13"/>
  <c r="D34" i="12"/>
  <c r="G69" i="8"/>
  <c r="E69" i="8" s="1"/>
  <c r="P69" i="12" s="1"/>
  <c r="C69" i="14"/>
  <c r="G58" i="8"/>
  <c r="C58" i="8" s="1"/>
  <c r="C58" i="14"/>
  <c r="G66" i="8"/>
  <c r="D66" i="8" s="1"/>
  <c r="O66" i="9" s="1"/>
  <c r="C66" i="14"/>
  <c r="G62" i="8"/>
  <c r="F62" i="8" s="1"/>
  <c r="O62" i="13" s="1"/>
  <c r="C62" i="14"/>
  <c r="G64" i="8"/>
  <c r="D64" i="8" s="1"/>
  <c r="O64" i="9" s="1"/>
  <c r="C64" i="14"/>
  <c r="G25" i="8"/>
  <c r="D25" i="8" s="1"/>
  <c r="O25" i="9" s="1"/>
  <c r="C25" i="14"/>
  <c r="G18" i="8"/>
  <c r="D18" i="8" s="1"/>
  <c r="O18" i="9" s="1"/>
  <c r="C18" i="14"/>
  <c r="G71" i="8"/>
  <c r="E71" i="8" s="1"/>
  <c r="P71" i="12" s="1"/>
  <c r="C71" i="14"/>
  <c r="G11" i="8"/>
  <c r="F11" i="8" s="1"/>
  <c r="O11" i="13" s="1"/>
  <c r="C11" i="14"/>
  <c r="D42" i="12"/>
  <c r="N42" i="12" s="1"/>
  <c r="D33" i="13"/>
  <c r="D44" i="12"/>
  <c r="D77" i="12"/>
  <c r="N77" i="12" s="1"/>
  <c r="D41" i="13"/>
  <c r="M41" i="13" s="1"/>
  <c r="D13" i="13"/>
  <c r="M13" i="13" s="1"/>
  <c r="D67" i="12"/>
  <c r="D7" i="13"/>
  <c r="D11" i="12"/>
  <c r="N11" i="12" s="1"/>
  <c r="D5" i="13"/>
  <c r="D45" i="12"/>
  <c r="D39" i="13"/>
  <c r="D8" i="13"/>
  <c r="G16" i="8"/>
  <c r="D16" i="8" s="1"/>
  <c r="O16" i="9" s="1"/>
  <c r="C16" i="14"/>
  <c r="K55" i="5"/>
  <c r="G41" i="8"/>
  <c r="E41" i="8" s="1"/>
  <c r="P41" i="12" s="1"/>
  <c r="C41" i="14"/>
  <c r="D33" i="12"/>
  <c r="D69" i="13"/>
  <c r="D77" i="13"/>
  <c r="M77" i="13" s="1"/>
  <c r="D67" i="13"/>
  <c r="D65" i="13"/>
  <c r="M65" i="13" s="1"/>
  <c r="D15" i="13"/>
  <c r="M15" i="13" s="1"/>
  <c r="D39" i="12"/>
  <c r="K76" i="5"/>
  <c r="G67" i="8"/>
  <c r="D67" i="8" s="1"/>
  <c r="O67" i="9" s="1"/>
  <c r="C67" i="14"/>
  <c r="G50" i="8"/>
  <c r="D50" i="8" s="1"/>
  <c r="O50" i="9" s="1"/>
  <c r="C50" i="14"/>
  <c r="G23" i="8"/>
  <c r="D23" i="8" s="1"/>
  <c r="O23" i="9" s="1"/>
  <c r="C23" i="14"/>
  <c r="K72" i="5"/>
  <c r="K17" i="5"/>
  <c r="G63" i="8"/>
  <c r="D63" i="8" s="1"/>
  <c r="O63" i="9" s="1"/>
  <c r="C63" i="14"/>
  <c r="D42" i="13"/>
  <c r="M42" i="13" s="1"/>
  <c r="D12" i="12"/>
  <c r="N12" i="12" s="1"/>
  <c r="D44" i="13"/>
  <c r="D46" i="12"/>
  <c r="D41" i="12"/>
  <c r="N41" i="12" s="1"/>
  <c r="D13" i="12"/>
  <c r="N13" i="12" s="1"/>
  <c r="D54" i="12"/>
  <c r="N54" i="12" s="1"/>
  <c r="D7" i="12"/>
  <c r="D11" i="13"/>
  <c r="M11" i="13" s="1"/>
  <c r="D5" i="12"/>
  <c r="D45" i="13"/>
  <c r="D76" i="12"/>
  <c r="N76" i="12" s="1"/>
  <c r="D8" i="12"/>
  <c r="K41" i="5"/>
  <c r="K30" i="5"/>
  <c r="K14" i="5"/>
  <c r="K48" i="5"/>
  <c r="K50" i="5"/>
  <c r="K23" i="5"/>
  <c r="K18" i="5"/>
  <c r="K38" i="5"/>
  <c r="K11" i="5"/>
  <c r="K19" i="5"/>
  <c r="K71" i="5"/>
  <c r="K27" i="5"/>
  <c r="K24" i="5"/>
  <c r="K46" i="5"/>
  <c r="K59" i="5"/>
  <c r="K64" i="5"/>
  <c r="D4" i="9"/>
  <c r="M4" i="9" s="1"/>
  <c r="K62" i="5"/>
  <c r="K31" i="5"/>
  <c r="K60" i="5"/>
  <c r="D5" i="9"/>
  <c r="M5" i="9" s="1"/>
  <c r="K32" i="5"/>
  <c r="K20" i="5"/>
  <c r="K54" i="5"/>
  <c r="K7" i="5"/>
  <c r="D2" i="9"/>
  <c r="M2" i="9" s="1"/>
  <c r="K33" i="5"/>
  <c r="K70" i="5"/>
  <c r="K34" i="5"/>
  <c r="K45" i="5"/>
  <c r="K9" i="5"/>
  <c r="K8" i="5"/>
  <c r="K73" i="5"/>
  <c r="K6" i="5"/>
  <c r="K51" i="5"/>
  <c r="K61" i="5"/>
  <c r="K3" i="5"/>
  <c r="K10" i="5"/>
  <c r="K68" i="5"/>
  <c r="K63" i="5"/>
  <c r="K56" i="5"/>
  <c r="K58" i="5"/>
  <c r="K22" i="5"/>
  <c r="K39" i="5"/>
  <c r="K15" i="5"/>
  <c r="N7" i="12" l="1"/>
  <c r="N2" i="12"/>
  <c r="E2" i="12" s="1"/>
  <c r="N5" i="12"/>
  <c r="E5" i="12" s="1"/>
  <c r="N57" i="12"/>
  <c r="E57" i="12" s="1"/>
  <c r="M7" i="9"/>
  <c r="E7" i="9" s="1"/>
  <c r="M55" i="13"/>
  <c r="E55" i="13" s="1"/>
  <c r="M8" i="9"/>
  <c r="E8" i="9" s="1"/>
  <c r="M53" i="13"/>
  <c r="E53" i="13" s="1"/>
  <c r="M12" i="13"/>
  <c r="E12" i="13" s="1"/>
  <c r="M29" i="13"/>
  <c r="E29" i="13" s="1"/>
  <c r="N44" i="12"/>
  <c r="E44" i="12" s="1"/>
  <c r="N70" i="12"/>
  <c r="E70" i="12" s="1"/>
  <c r="M51" i="13"/>
  <c r="E51" i="13" s="1"/>
  <c r="M33" i="13"/>
  <c r="E33" i="13" s="1"/>
  <c r="M69" i="13"/>
  <c r="E69" i="13" s="1"/>
  <c r="M7" i="13"/>
  <c r="E7" i="13" s="1"/>
  <c r="M68" i="13"/>
  <c r="E68" i="13" s="1"/>
  <c r="N75" i="12"/>
  <c r="E75" i="12" s="1"/>
  <c r="N33" i="12"/>
  <c r="E33" i="12" s="1"/>
  <c r="M31" i="13"/>
  <c r="E31" i="13" s="1"/>
  <c r="N31" i="12"/>
  <c r="E31" i="12" s="1"/>
  <c r="N34" i="12"/>
  <c r="E34" i="12" s="1"/>
  <c r="N69" i="12"/>
  <c r="E69" i="12" s="1"/>
  <c r="N3" i="12"/>
  <c r="E3" i="12" s="1"/>
  <c r="M46" i="13"/>
  <c r="E46" i="13" s="1"/>
  <c r="N46" i="12"/>
  <c r="E46" i="12" s="1"/>
  <c r="M58" i="13"/>
  <c r="E58" i="13" s="1"/>
  <c r="N32" i="12"/>
  <c r="E32" i="12" s="1"/>
  <c r="M44" i="13"/>
  <c r="E44" i="13" s="1"/>
  <c r="N9" i="12"/>
  <c r="E9" i="12" s="1"/>
  <c r="N8" i="12"/>
  <c r="E8" i="12" s="1"/>
  <c r="N39" i="12"/>
  <c r="E39" i="12" s="1"/>
  <c r="M8" i="13"/>
  <c r="E8" i="13" s="1"/>
  <c r="N14" i="12"/>
  <c r="E14" i="12" s="1"/>
  <c r="N38" i="12"/>
  <c r="E38" i="12" s="1"/>
  <c r="M21" i="13"/>
  <c r="E21" i="13" s="1"/>
  <c r="M9" i="13"/>
  <c r="E9" i="13" s="1"/>
  <c r="M20" i="13"/>
  <c r="E20" i="13" s="1"/>
  <c r="M17" i="13"/>
  <c r="E17" i="13" s="1"/>
  <c r="N55" i="12"/>
  <c r="E55" i="12" s="1"/>
  <c r="M32" i="13"/>
  <c r="E32" i="13" s="1"/>
  <c r="M45" i="13"/>
  <c r="E45" i="13" s="1"/>
  <c r="N10" i="12"/>
  <c r="E10" i="12" s="1"/>
  <c r="M75" i="13"/>
  <c r="E75" i="13" s="1"/>
  <c r="M27" i="13"/>
  <c r="E27" i="13" s="1"/>
  <c r="N67" i="12"/>
  <c r="E67" i="12" s="1"/>
  <c r="M57" i="13"/>
  <c r="E57" i="13" s="1"/>
  <c r="M39" i="13"/>
  <c r="E39" i="13" s="1"/>
  <c r="M56" i="13"/>
  <c r="E56" i="13" s="1"/>
  <c r="M22" i="13"/>
  <c r="E22" i="13" s="1"/>
  <c r="N45" i="12"/>
  <c r="E45" i="12" s="1"/>
  <c r="M67" i="13"/>
  <c r="E67" i="13" s="1"/>
  <c r="M5" i="13"/>
  <c r="E5" i="13" s="1"/>
  <c r="N68" i="12"/>
  <c r="E68" i="12" s="1"/>
  <c r="M43" i="13"/>
  <c r="E43" i="13" s="1"/>
  <c r="N56" i="12"/>
  <c r="E56" i="12" s="1"/>
  <c r="M19" i="13"/>
  <c r="E19" i="13" s="1"/>
  <c r="F44" i="9"/>
  <c r="C44" i="15" s="1"/>
  <c r="K44" i="15" s="1"/>
  <c r="E29" i="12"/>
  <c r="E48" i="12"/>
  <c r="F48" i="12" s="1"/>
  <c r="E47" i="12"/>
  <c r="F47" i="12" s="1"/>
  <c r="F12" i="9"/>
  <c r="C12" i="15" s="1"/>
  <c r="K12" i="15" s="1"/>
  <c r="G12" i="9"/>
  <c r="D12" i="15" s="1"/>
  <c r="L12" i="15" s="1"/>
  <c r="E6" i="12"/>
  <c r="E48" i="13"/>
  <c r="E37" i="13"/>
  <c r="F37" i="13" s="1"/>
  <c r="E71" i="12"/>
  <c r="F71" i="12" s="1"/>
  <c r="E52" i="13"/>
  <c r="E37" i="12"/>
  <c r="E24" i="12"/>
  <c r="F24" i="12" s="1"/>
  <c r="E4" i="9"/>
  <c r="E13" i="12"/>
  <c r="E13" i="13"/>
  <c r="E26" i="12"/>
  <c r="E63" i="12"/>
  <c r="E40" i="13"/>
  <c r="F40" i="13" s="1"/>
  <c r="E30" i="12"/>
  <c r="E54" i="13"/>
  <c r="E40" i="12"/>
  <c r="E76" i="13"/>
  <c r="E3" i="9"/>
  <c r="F43" i="9"/>
  <c r="C43" i="15" s="1"/>
  <c r="K43" i="15" s="1"/>
  <c r="E41" i="12"/>
  <c r="F41" i="12" s="1"/>
  <c r="G50" i="9"/>
  <c r="D50" i="15" s="1"/>
  <c r="L50" i="15" s="1"/>
  <c r="F50" i="9"/>
  <c r="C50" i="15" s="1"/>
  <c r="K50" i="15" s="1"/>
  <c r="E41" i="13"/>
  <c r="F25" i="9"/>
  <c r="C25" i="15" s="1"/>
  <c r="K25" i="15" s="1"/>
  <c r="G25" i="9"/>
  <c r="D25" i="15" s="1"/>
  <c r="L25" i="15" s="1"/>
  <c r="E72" i="12"/>
  <c r="E71" i="13"/>
  <c r="E24" i="13"/>
  <c r="E23" i="13"/>
  <c r="E74" i="12"/>
  <c r="E35" i="13"/>
  <c r="E23" i="12"/>
  <c r="E30" i="13"/>
  <c r="E63" i="13"/>
  <c r="E54" i="12"/>
  <c r="F54" i="12" s="1"/>
  <c r="E54" i="15" s="1"/>
  <c r="M54" i="15" s="1"/>
  <c r="E59" i="13"/>
  <c r="F59" i="13" s="1"/>
  <c r="E16" i="12"/>
  <c r="F67" i="9"/>
  <c r="C67" i="15" s="1"/>
  <c r="K67" i="15" s="1"/>
  <c r="G67" i="9"/>
  <c r="D67" i="15" s="1"/>
  <c r="L67" i="15" s="1"/>
  <c r="E15" i="12"/>
  <c r="E25" i="13"/>
  <c r="E73" i="12"/>
  <c r="E73" i="13"/>
  <c r="F73" i="13" s="1"/>
  <c r="G73" i="15" s="1"/>
  <c r="O73" i="15" s="1"/>
  <c r="E6" i="9"/>
  <c r="F65" i="9"/>
  <c r="C65" i="15" s="1"/>
  <c r="K65" i="15" s="1"/>
  <c r="G65" i="9"/>
  <c r="D65" i="15" s="1"/>
  <c r="L65" i="15" s="1"/>
  <c r="E6" i="13"/>
  <c r="E28" i="13"/>
  <c r="E49" i="12"/>
  <c r="F49" i="12" s="1"/>
  <c r="E49" i="13"/>
  <c r="E22" i="12"/>
  <c r="F63" i="9"/>
  <c r="C63" i="15" s="1"/>
  <c r="K63" i="15" s="1"/>
  <c r="G63" i="9"/>
  <c r="D63" i="15" s="1"/>
  <c r="L63" i="15" s="1"/>
  <c r="F66" i="9"/>
  <c r="C66" i="15" s="1"/>
  <c r="K66" i="15" s="1"/>
  <c r="G66" i="9"/>
  <c r="D66" i="15" s="1"/>
  <c r="L66" i="15" s="1"/>
  <c r="E58" i="12"/>
  <c r="E60" i="13"/>
  <c r="F60" i="13" s="1"/>
  <c r="E62" i="13"/>
  <c r="F62" i="13" s="1"/>
  <c r="G62" i="15" s="1"/>
  <c r="O62" i="15" s="1"/>
  <c r="E35" i="12"/>
  <c r="F35" i="12" s="1"/>
  <c r="E7" i="12"/>
  <c r="E3" i="13"/>
  <c r="E43" i="12"/>
  <c r="F23" i="9"/>
  <c r="C23" i="15" s="1"/>
  <c r="K23" i="15" s="1"/>
  <c r="G23" i="9"/>
  <c r="D23" i="15" s="1"/>
  <c r="L23" i="15" s="1"/>
  <c r="E50" i="13"/>
  <c r="E52" i="12"/>
  <c r="E2" i="9"/>
  <c r="E47" i="13"/>
  <c r="E36" i="13"/>
  <c r="F36" i="13" s="1"/>
  <c r="G36" i="15" s="1"/>
  <c r="O36" i="15" s="1"/>
  <c r="E61" i="12"/>
  <c r="F30" i="9"/>
  <c r="C30" i="15" s="1"/>
  <c r="K30" i="15" s="1"/>
  <c r="G30" i="9"/>
  <c r="D30" i="15" s="1"/>
  <c r="L30" i="15" s="1"/>
  <c r="E12" i="12"/>
  <c r="E16" i="13"/>
  <c r="E74" i="13"/>
  <c r="E20" i="12"/>
  <c r="E42" i="13"/>
  <c r="E36" i="12"/>
  <c r="F52" i="9"/>
  <c r="C52" i="15" s="1"/>
  <c r="K52" i="15" s="1"/>
  <c r="G52" i="9"/>
  <c r="D52" i="15" s="1"/>
  <c r="L52" i="15" s="1"/>
  <c r="E15" i="13"/>
  <c r="E27" i="12"/>
  <c r="E65" i="13"/>
  <c r="E5" i="9"/>
  <c r="G5" i="9" s="1"/>
  <c r="D5" i="15" s="1"/>
  <c r="E64" i="12"/>
  <c r="E53" i="12"/>
  <c r="E19" i="12"/>
  <c r="E18" i="12"/>
  <c r="E62" i="12"/>
  <c r="E4" i="12"/>
  <c r="F56" i="9"/>
  <c r="C56" i="15" s="1"/>
  <c r="K56" i="15" s="1"/>
  <c r="E64" i="13"/>
  <c r="E38" i="13"/>
  <c r="F38" i="13" s="1"/>
  <c r="G38" i="15" s="1"/>
  <c r="O38" i="15" s="1"/>
  <c r="E66" i="12"/>
  <c r="F18" i="9"/>
  <c r="C18" i="15" s="1"/>
  <c r="K18" i="15" s="1"/>
  <c r="G18" i="9"/>
  <c r="D18" i="15" s="1"/>
  <c r="L18" i="15" s="1"/>
  <c r="E77" i="12"/>
  <c r="E34" i="13"/>
  <c r="E70" i="13"/>
  <c r="E26" i="13"/>
  <c r="F26" i="13" s="1"/>
  <c r="G26" i="15" s="1"/>
  <c r="O26" i="15" s="1"/>
  <c r="E50" i="12"/>
  <c r="E59" i="12"/>
  <c r="F64" i="9"/>
  <c r="C64" i="15" s="1"/>
  <c r="K64" i="15" s="1"/>
  <c r="G64" i="9"/>
  <c r="D64" i="15" s="1"/>
  <c r="L64" i="15" s="1"/>
  <c r="E61" i="13"/>
  <c r="F61" i="13" s="1"/>
  <c r="F16" i="9"/>
  <c r="C16" i="15" s="1"/>
  <c r="K16" i="15" s="1"/>
  <c r="G16" i="9"/>
  <c r="D16" i="15" s="1"/>
  <c r="L16" i="15" s="1"/>
  <c r="F15" i="9"/>
  <c r="C15" i="15" s="1"/>
  <c r="K15" i="15" s="1"/>
  <c r="G15" i="9"/>
  <c r="D15" i="15" s="1"/>
  <c r="L15" i="15" s="1"/>
  <c r="E60" i="12"/>
  <c r="E42" i="12"/>
  <c r="E65" i="12"/>
  <c r="E72" i="13"/>
  <c r="E25" i="12"/>
  <c r="E28" i="12"/>
  <c r="F28" i="12" s="1"/>
  <c r="E28" i="15" s="1"/>
  <c r="M28" i="15" s="1"/>
  <c r="E18" i="13"/>
  <c r="E76" i="12"/>
  <c r="E17" i="12"/>
  <c r="E11" i="13"/>
  <c r="F11" i="13" s="1"/>
  <c r="E77" i="13"/>
  <c r="E11" i="12"/>
  <c r="E2" i="13"/>
  <c r="E10" i="13"/>
  <c r="E21" i="12"/>
  <c r="E4" i="13"/>
  <c r="F4" i="13" s="1"/>
  <c r="G4" i="15" s="1"/>
  <c r="O4" i="15" s="1"/>
  <c r="F51" i="9"/>
  <c r="C51" i="15" s="1"/>
  <c r="K51" i="15" s="1"/>
  <c r="G51" i="9"/>
  <c r="D51" i="15" s="1"/>
  <c r="L51" i="15" s="1"/>
  <c r="E14" i="13"/>
  <c r="E51" i="12"/>
  <c r="C34" i="8"/>
  <c r="E63" i="8"/>
  <c r="P63" i="12" s="1"/>
  <c r="F63" i="8"/>
  <c r="O63" i="13" s="1"/>
  <c r="E44" i="8"/>
  <c r="P44" i="12" s="1"/>
  <c r="D9" i="8"/>
  <c r="O9" i="9" s="1"/>
  <c r="F44" i="8"/>
  <c r="O44" i="13" s="1"/>
  <c r="F57" i="8"/>
  <c r="O57" i="13" s="1"/>
  <c r="D57" i="8"/>
  <c r="O57" i="9" s="1"/>
  <c r="C3" i="8"/>
  <c r="F3" i="8"/>
  <c r="O3" i="13" s="1"/>
  <c r="D3" i="8"/>
  <c r="O3" i="9" s="1"/>
  <c r="E68" i="14"/>
  <c r="F68" i="14"/>
  <c r="H77" i="14"/>
  <c r="E77" i="14"/>
  <c r="F77" i="14"/>
  <c r="E20" i="14"/>
  <c r="F20" i="14"/>
  <c r="F13" i="14"/>
  <c r="E13" i="14"/>
  <c r="E51" i="14"/>
  <c r="F51" i="14"/>
  <c r="E39" i="14"/>
  <c r="F39" i="14"/>
  <c r="E76" i="14"/>
  <c r="F76" i="14"/>
  <c r="C28" i="8"/>
  <c r="F59" i="14"/>
  <c r="E59" i="14"/>
  <c r="E63" i="14"/>
  <c r="F63" i="14"/>
  <c r="E69" i="14"/>
  <c r="F69" i="14"/>
  <c r="E10" i="14"/>
  <c r="F10" i="14"/>
  <c r="F52" i="14"/>
  <c r="E52" i="14"/>
  <c r="E70" i="14"/>
  <c r="F70" i="14"/>
  <c r="F25" i="14"/>
  <c r="E25" i="14"/>
  <c r="F38" i="14"/>
  <c r="E38" i="14"/>
  <c r="E65" i="14"/>
  <c r="F65" i="14"/>
  <c r="F26" i="14"/>
  <c r="E26" i="14"/>
  <c r="F54" i="14"/>
  <c r="E54" i="14"/>
  <c r="E22" i="14"/>
  <c r="F22" i="14"/>
  <c r="E17" i="14"/>
  <c r="I17" i="15" s="1"/>
  <c r="Q17" i="15" s="1"/>
  <c r="F17" i="14"/>
  <c r="E30" i="14"/>
  <c r="F30" i="14"/>
  <c r="E46" i="14"/>
  <c r="F46" i="14"/>
  <c r="F64" i="14"/>
  <c r="E64" i="14"/>
  <c r="F55" i="14"/>
  <c r="E55" i="14"/>
  <c r="H44" i="14"/>
  <c r="E44" i="14"/>
  <c r="F44" i="14"/>
  <c r="E67" i="14"/>
  <c r="F67" i="14"/>
  <c r="E66" i="14"/>
  <c r="F66" i="14"/>
  <c r="F15" i="14"/>
  <c r="E15" i="14"/>
  <c r="E21" i="14"/>
  <c r="F21" i="14"/>
  <c r="E33" i="14"/>
  <c r="F33" i="14"/>
  <c r="E58" i="14"/>
  <c r="F58" i="14"/>
  <c r="F12" i="14"/>
  <c r="E12" i="14"/>
  <c r="F24" i="14"/>
  <c r="E24" i="14"/>
  <c r="E9" i="14"/>
  <c r="F9" i="14"/>
  <c r="F14" i="14"/>
  <c r="E14" i="14"/>
  <c r="F71" i="8"/>
  <c r="O71" i="13" s="1"/>
  <c r="E56" i="14"/>
  <c r="F56" i="14"/>
  <c r="E40" i="14"/>
  <c r="F40" i="14"/>
  <c r="E47" i="14"/>
  <c r="F47" i="14"/>
  <c r="E35" i="14"/>
  <c r="F35" i="14"/>
  <c r="F27" i="14"/>
  <c r="E27" i="14"/>
  <c r="C71" i="8"/>
  <c r="F23" i="14"/>
  <c r="E23" i="14"/>
  <c r="E53" i="14"/>
  <c r="F53" i="14"/>
  <c r="F19" i="14"/>
  <c r="E19" i="14"/>
  <c r="E29" i="14"/>
  <c r="I29" i="15" s="1"/>
  <c r="Q29" i="15" s="1"/>
  <c r="F29" i="14"/>
  <c r="F11" i="14"/>
  <c r="E11" i="14"/>
  <c r="E32" i="14"/>
  <c r="F32" i="14"/>
  <c r="F73" i="14"/>
  <c r="E73" i="14"/>
  <c r="E43" i="14"/>
  <c r="F43" i="14"/>
  <c r="F71" i="14"/>
  <c r="E71" i="14"/>
  <c r="F75" i="14"/>
  <c r="E75" i="14"/>
  <c r="F37" i="14"/>
  <c r="E37" i="14"/>
  <c r="F42" i="14"/>
  <c r="E42" i="14"/>
  <c r="D28" i="8"/>
  <c r="O28" i="9" s="1"/>
  <c r="E18" i="14"/>
  <c r="F18" i="14"/>
  <c r="F28" i="8"/>
  <c r="O28" i="13" s="1"/>
  <c r="F41" i="14"/>
  <c r="E41" i="14"/>
  <c r="F60" i="14"/>
  <c r="E60" i="14"/>
  <c r="F61" i="14"/>
  <c r="E61" i="14"/>
  <c r="F72" i="14"/>
  <c r="E72" i="14"/>
  <c r="F16" i="14"/>
  <c r="E16" i="14"/>
  <c r="F48" i="14"/>
  <c r="E48" i="14"/>
  <c r="F58" i="8"/>
  <c r="O58" i="13" s="1"/>
  <c r="F74" i="14"/>
  <c r="E74" i="14"/>
  <c r="C9" i="8"/>
  <c r="E57" i="8"/>
  <c r="P57" i="12" s="1"/>
  <c r="F50" i="14"/>
  <c r="E50" i="14"/>
  <c r="F62" i="14"/>
  <c r="E62" i="14"/>
  <c r="E31" i="14"/>
  <c r="F31" i="14"/>
  <c r="E34" i="14"/>
  <c r="F34" i="14"/>
  <c r="E28" i="14"/>
  <c r="F28" i="14"/>
  <c r="C45" i="8"/>
  <c r="D76" i="8"/>
  <c r="O76" i="9" s="1"/>
  <c r="E76" i="8"/>
  <c r="P76" i="12" s="1"/>
  <c r="F76" i="8"/>
  <c r="O76" i="13" s="1"/>
  <c r="E7" i="8"/>
  <c r="P7" i="12" s="1"/>
  <c r="C44" i="8"/>
  <c r="E56" i="8"/>
  <c r="P56" i="12" s="1"/>
  <c r="D11" i="8"/>
  <c r="O11" i="9" s="1"/>
  <c r="C26" i="8"/>
  <c r="C63" i="8"/>
  <c r="E66" i="8"/>
  <c r="P66" i="12" s="1"/>
  <c r="D58" i="8"/>
  <c r="O58" i="9" s="1"/>
  <c r="D20" i="8"/>
  <c r="O20" i="9" s="1"/>
  <c r="C69" i="8"/>
  <c r="C37" i="8"/>
  <c r="D7" i="8"/>
  <c r="O7" i="9" s="1"/>
  <c r="E58" i="8"/>
  <c r="P58" i="12" s="1"/>
  <c r="E20" i="8"/>
  <c r="P20" i="12" s="1"/>
  <c r="C7" i="8"/>
  <c r="H13" i="14"/>
  <c r="G13" i="14"/>
  <c r="M13" i="14"/>
  <c r="O13" i="14" s="1"/>
  <c r="J13" i="14"/>
  <c r="I13" i="14"/>
  <c r="J29" i="14"/>
  <c r="H29" i="14"/>
  <c r="M29" i="14"/>
  <c r="O29" i="14" s="1"/>
  <c r="G29" i="14"/>
  <c r="I29" i="14"/>
  <c r="M44" i="14"/>
  <c r="O44" i="14" s="1"/>
  <c r="F20" i="8"/>
  <c r="O20" i="13" s="1"/>
  <c r="J77" i="14"/>
  <c r="C49" i="14"/>
  <c r="D45" i="8"/>
  <c r="O45" i="9" s="1"/>
  <c r="D36" i="8"/>
  <c r="O36" i="9" s="1"/>
  <c r="G77" i="14"/>
  <c r="C57" i="14"/>
  <c r="C45" i="14"/>
  <c r="E73" i="8"/>
  <c r="P73" i="12" s="1"/>
  <c r="E40" i="8"/>
  <c r="P40" i="12" s="1"/>
  <c r="C36" i="14"/>
  <c r="E45" i="8"/>
  <c r="P45" i="12" s="1"/>
  <c r="C36" i="8"/>
  <c r="E2" i="8"/>
  <c r="P2" i="12" s="1"/>
  <c r="G29" i="8"/>
  <c r="D29" i="8" s="1"/>
  <c r="O29" i="9" s="1"/>
  <c r="D2" i="8"/>
  <c r="O2" i="9" s="1"/>
  <c r="I77" i="14"/>
  <c r="M77" i="14"/>
  <c r="O77" i="14" s="1"/>
  <c r="E36" i="8"/>
  <c r="P36" i="12" s="1"/>
  <c r="G13" i="8"/>
  <c r="E13" i="8" s="1"/>
  <c r="P13" i="12" s="1"/>
  <c r="E61" i="8"/>
  <c r="P61" i="12" s="1"/>
  <c r="G44" i="14"/>
  <c r="J44" i="14"/>
  <c r="F18" i="8"/>
  <c r="O18" i="13" s="1"/>
  <c r="E14" i="8"/>
  <c r="P14" i="12" s="1"/>
  <c r="C49" i="8"/>
  <c r="E51" i="8"/>
  <c r="P51" i="12" s="1"/>
  <c r="F14" i="8"/>
  <c r="O14" i="13" s="1"/>
  <c r="F49" i="8"/>
  <c r="O49" i="13" s="1"/>
  <c r="E55" i="8"/>
  <c r="P55" i="12" s="1"/>
  <c r="E31" i="8"/>
  <c r="P31" i="12" s="1"/>
  <c r="E9" i="8"/>
  <c r="P9" i="12" s="1"/>
  <c r="C64" i="8"/>
  <c r="C31" i="8"/>
  <c r="C59" i="8"/>
  <c r="D31" i="8"/>
  <c r="O31" i="9" s="1"/>
  <c r="D49" i="8"/>
  <c r="O49" i="9" s="1"/>
  <c r="C51" i="8"/>
  <c r="D34" i="8"/>
  <c r="O34" i="9" s="1"/>
  <c r="F15" i="8"/>
  <c r="O15" i="13" s="1"/>
  <c r="F34" i="8"/>
  <c r="O34" i="13" s="1"/>
  <c r="C11" i="8"/>
  <c r="D70" i="8"/>
  <c r="O70" i="9" s="1"/>
  <c r="D17" i="8"/>
  <c r="O17" i="9" s="1"/>
  <c r="E11" i="8"/>
  <c r="P11" i="12" s="1"/>
  <c r="F2" i="8"/>
  <c r="O2" i="13" s="1"/>
  <c r="F16" i="8"/>
  <c r="O16" i="13" s="1"/>
  <c r="D55" i="8"/>
  <c r="O55" i="9" s="1"/>
  <c r="E30" i="8"/>
  <c r="P30" i="12" s="1"/>
  <c r="E33" i="8"/>
  <c r="P33" i="12" s="1"/>
  <c r="D38" i="8"/>
  <c r="O38" i="9" s="1"/>
  <c r="C30" i="8"/>
  <c r="E5" i="8"/>
  <c r="P5" i="12" s="1"/>
  <c r="F35" i="8"/>
  <c r="O35" i="13" s="1"/>
  <c r="E67" i="8"/>
  <c r="P67" i="12" s="1"/>
  <c r="D41" i="8"/>
  <c r="O41" i="9" s="1"/>
  <c r="F30" i="8"/>
  <c r="O30" i="13" s="1"/>
  <c r="F5" i="8"/>
  <c r="O5" i="13" s="1"/>
  <c r="F75" i="8"/>
  <c r="O75" i="13" s="1"/>
  <c r="C39" i="8"/>
  <c r="F17" i="8"/>
  <c r="O17" i="13" s="1"/>
  <c r="E37" i="8"/>
  <c r="P37" i="12" s="1"/>
  <c r="E64" i="8"/>
  <c r="P64" i="12" s="1"/>
  <c r="E17" i="8"/>
  <c r="P17" i="12" s="1"/>
  <c r="F64" i="8"/>
  <c r="O64" i="13" s="1"/>
  <c r="E23" i="8"/>
  <c r="P23" i="12" s="1"/>
  <c r="E16" i="8"/>
  <c r="P16" i="12" s="1"/>
  <c r="F23" i="8"/>
  <c r="O23" i="13" s="1"/>
  <c r="C33" i="8"/>
  <c r="D33" i="8"/>
  <c r="O33" i="9" s="1"/>
  <c r="F10" i="8"/>
  <c r="O10" i="13" s="1"/>
  <c r="C35" i="8"/>
  <c r="C50" i="8"/>
  <c r="D39" i="8"/>
  <c r="O39" i="9" s="1"/>
  <c r="F50" i="8"/>
  <c r="O50" i="13" s="1"/>
  <c r="F69" i="8"/>
  <c r="O69" i="13" s="1"/>
  <c r="C5" i="8"/>
  <c r="D75" i="8"/>
  <c r="O75" i="9" s="1"/>
  <c r="E39" i="8"/>
  <c r="P39" i="12" s="1"/>
  <c r="D37" i="8"/>
  <c r="O37" i="9" s="1"/>
  <c r="C48" i="8"/>
  <c r="F70" i="8"/>
  <c r="O70" i="13" s="1"/>
  <c r="D19" i="8"/>
  <c r="O19" i="9" s="1"/>
  <c r="D14" i="8"/>
  <c r="O14" i="9" s="1"/>
  <c r="F51" i="8"/>
  <c r="O51" i="13" s="1"/>
  <c r="E74" i="8"/>
  <c r="P74" i="12" s="1"/>
  <c r="F68" i="8"/>
  <c r="O68" i="13" s="1"/>
  <c r="D74" i="8"/>
  <c r="O74" i="9" s="1"/>
  <c r="F65" i="8"/>
  <c r="O65" i="13" s="1"/>
  <c r="D68" i="8"/>
  <c r="O68" i="9" s="1"/>
  <c r="E38" i="8"/>
  <c r="P38" i="12" s="1"/>
  <c r="F42" i="8"/>
  <c r="O42" i="13" s="1"/>
  <c r="F74" i="8"/>
  <c r="O74" i="13" s="1"/>
  <c r="E65" i="8"/>
  <c r="P65" i="12" s="1"/>
  <c r="C38" i="8"/>
  <c r="E42" i="8"/>
  <c r="P42" i="12" s="1"/>
  <c r="F52" i="8"/>
  <c r="O52" i="13" s="1"/>
  <c r="C24" i="8"/>
  <c r="D71" i="8"/>
  <c r="O71" i="9" s="1"/>
  <c r="F54" i="8"/>
  <c r="O54" i="13" s="1"/>
  <c r="C65" i="8"/>
  <c r="C4" i="8"/>
  <c r="E53" i="8"/>
  <c r="P53" i="12" s="1"/>
  <c r="F72" i="8"/>
  <c r="O72" i="13" s="1"/>
  <c r="D62" i="8"/>
  <c r="O62" i="9" s="1"/>
  <c r="C41" i="8"/>
  <c r="C54" i="8"/>
  <c r="F43" i="8"/>
  <c r="O43" i="13" s="1"/>
  <c r="D53" i="8"/>
  <c r="O53" i="9" s="1"/>
  <c r="D22" i="8"/>
  <c r="O22" i="9" s="1"/>
  <c r="D59" i="8"/>
  <c r="O59" i="9" s="1"/>
  <c r="D42" i="8"/>
  <c r="O42" i="9" s="1"/>
  <c r="E52" i="8"/>
  <c r="P52" i="12" s="1"/>
  <c r="C52" i="8"/>
  <c r="F24" i="8"/>
  <c r="O24" i="13" s="1"/>
  <c r="E62" i="8"/>
  <c r="P62" i="12" s="1"/>
  <c r="D54" i="8"/>
  <c r="O54" i="9" s="1"/>
  <c r="C21" i="8"/>
  <c r="E43" i="8"/>
  <c r="P43" i="12" s="1"/>
  <c r="F53" i="8"/>
  <c r="O53" i="13" s="1"/>
  <c r="E22" i="8"/>
  <c r="P22" i="12" s="1"/>
  <c r="F66" i="8"/>
  <c r="O66" i="13" s="1"/>
  <c r="F41" i="8"/>
  <c r="O41" i="13" s="1"/>
  <c r="D48" i="8"/>
  <c r="O48" i="9" s="1"/>
  <c r="E21" i="8"/>
  <c r="P21" i="12" s="1"/>
  <c r="C43" i="8"/>
  <c r="F22" i="8"/>
  <c r="O22" i="13" s="1"/>
  <c r="E50" i="8"/>
  <c r="P50" i="12" s="1"/>
  <c r="C66" i="8"/>
  <c r="C32" i="8"/>
  <c r="F47" i="8"/>
  <c r="O47" i="13" s="1"/>
  <c r="E75" i="8"/>
  <c r="P75" i="12" s="1"/>
  <c r="F46" i="8"/>
  <c r="O46" i="13" s="1"/>
  <c r="D73" i="8"/>
  <c r="O73" i="9" s="1"/>
  <c r="D35" i="8"/>
  <c r="O35" i="9" s="1"/>
  <c r="D32" i="8"/>
  <c r="O32" i="9" s="1"/>
  <c r="F32" i="9" s="1"/>
  <c r="C47" i="8"/>
  <c r="E46" i="8"/>
  <c r="P46" i="12" s="1"/>
  <c r="E59" i="8"/>
  <c r="P59" i="12" s="1"/>
  <c r="C73" i="8"/>
  <c r="C23" i="8"/>
  <c r="F48" i="8"/>
  <c r="O48" i="13" s="1"/>
  <c r="C40" i="8"/>
  <c r="D61" i="8"/>
  <c r="O61" i="9" s="1"/>
  <c r="E19" i="8"/>
  <c r="P19" i="12" s="1"/>
  <c r="E8" i="8"/>
  <c r="P8" i="12" s="1"/>
  <c r="C15" i="8"/>
  <c r="G74" i="14"/>
  <c r="I74" i="14"/>
  <c r="H74" i="14"/>
  <c r="M74" i="14"/>
  <c r="O74" i="14" s="1"/>
  <c r="J74" i="14"/>
  <c r="M59" i="14"/>
  <c r="O59" i="14" s="1"/>
  <c r="G59" i="14"/>
  <c r="J59" i="14"/>
  <c r="I59" i="14"/>
  <c r="H59" i="14"/>
  <c r="M55" i="14"/>
  <c r="O55" i="14" s="1"/>
  <c r="J55" i="14"/>
  <c r="H55" i="14"/>
  <c r="G55" i="14"/>
  <c r="I55" i="14"/>
  <c r="G19" i="14"/>
  <c r="I19" i="14"/>
  <c r="H19" i="14"/>
  <c r="J19" i="14"/>
  <c r="M19" i="14"/>
  <c r="O19" i="14" s="1"/>
  <c r="J40" i="14"/>
  <c r="M40" i="14"/>
  <c r="O40" i="14" s="1"/>
  <c r="I40" i="14"/>
  <c r="H40" i="14"/>
  <c r="G40" i="14"/>
  <c r="H6" i="14"/>
  <c r="G6" i="14"/>
  <c r="M6" i="14"/>
  <c r="O6" i="14" s="1"/>
  <c r="I6" i="14"/>
  <c r="J6" i="14"/>
  <c r="G50" i="14"/>
  <c r="J50" i="14"/>
  <c r="H50" i="14"/>
  <c r="I50" i="14"/>
  <c r="M50" i="14"/>
  <c r="O50" i="14" s="1"/>
  <c r="F19" i="8"/>
  <c r="O19" i="13" s="1"/>
  <c r="I62" i="14"/>
  <c r="G62" i="14"/>
  <c r="M62" i="14"/>
  <c r="O62" i="14" s="1"/>
  <c r="J62" i="14"/>
  <c r="H62" i="14"/>
  <c r="G10" i="14"/>
  <c r="I10" i="14"/>
  <c r="J10" i="14"/>
  <c r="M10" i="14"/>
  <c r="O10" i="14" s="1"/>
  <c r="H10" i="14"/>
  <c r="I32" i="14"/>
  <c r="J32" i="14"/>
  <c r="H32" i="14"/>
  <c r="G32" i="14"/>
  <c r="M32" i="14"/>
  <c r="O32" i="14" s="1"/>
  <c r="F25" i="8"/>
  <c r="O25" i="13" s="1"/>
  <c r="E27" i="8"/>
  <c r="P27" i="12" s="1"/>
  <c r="J65" i="14"/>
  <c r="H65" i="14"/>
  <c r="I65" i="14"/>
  <c r="M65" i="14"/>
  <c r="O65" i="14" s="1"/>
  <c r="G65" i="14"/>
  <c r="E25" i="8"/>
  <c r="P25" i="12" s="1"/>
  <c r="C62" i="8"/>
  <c r="D69" i="8"/>
  <c r="O69" i="9" s="1"/>
  <c r="F69" i="9" s="1"/>
  <c r="E32" i="8"/>
  <c r="P32" i="12" s="1"/>
  <c r="E70" i="8"/>
  <c r="P70" i="12" s="1"/>
  <c r="D4" i="8"/>
  <c r="O4" i="9" s="1"/>
  <c r="G4" i="9" s="1"/>
  <c r="D10" i="8"/>
  <c r="O10" i="9" s="1"/>
  <c r="C27" i="8"/>
  <c r="J11" i="14"/>
  <c r="G11" i="14"/>
  <c r="M11" i="14"/>
  <c r="O11" i="14" s="1"/>
  <c r="H11" i="14"/>
  <c r="I11" i="14"/>
  <c r="H66" i="14"/>
  <c r="G66" i="14"/>
  <c r="J66" i="14"/>
  <c r="M66" i="14"/>
  <c r="O66" i="14" s="1"/>
  <c r="I66" i="14"/>
  <c r="J43" i="14"/>
  <c r="G43" i="14"/>
  <c r="H43" i="14"/>
  <c r="M43" i="14"/>
  <c r="O43" i="14" s="1"/>
  <c r="I43" i="14"/>
  <c r="G14" i="14"/>
  <c r="M14" i="14"/>
  <c r="O14" i="14" s="1"/>
  <c r="I14" i="14"/>
  <c r="J14" i="14"/>
  <c r="H14" i="14"/>
  <c r="I17" i="14"/>
  <c r="H17" i="14"/>
  <c r="M17" i="14"/>
  <c r="O17" i="14" s="1"/>
  <c r="J17" i="14"/>
  <c r="G17" i="14"/>
  <c r="H30" i="14"/>
  <c r="G30" i="14"/>
  <c r="M30" i="14"/>
  <c r="O30" i="14" s="1"/>
  <c r="J30" i="14"/>
  <c r="I30" i="14"/>
  <c r="J39" i="14"/>
  <c r="G39" i="14"/>
  <c r="I39" i="14"/>
  <c r="H39" i="14"/>
  <c r="M39" i="14"/>
  <c r="O39" i="14" s="1"/>
  <c r="C25" i="8"/>
  <c r="D21" i="8"/>
  <c r="O21" i="9" s="1"/>
  <c r="C68" i="8"/>
  <c r="D46" i="8"/>
  <c r="O46" i="9" s="1"/>
  <c r="E4" i="8"/>
  <c r="P4" i="12" s="1"/>
  <c r="E10" i="8"/>
  <c r="P10" i="12" s="1"/>
  <c r="D27" i="8"/>
  <c r="O27" i="9" s="1"/>
  <c r="J63" i="14"/>
  <c r="G63" i="14"/>
  <c r="H63" i="14"/>
  <c r="M63" i="14"/>
  <c r="O63" i="14" s="1"/>
  <c r="I63" i="14"/>
  <c r="G21" i="14"/>
  <c r="I21" i="14"/>
  <c r="J21" i="14"/>
  <c r="M21" i="14"/>
  <c r="O21" i="14" s="1"/>
  <c r="H21" i="14"/>
  <c r="H54" i="14"/>
  <c r="G54" i="14"/>
  <c r="M54" i="14"/>
  <c r="O54" i="14" s="1"/>
  <c r="J54" i="14"/>
  <c r="I54" i="14"/>
  <c r="G47" i="14"/>
  <c r="J47" i="14"/>
  <c r="I47" i="14"/>
  <c r="M47" i="14"/>
  <c r="O47" i="14" s="1"/>
  <c r="H47" i="14"/>
  <c r="G22" i="14"/>
  <c r="M22" i="14"/>
  <c r="O22" i="14" s="1"/>
  <c r="H22" i="14"/>
  <c r="I22" i="14"/>
  <c r="J22" i="14"/>
  <c r="G51" i="14"/>
  <c r="I51" i="14"/>
  <c r="H51" i="14"/>
  <c r="J51" i="14"/>
  <c r="M51" i="14"/>
  <c r="O51" i="14" s="1"/>
  <c r="M33" i="14"/>
  <c r="O33" i="14" s="1"/>
  <c r="I33" i="14"/>
  <c r="H33" i="14"/>
  <c r="G33" i="14"/>
  <c r="J33" i="14"/>
  <c r="G73" i="14"/>
  <c r="I73" i="14"/>
  <c r="H73" i="14"/>
  <c r="M73" i="14"/>
  <c r="O73" i="14" s="1"/>
  <c r="J73" i="14"/>
  <c r="G48" i="14"/>
  <c r="I48" i="14"/>
  <c r="M48" i="14"/>
  <c r="O48" i="14" s="1"/>
  <c r="J48" i="14"/>
  <c r="H48" i="14"/>
  <c r="G16" i="14"/>
  <c r="I16" i="14"/>
  <c r="H16" i="14"/>
  <c r="M16" i="14"/>
  <c r="O16" i="14" s="1"/>
  <c r="J16" i="14"/>
  <c r="J56" i="14"/>
  <c r="G56" i="14"/>
  <c r="M56" i="14"/>
  <c r="O56" i="14" s="1"/>
  <c r="I56" i="14"/>
  <c r="H56" i="14"/>
  <c r="G7" i="14"/>
  <c r="M7" i="14"/>
  <c r="O7" i="14" s="1"/>
  <c r="I7" i="14"/>
  <c r="J7" i="14"/>
  <c r="H7" i="14"/>
  <c r="J27" i="14"/>
  <c r="M27" i="14"/>
  <c r="O27" i="14" s="1"/>
  <c r="H27" i="14"/>
  <c r="G27" i="14"/>
  <c r="I27" i="14"/>
  <c r="D8" i="8"/>
  <c r="O8" i="9" s="1"/>
  <c r="J31" i="14"/>
  <c r="G31" i="14"/>
  <c r="H31" i="14"/>
  <c r="M31" i="14"/>
  <c r="O31" i="14" s="1"/>
  <c r="I31" i="14"/>
  <c r="G6" i="8"/>
  <c r="G25" i="14"/>
  <c r="I25" i="14"/>
  <c r="M25" i="14"/>
  <c r="O25" i="14" s="1"/>
  <c r="J25" i="14"/>
  <c r="H25" i="14"/>
  <c r="G26" i="14"/>
  <c r="J26" i="14"/>
  <c r="H26" i="14"/>
  <c r="I26" i="14"/>
  <c r="M26" i="14"/>
  <c r="O26" i="14" s="1"/>
  <c r="C8" i="8"/>
  <c r="G61" i="14"/>
  <c r="J61" i="14"/>
  <c r="H61" i="14"/>
  <c r="I61" i="14"/>
  <c r="M61" i="14"/>
  <c r="O61" i="14" s="1"/>
  <c r="G64" i="14"/>
  <c r="J64" i="14"/>
  <c r="M64" i="14"/>
  <c r="O64" i="14" s="1"/>
  <c r="H64" i="14"/>
  <c r="I64" i="14"/>
  <c r="H34" i="14"/>
  <c r="J34" i="14"/>
  <c r="I34" i="14"/>
  <c r="M34" i="14"/>
  <c r="O34" i="14" s="1"/>
  <c r="G34" i="14"/>
  <c r="D40" i="8"/>
  <c r="O40" i="9" s="1"/>
  <c r="C61" i="8"/>
  <c r="E15" i="8"/>
  <c r="P15" i="12" s="1"/>
  <c r="G67" i="14"/>
  <c r="H67" i="14"/>
  <c r="M67" i="14"/>
  <c r="O67" i="14" s="1"/>
  <c r="I67" i="14"/>
  <c r="J67" i="14"/>
  <c r="J20" i="14"/>
  <c r="H20" i="14"/>
  <c r="I20" i="14"/>
  <c r="G20" i="14"/>
  <c r="M20" i="14"/>
  <c r="O20" i="14" s="1"/>
  <c r="G24" i="14"/>
  <c r="I24" i="14"/>
  <c r="M24" i="14"/>
  <c r="O24" i="14" s="1"/>
  <c r="J24" i="14"/>
  <c r="H24" i="14"/>
  <c r="M2" i="14"/>
  <c r="O2" i="14" s="1"/>
  <c r="G2" i="14"/>
  <c r="H2" i="14"/>
  <c r="J2" i="14"/>
  <c r="I2" i="14"/>
  <c r="M28" i="14"/>
  <c r="O28" i="14" s="1"/>
  <c r="J28" i="14"/>
  <c r="G28" i="14"/>
  <c r="I28" i="14"/>
  <c r="H28" i="14"/>
  <c r="C18" i="8"/>
  <c r="F67" i="8"/>
  <c r="O67" i="13" s="1"/>
  <c r="I71" i="14"/>
  <c r="G71" i="14"/>
  <c r="H71" i="14"/>
  <c r="J71" i="14"/>
  <c r="M71" i="14"/>
  <c r="O71" i="14" s="1"/>
  <c r="I5" i="14"/>
  <c r="H5" i="14"/>
  <c r="M5" i="14"/>
  <c r="O5" i="14" s="1"/>
  <c r="G5" i="14"/>
  <c r="J5" i="14"/>
  <c r="I35" i="14"/>
  <c r="M35" i="14"/>
  <c r="O35" i="14" s="1"/>
  <c r="G35" i="14"/>
  <c r="J35" i="14"/>
  <c r="H35" i="14"/>
  <c r="G52" i="14"/>
  <c r="J52" i="14"/>
  <c r="M52" i="14"/>
  <c r="O52" i="14" s="1"/>
  <c r="I52" i="14"/>
  <c r="H52" i="14"/>
  <c r="E18" i="8"/>
  <c r="P18" i="12" s="1"/>
  <c r="C67" i="8"/>
  <c r="F77" i="8"/>
  <c r="O77" i="13" s="1"/>
  <c r="E12" i="8"/>
  <c r="P12" i="12" s="1"/>
  <c r="E60" i="8"/>
  <c r="P60" i="12" s="1"/>
  <c r="D47" i="8"/>
  <c r="O47" i="9" s="1"/>
  <c r="D26" i="8"/>
  <c r="O26" i="9" s="1"/>
  <c r="C16" i="8"/>
  <c r="D24" i="8"/>
  <c r="O24" i="9" s="1"/>
  <c r="E72" i="8"/>
  <c r="P72" i="12" s="1"/>
  <c r="F55" i="8"/>
  <c r="O55" i="13" s="1"/>
  <c r="F56" i="8"/>
  <c r="O56" i="13" s="1"/>
  <c r="J75" i="14"/>
  <c r="G75" i="14"/>
  <c r="I75" i="14"/>
  <c r="H75" i="14"/>
  <c r="M75" i="14"/>
  <c r="O75" i="14" s="1"/>
  <c r="J3" i="14"/>
  <c r="G3" i="14"/>
  <c r="I3" i="14"/>
  <c r="H3" i="14"/>
  <c r="M3" i="14"/>
  <c r="O3" i="14" s="1"/>
  <c r="G53" i="14"/>
  <c r="I53" i="14"/>
  <c r="J53" i="14"/>
  <c r="M53" i="14"/>
  <c r="O53" i="14" s="1"/>
  <c r="H53" i="14"/>
  <c r="H42" i="14"/>
  <c r="G42" i="14"/>
  <c r="I42" i="14"/>
  <c r="M42" i="14"/>
  <c r="O42" i="14" s="1"/>
  <c r="J42" i="14"/>
  <c r="G76" i="14"/>
  <c r="M76" i="14"/>
  <c r="O76" i="14" s="1"/>
  <c r="I76" i="14"/>
  <c r="H76" i="14"/>
  <c r="J76" i="14"/>
  <c r="G23" i="14"/>
  <c r="J23" i="14"/>
  <c r="M23" i="14"/>
  <c r="O23" i="14" s="1"/>
  <c r="I23" i="14"/>
  <c r="H23" i="14"/>
  <c r="G72" i="14"/>
  <c r="J72" i="14"/>
  <c r="H72" i="14"/>
  <c r="M72" i="14"/>
  <c r="O72" i="14" s="1"/>
  <c r="I72" i="14"/>
  <c r="J15" i="14"/>
  <c r="G15" i="14"/>
  <c r="M15" i="14"/>
  <c r="O15" i="14" s="1"/>
  <c r="I15" i="14"/>
  <c r="H15" i="14"/>
  <c r="H68" i="14"/>
  <c r="M68" i="14"/>
  <c r="O68" i="14" s="1"/>
  <c r="G68" i="14"/>
  <c r="I68" i="14"/>
  <c r="J68" i="14"/>
  <c r="D77" i="8"/>
  <c r="O77" i="9" s="1"/>
  <c r="F12" i="8"/>
  <c r="O12" i="13" s="1"/>
  <c r="D60" i="8"/>
  <c r="O60" i="9" s="1"/>
  <c r="E26" i="8"/>
  <c r="P26" i="12" s="1"/>
  <c r="G58" i="14"/>
  <c r="I58" i="14"/>
  <c r="M58" i="14"/>
  <c r="O58" i="14" s="1"/>
  <c r="H58" i="14"/>
  <c r="J58" i="14"/>
  <c r="H37" i="14"/>
  <c r="M37" i="14"/>
  <c r="O37" i="14" s="1"/>
  <c r="I37" i="14"/>
  <c r="G37" i="14"/>
  <c r="J37" i="14"/>
  <c r="E77" i="8"/>
  <c r="P77" i="12" s="1"/>
  <c r="C12" i="8"/>
  <c r="C60" i="8"/>
  <c r="D72" i="8"/>
  <c r="O72" i="9" s="1"/>
  <c r="C56" i="8"/>
  <c r="I41" i="14"/>
  <c r="H41" i="14"/>
  <c r="J41" i="14"/>
  <c r="G41" i="14"/>
  <c r="M41" i="14"/>
  <c r="O41" i="14" s="1"/>
  <c r="H18" i="14"/>
  <c r="G18" i="14"/>
  <c r="I18" i="14"/>
  <c r="M18" i="14"/>
  <c r="O18" i="14" s="1"/>
  <c r="J18" i="14"/>
  <c r="J69" i="14"/>
  <c r="M69" i="14"/>
  <c r="O69" i="14" s="1"/>
  <c r="G69" i="14"/>
  <c r="H69" i="14"/>
  <c r="I69" i="14"/>
  <c r="H70" i="14"/>
  <c r="J70" i="14"/>
  <c r="I70" i="14"/>
  <c r="G70" i="14"/>
  <c r="M70" i="14"/>
  <c r="O70" i="14" s="1"/>
  <c r="J9" i="14"/>
  <c r="G9" i="14"/>
  <c r="I9" i="14"/>
  <c r="H9" i="14"/>
  <c r="M9" i="14"/>
  <c r="O9" i="14" s="1"/>
  <c r="G4" i="14"/>
  <c r="M4" i="14"/>
  <c r="O4" i="14" s="1"/>
  <c r="H4" i="14"/>
  <c r="I4" i="14"/>
  <c r="J4" i="14"/>
  <c r="I46" i="14"/>
  <c r="J46" i="14"/>
  <c r="M46" i="14"/>
  <c r="O46" i="14" s="1"/>
  <c r="H46" i="14"/>
  <c r="G46" i="14"/>
  <c r="G38" i="14"/>
  <c r="I38" i="14"/>
  <c r="J38" i="14"/>
  <c r="H38" i="14"/>
  <c r="M38" i="14"/>
  <c r="O38" i="14" s="1"/>
  <c r="G12" i="14"/>
  <c r="H12" i="14"/>
  <c r="M12" i="14"/>
  <c r="O12" i="14" s="1"/>
  <c r="I12" i="14"/>
  <c r="J12" i="14"/>
  <c r="G60" i="14"/>
  <c r="H60" i="14"/>
  <c r="I60" i="14"/>
  <c r="M60" i="14"/>
  <c r="O60" i="14" s="1"/>
  <c r="J60" i="14"/>
  <c r="I8" i="14"/>
  <c r="H8" i="14"/>
  <c r="G8" i="14"/>
  <c r="J8" i="14"/>
  <c r="M8" i="14"/>
  <c r="O8" i="14" s="1"/>
  <c r="D56" i="15"/>
  <c r="L56" i="15" s="1"/>
  <c r="D43" i="15"/>
  <c r="L43" i="15" s="1"/>
  <c r="D44" i="15"/>
  <c r="L44" i="15" s="1"/>
  <c r="E14" i="21" l="1" a="1"/>
  <c r="E14" i="21" s="1"/>
  <c r="D288" i="21" a="1"/>
  <c r="D288" i="21" s="1"/>
  <c r="D12" i="21" a="1"/>
  <c r="D12" i="21" s="1"/>
  <c r="D100" i="21" a="1"/>
  <c r="D100" i="21" s="1"/>
  <c r="D113" i="21" a="1"/>
  <c r="D113" i="21" s="1"/>
  <c r="D65" i="21" a="1"/>
  <c r="D65" i="21" s="1"/>
  <c r="D244" i="21" a="1"/>
  <c r="D244" i="21" s="1"/>
  <c r="D148" i="21" a="1"/>
  <c r="D148" i="21" s="1"/>
  <c r="D140" i="21" a="1"/>
  <c r="D140" i="21" s="1"/>
  <c r="G258" i="21" a="1"/>
  <c r="G258" i="21" s="1"/>
  <c r="E258" i="21" a="1"/>
  <c r="E258" i="21" s="1"/>
  <c r="G250" i="21" a="1"/>
  <c r="G250" i="21" s="1"/>
  <c r="E250" i="21" a="1"/>
  <c r="E250" i="21" s="1"/>
  <c r="D250" i="21" a="1"/>
  <c r="D250" i="21" s="1"/>
  <c r="H250" i="21" s="1"/>
  <c r="D218" i="21" a="1"/>
  <c r="D218" i="21" s="1"/>
  <c r="G166" i="21" a="1"/>
  <c r="G166" i="21" s="1"/>
  <c r="E166" i="21" a="1"/>
  <c r="E166" i="21" s="1"/>
  <c r="D198" i="21" a="1"/>
  <c r="D198" i="21" s="1"/>
  <c r="D258" i="21" a="1"/>
  <c r="D258" i="21" s="1"/>
  <c r="D166" i="21" a="1"/>
  <c r="D166" i="21" s="1"/>
  <c r="H166" i="21" s="1"/>
  <c r="G202" i="21" a="1"/>
  <c r="G202" i="21" s="1"/>
  <c r="E202" i="21" a="1"/>
  <c r="E202" i="21" s="1"/>
  <c r="G198" i="21" a="1"/>
  <c r="G198" i="21" s="1"/>
  <c r="E198" i="21" a="1"/>
  <c r="E198" i="21" s="1"/>
  <c r="D202" i="21" a="1"/>
  <c r="D202" i="21" s="1"/>
  <c r="G218" i="21" a="1"/>
  <c r="G218" i="21" s="1"/>
  <c r="E218" i="21" a="1"/>
  <c r="E218" i="21" s="1"/>
  <c r="G246" i="21" a="1"/>
  <c r="G246" i="21" s="1"/>
  <c r="E246" i="21" a="1"/>
  <c r="E246" i="21" s="1"/>
  <c r="D170" i="21" a="1"/>
  <c r="D170" i="21" s="1"/>
  <c r="H170" i="21" s="1"/>
  <c r="G194" i="21" a="1"/>
  <c r="G194" i="21" s="1"/>
  <c r="E194" i="21" a="1"/>
  <c r="E194" i="21" s="1"/>
  <c r="D246" i="21" a="1"/>
  <c r="D246" i="21" s="1"/>
  <c r="H246" i="21" s="1"/>
  <c r="G262" i="21" a="1"/>
  <c r="G262" i="21" s="1"/>
  <c r="E262" i="21" a="1"/>
  <c r="E262" i="21" s="1"/>
  <c r="D254" i="21" a="1"/>
  <c r="D254" i="21" s="1"/>
  <c r="H254" i="21" s="1"/>
  <c r="G170" i="21" a="1"/>
  <c r="G170" i="21" s="1"/>
  <c r="E170" i="21" a="1"/>
  <c r="E170" i="21" s="1"/>
  <c r="G86" i="21" a="1"/>
  <c r="G86" i="21" s="1"/>
  <c r="E86" i="21" a="1"/>
  <c r="E86" i="21" s="1"/>
  <c r="D86" i="21" a="1"/>
  <c r="D86" i="21" s="1"/>
  <c r="H86" i="21" s="1"/>
  <c r="G54" i="21" a="1"/>
  <c r="G54" i="21" s="1"/>
  <c r="E54" i="21" a="1"/>
  <c r="E54" i="21" s="1"/>
  <c r="D262" i="21" a="1"/>
  <c r="D262" i="21" s="1"/>
  <c r="D54" i="21" a="1"/>
  <c r="D54" i="21" s="1"/>
  <c r="H54" i="21" s="1"/>
  <c r="G66" i="21" a="1"/>
  <c r="G66" i="21" s="1"/>
  <c r="E66" i="21" a="1"/>
  <c r="E66" i="21" s="1"/>
  <c r="G114" i="21" a="1"/>
  <c r="G114" i="21" s="1"/>
  <c r="E114" i="21" a="1"/>
  <c r="E114" i="21" s="1"/>
  <c r="G94" i="21" a="1"/>
  <c r="G94" i="21" s="1"/>
  <c r="E94" i="21" a="1"/>
  <c r="E94" i="21" s="1"/>
  <c r="D114" i="21" a="1"/>
  <c r="D114" i="21" s="1"/>
  <c r="H114" i="21" s="1"/>
  <c r="D94" i="21" a="1"/>
  <c r="D94" i="21" s="1"/>
  <c r="H94" i="21" s="1"/>
  <c r="G58" i="21" a="1"/>
  <c r="G58" i="21" s="1"/>
  <c r="E58" i="21" a="1"/>
  <c r="E58" i="21" s="1"/>
  <c r="D66" i="21" a="1"/>
  <c r="D66" i="21" s="1"/>
  <c r="D58" i="21" a="1"/>
  <c r="D58" i="21" s="1"/>
  <c r="H58" i="21" s="1"/>
  <c r="G42" i="21" a="1"/>
  <c r="G42" i="21" s="1"/>
  <c r="E42" i="21" a="1"/>
  <c r="E42" i="21" s="1"/>
  <c r="G254" i="21" a="1"/>
  <c r="G254" i="21" s="1"/>
  <c r="E254" i="21" a="1"/>
  <c r="E254" i="21" s="1"/>
  <c r="D194" i="21" a="1"/>
  <c r="D194" i="21" s="1"/>
  <c r="D42" i="21" a="1"/>
  <c r="D42" i="21" s="1"/>
  <c r="D107" i="21" a="1"/>
  <c r="D107" i="21" s="1"/>
  <c r="D211" i="21" a="1"/>
  <c r="D211" i="21" s="1"/>
  <c r="F2" i="12"/>
  <c r="E2" i="15" s="1"/>
  <c r="M2" i="15" s="1"/>
  <c r="G33" i="13"/>
  <c r="H33" i="15" s="1"/>
  <c r="P33" i="15" s="1"/>
  <c r="F33" i="13"/>
  <c r="G33" i="15" s="1"/>
  <c r="O33" i="15" s="1"/>
  <c r="G9" i="13"/>
  <c r="H9" i="15" s="1"/>
  <c r="P9" i="15" s="1"/>
  <c r="F9" i="13"/>
  <c r="G9" i="15" s="1"/>
  <c r="O9" i="15" s="1"/>
  <c r="G3" i="12"/>
  <c r="F3" i="15" s="1"/>
  <c r="N3" i="15" s="1"/>
  <c r="F3" i="12"/>
  <c r="E3" i="15" s="1"/>
  <c r="M3" i="15" s="1"/>
  <c r="G69" i="12"/>
  <c r="F69" i="15" s="1"/>
  <c r="N69" i="15" s="1"/>
  <c r="F69" i="12"/>
  <c r="E69" i="15" s="1"/>
  <c r="M69" i="15" s="1"/>
  <c r="F34" i="12"/>
  <c r="E34" i="15" s="1"/>
  <c r="M34" i="15" s="1"/>
  <c r="G34" i="12"/>
  <c r="F34" i="15" s="1"/>
  <c r="N34" i="15" s="1"/>
  <c r="G27" i="13"/>
  <c r="H27" i="15" s="1"/>
  <c r="P27" i="15" s="1"/>
  <c r="F27" i="13"/>
  <c r="G27" i="15" s="1"/>
  <c r="O27" i="15" s="1"/>
  <c r="F8" i="13"/>
  <c r="G8" i="15" s="1"/>
  <c r="G8" i="13"/>
  <c r="H8" i="15" s="1"/>
  <c r="G39" i="13"/>
  <c r="H39" i="15" s="1"/>
  <c r="P39" i="15" s="1"/>
  <c r="F39" i="13"/>
  <c r="G39" i="15" s="1"/>
  <c r="O39" i="15" s="1"/>
  <c r="G31" i="13"/>
  <c r="H31" i="15" s="1"/>
  <c r="P31" i="15" s="1"/>
  <c r="F31" i="13"/>
  <c r="G31" i="15" s="1"/>
  <c r="O31" i="15" s="1"/>
  <c r="F21" i="13"/>
  <c r="G21" i="15" s="1"/>
  <c r="O21" i="15" s="1"/>
  <c r="G21" i="13"/>
  <c r="H21" i="15" s="1"/>
  <c r="P21" i="15" s="1"/>
  <c r="G68" i="12"/>
  <c r="F68" i="15" s="1"/>
  <c r="N68" i="15" s="1"/>
  <c r="F68" i="12"/>
  <c r="E68" i="15" s="1"/>
  <c r="M68" i="15" s="1"/>
  <c r="G45" i="13"/>
  <c r="H45" i="15" s="1"/>
  <c r="P45" i="15" s="1"/>
  <c r="F45" i="13"/>
  <c r="G45" i="15" s="1"/>
  <c r="O45" i="15" s="1"/>
  <c r="F32" i="13"/>
  <c r="G32" i="15" s="1"/>
  <c r="O32" i="15" s="1"/>
  <c r="G32" i="13"/>
  <c r="H32" i="15" s="1"/>
  <c r="P32" i="15" s="1"/>
  <c r="G7" i="13"/>
  <c r="H7" i="15" s="1"/>
  <c r="F7" i="13"/>
  <c r="G7" i="15" s="1"/>
  <c r="G20" i="13"/>
  <c r="H20" i="15" s="1"/>
  <c r="P20" i="15" s="1"/>
  <c r="F5" i="13"/>
  <c r="G5" i="15" s="1"/>
  <c r="O5" i="15" s="1"/>
  <c r="G9" i="12"/>
  <c r="F9" i="15" s="1"/>
  <c r="N9" i="15" s="1"/>
  <c r="G56" i="13"/>
  <c r="H56" i="15" s="1"/>
  <c r="P56" i="15" s="1"/>
  <c r="G22" i="13"/>
  <c r="H22" i="15" s="1"/>
  <c r="P22" i="15" s="1"/>
  <c r="G38" i="12"/>
  <c r="F38" i="15" s="1"/>
  <c r="N38" i="15" s="1"/>
  <c r="G39" i="12"/>
  <c r="F39" i="15" s="1"/>
  <c r="N39" i="15" s="1"/>
  <c r="G67" i="12"/>
  <c r="F67" i="15" s="1"/>
  <c r="N67" i="15" s="1"/>
  <c r="G31" i="12"/>
  <c r="F31" i="15" s="1"/>
  <c r="N31" i="15" s="1"/>
  <c r="F46" i="13"/>
  <c r="G46" i="15" s="1"/>
  <c r="O46" i="15" s="1"/>
  <c r="G17" i="13"/>
  <c r="H17" i="15" s="1"/>
  <c r="P17" i="15" s="1"/>
  <c r="G14" i="12"/>
  <c r="F14" i="15" s="1"/>
  <c r="N14" i="15" s="1"/>
  <c r="G43" i="13"/>
  <c r="H43" i="15" s="1"/>
  <c r="P43" i="15" s="1"/>
  <c r="G67" i="13"/>
  <c r="H67" i="15" s="1"/>
  <c r="P67" i="15" s="1"/>
  <c r="G57" i="12"/>
  <c r="F57" i="15" s="1"/>
  <c r="N57" i="15" s="1"/>
  <c r="G12" i="13"/>
  <c r="H12" i="15" s="1"/>
  <c r="P12" i="15" s="1"/>
  <c r="G55" i="13"/>
  <c r="H55" i="15" s="1"/>
  <c r="P55" i="15" s="1"/>
  <c r="F70" i="12"/>
  <c r="E70" i="15" s="1"/>
  <c r="M70" i="15" s="1"/>
  <c r="G46" i="12"/>
  <c r="F46" i="15" s="1"/>
  <c r="N46" i="15" s="1"/>
  <c r="G55" i="12"/>
  <c r="F55" i="15" s="1"/>
  <c r="N55" i="15" s="1"/>
  <c r="G57" i="13"/>
  <c r="H57" i="15" s="1"/>
  <c r="P57" i="15" s="1"/>
  <c r="F58" i="13"/>
  <c r="G58" i="15" s="1"/>
  <c r="O58" i="15" s="1"/>
  <c r="G51" i="13"/>
  <c r="H51" i="15" s="1"/>
  <c r="P51" i="15" s="1"/>
  <c r="G56" i="12"/>
  <c r="F56" i="15" s="1"/>
  <c r="N56" i="15" s="1"/>
  <c r="G53" i="13"/>
  <c r="H53" i="15" s="1"/>
  <c r="P53" i="15" s="1"/>
  <c r="G75" i="13"/>
  <c r="H75" i="15" s="1"/>
  <c r="P75" i="15" s="1"/>
  <c r="G32" i="12"/>
  <c r="F32" i="15" s="1"/>
  <c r="N32" i="15" s="1"/>
  <c r="G75" i="12"/>
  <c r="F75" i="15" s="1"/>
  <c r="N75" i="15" s="1"/>
  <c r="F45" i="12"/>
  <c r="E45" i="15" s="1"/>
  <c r="M45" i="15" s="1"/>
  <c r="G44" i="13"/>
  <c r="H44" i="15" s="1"/>
  <c r="P44" i="15" s="1"/>
  <c r="G69" i="13"/>
  <c r="H69" i="15" s="1"/>
  <c r="P69" i="15" s="1"/>
  <c r="G19" i="13"/>
  <c r="H19" i="15" s="1"/>
  <c r="P19" i="15" s="1"/>
  <c r="F68" i="13"/>
  <c r="G68" i="15" s="1"/>
  <c r="O68" i="15" s="1"/>
  <c r="G44" i="12"/>
  <c r="F44" i="15" s="1"/>
  <c r="N44" i="15" s="1"/>
  <c r="G10" i="12"/>
  <c r="F10" i="15" s="1"/>
  <c r="N10" i="15" s="1"/>
  <c r="G8" i="12"/>
  <c r="F8" i="15" s="1"/>
  <c r="G33" i="12"/>
  <c r="F33" i="15" s="1"/>
  <c r="N33" i="15" s="1"/>
  <c r="E4" i="14"/>
  <c r="I4" i="15" s="1"/>
  <c r="Q4" i="15" s="1"/>
  <c r="E2" i="14"/>
  <c r="I2" i="15" s="1"/>
  <c r="Q2" i="15" s="1"/>
  <c r="G63" i="12"/>
  <c r="F63" i="15" s="1"/>
  <c r="N63" i="15" s="1"/>
  <c r="G20" i="12"/>
  <c r="F20" i="15" s="1"/>
  <c r="N20" i="15" s="1"/>
  <c r="E5" i="14"/>
  <c r="I5" i="15" s="1"/>
  <c r="Q5" i="15" s="1"/>
  <c r="F5" i="14"/>
  <c r="J5" i="15" s="1"/>
  <c r="R5" i="15" s="1"/>
  <c r="G30" i="13"/>
  <c r="H30" i="15" s="1"/>
  <c r="P30" i="15" s="1"/>
  <c r="E3" i="14"/>
  <c r="I3" i="15" s="1"/>
  <c r="Q3" i="15" s="1"/>
  <c r="F4" i="14"/>
  <c r="J4" i="15" s="1"/>
  <c r="R4" i="15" s="1"/>
  <c r="F2" i="14"/>
  <c r="J2" i="15" s="1"/>
  <c r="R2" i="15" s="1"/>
  <c r="F3" i="14"/>
  <c r="J3" i="15" s="1"/>
  <c r="R3" i="15" s="1"/>
  <c r="G40" i="12"/>
  <c r="F40" i="15" s="1"/>
  <c r="N40" i="15" s="1"/>
  <c r="G21" i="12"/>
  <c r="F21" i="15" s="1"/>
  <c r="N21" i="15" s="1"/>
  <c r="G52" i="12"/>
  <c r="F52" i="15" s="1"/>
  <c r="N52" i="15" s="1"/>
  <c r="G50" i="13"/>
  <c r="H50" i="15" s="1"/>
  <c r="P50" i="15" s="1"/>
  <c r="G28" i="13"/>
  <c r="H28" i="15" s="1"/>
  <c r="P28" i="15" s="1"/>
  <c r="G4" i="12"/>
  <c r="F4" i="15" s="1"/>
  <c r="N4" i="15" s="1"/>
  <c r="G48" i="13"/>
  <c r="H48" i="15" s="1"/>
  <c r="P48" i="15" s="1"/>
  <c r="G70" i="13"/>
  <c r="H70" i="15" s="1"/>
  <c r="P70" i="15" s="1"/>
  <c r="G25" i="13"/>
  <c r="H25" i="15" s="1"/>
  <c r="P25" i="15" s="1"/>
  <c r="G72" i="13"/>
  <c r="H72" i="15" s="1"/>
  <c r="P72" i="15" s="1"/>
  <c r="G42" i="13"/>
  <c r="H42" i="15" s="1"/>
  <c r="P42" i="15" s="1"/>
  <c r="G47" i="13"/>
  <c r="H47" i="15" s="1"/>
  <c r="P47" i="15" s="1"/>
  <c r="G77" i="12"/>
  <c r="F77" i="15" s="1"/>
  <c r="N77" i="15" s="1"/>
  <c r="G53" i="12"/>
  <c r="F53" i="15" s="1"/>
  <c r="N53" i="15" s="1"/>
  <c r="G74" i="12"/>
  <c r="F74" i="15" s="1"/>
  <c r="N74" i="15" s="1"/>
  <c r="G26" i="12"/>
  <c r="F26" i="15" s="1"/>
  <c r="N26" i="15" s="1"/>
  <c r="G71" i="13"/>
  <c r="H71" i="15" s="1"/>
  <c r="P71" i="15" s="1"/>
  <c r="G18" i="12"/>
  <c r="F18" i="15" s="1"/>
  <c r="N18" i="15" s="1"/>
  <c r="G15" i="12"/>
  <c r="F15" i="15" s="1"/>
  <c r="N15" i="15" s="1"/>
  <c r="G2" i="12"/>
  <c r="F2" i="15" s="1"/>
  <c r="N2" i="15" s="1"/>
  <c r="G41" i="13"/>
  <c r="H41" i="15" s="1"/>
  <c r="P41" i="15" s="1"/>
  <c r="G76" i="13"/>
  <c r="H76" i="15" s="1"/>
  <c r="P76" i="15" s="1"/>
  <c r="G30" i="12"/>
  <c r="F30" i="15" s="1"/>
  <c r="N30" i="15" s="1"/>
  <c r="G12" i="12"/>
  <c r="F12" i="15" s="1"/>
  <c r="N12" i="15" s="1"/>
  <c r="G27" i="12"/>
  <c r="F27" i="15" s="1"/>
  <c r="N27" i="15" s="1"/>
  <c r="G35" i="13"/>
  <c r="H35" i="15" s="1"/>
  <c r="P35" i="15" s="1"/>
  <c r="G65" i="13"/>
  <c r="H65" i="15" s="1"/>
  <c r="P65" i="15" s="1"/>
  <c r="G64" i="13"/>
  <c r="H64" i="15" s="1"/>
  <c r="P64" i="15" s="1"/>
  <c r="G63" i="13"/>
  <c r="H63" i="15" s="1"/>
  <c r="P63" i="15" s="1"/>
  <c r="G51" i="12"/>
  <c r="F51" i="15" s="1"/>
  <c r="N51" i="15" s="1"/>
  <c r="G2" i="13"/>
  <c r="H2" i="15" s="1"/>
  <c r="P2" i="15" s="1"/>
  <c r="G11" i="12"/>
  <c r="F11" i="15" s="1"/>
  <c r="N11" i="15" s="1"/>
  <c r="G73" i="12"/>
  <c r="F73" i="15" s="1"/>
  <c r="N73" i="15" s="1"/>
  <c r="G58" i="13"/>
  <c r="H58" i="15" s="1"/>
  <c r="P58" i="15" s="1"/>
  <c r="G54" i="12"/>
  <c r="F54" i="15" s="1"/>
  <c r="N54" i="15" s="1"/>
  <c r="G16" i="13"/>
  <c r="H16" i="15" s="1"/>
  <c r="P16" i="15" s="1"/>
  <c r="G60" i="13"/>
  <c r="H60" i="15" s="1"/>
  <c r="P60" i="15" s="1"/>
  <c r="G41" i="12"/>
  <c r="F41" i="15" s="1"/>
  <c r="N41" i="15" s="1"/>
  <c r="G37" i="13"/>
  <c r="H37" i="15" s="1"/>
  <c r="P37" i="15" s="1"/>
  <c r="G28" i="12"/>
  <c r="F28" i="15" s="1"/>
  <c r="N28" i="15" s="1"/>
  <c r="G66" i="12"/>
  <c r="F66" i="15" s="1"/>
  <c r="N66" i="15" s="1"/>
  <c r="G17" i="12"/>
  <c r="F17" i="15" s="1"/>
  <c r="N17" i="15" s="1"/>
  <c r="G15" i="13"/>
  <c r="H15" i="15" s="1"/>
  <c r="P15" i="15" s="1"/>
  <c r="G14" i="13"/>
  <c r="H14" i="15" s="1"/>
  <c r="P14" i="15" s="1"/>
  <c r="G62" i="13"/>
  <c r="H62" i="15" s="1"/>
  <c r="P62" i="15" s="1"/>
  <c r="F33" i="12"/>
  <c r="E33" i="15" s="1"/>
  <c r="M33" i="15" s="1"/>
  <c r="F74" i="12"/>
  <c r="E74" i="15" s="1"/>
  <c r="M74" i="15" s="1"/>
  <c r="F40" i="12"/>
  <c r="E40" i="15" s="1"/>
  <c r="M40" i="15" s="1"/>
  <c r="F55" i="13"/>
  <c r="G55" i="15" s="1"/>
  <c r="O55" i="15" s="1"/>
  <c r="F48" i="13"/>
  <c r="G48" i="15" s="1"/>
  <c r="O48" i="15" s="1"/>
  <c r="F51" i="12"/>
  <c r="E51" i="15" s="1"/>
  <c r="M51" i="15" s="1"/>
  <c r="F11" i="12"/>
  <c r="E11" i="15" s="1"/>
  <c r="M11" i="15" s="1"/>
  <c r="F70" i="13"/>
  <c r="G70" i="15" s="1"/>
  <c r="O70" i="15" s="1"/>
  <c r="F17" i="13"/>
  <c r="G17" i="15" s="1"/>
  <c r="O17" i="15" s="1"/>
  <c r="F75" i="12"/>
  <c r="E75" i="15" s="1"/>
  <c r="M75" i="15" s="1"/>
  <c r="F34" i="13"/>
  <c r="G34" i="15" s="1"/>
  <c r="O34" i="15" s="1"/>
  <c r="F65" i="13"/>
  <c r="G65" i="15" s="1"/>
  <c r="O65" i="15" s="1"/>
  <c r="F53" i="13"/>
  <c r="G53" i="15" s="1"/>
  <c r="O53" i="15" s="1"/>
  <c r="F49" i="13"/>
  <c r="G49" i="15" s="1"/>
  <c r="O49" i="15" s="1"/>
  <c r="G24" i="12"/>
  <c r="F24" i="15" s="1"/>
  <c r="N24" i="15" s="1"/>
  <c r="G11" i="13"/>
  <c r="H11" i="15" s="1"/>
  <c r="P11" i="15" s="1"/>
  <c r="F73" i="12"/>
  <c r="E73" i="15" s="1"/>
  <c r="M73" i="15" s="1"/>
  <c r="G45" i="12"/>
  <c r="F45" i="15" s="1"/>
  <c r="N45" i="15" s="1"/>
  <c r="F30" i="12"/>
  <c r="E30" i="15" s="1"/>
  <c r="M30" i="15" s="1"/>
  <c r="G65" i="12"/>
  <c r="F65" i="15" s="1"/>
  <c r="N65" i="15" s="1"/>
  <c r="F18" i="12"/>
  <c r="E18" i="15" s="1"/>
  <c r="M18" i="15" s="1"/>
  <c r="F22" i="13"/>
  <c r="G22" i="15" s="1"/>
  <c r="O22" i="15" s="1"/>
  <c r="F24" i="13"/>
  <c r="G24" i="15" s="1"/>
  <c r="O24" i="15" s="1"/>
  <c r="F42" i="12"/>
  <c r="E42" i="15" s="1"/>
  <c r="M42" i="15" s="1"/>
  <c r="F19" i="12"/>
  <c r="E19" i="15" s="1"/>
  <c r="M19" i="15" s="1"/>
  <c r="F12" i="12"/>
  <c r="E12" i="15" s="1"/>
  <c r="M12" i="15" s="1"/>
  <c r="F56" i="12"/>
  <c r="E56" i="15" s="1"/>
  <c r="M56" i="15" s="1"/>
  <c r="F57" i="13"/>
  <c r="G57" i="15" s="1"/>
  <c r="O57" i="15" s="1"/>
  <c r="F71" i="13"/>
  <c r="G71" i="15" s="1"/>
  <c r="O71" i="15" s="1"/>
  <c r="F10" i="13"/>
  <c r="G10" i="15" s="1"/>
  <c r="O10" i="15" s="1"/>
  <c r="G64" i="12"/>
  <c r="F64" i="15" s="1"/>
  <c r="N64" i="15" s="1"/>
  <c r="F30" i="13"/>
  <c r="G30" i="15" s="1"/>
  <c r="O30" i="15" s="1"/>
  <c r="F76" i="12"/>
  <c r="E76" i="15" s="1"/>
  <c r="M76" i="15" s="1"/>
  <c r="F8" i="12"/>
  <c r="E8" i="15" s="1"/>
  <c r="G5" i="13"/>
  <c r="H5" i="15" s="1"/>
  <c r="P5" i="15" s="1"/>
  <c r="F43" i="12"/>
  <c r="E43" i="15" s="1"/>
  <c r="M43" i="15" s="1"/>
  <c r="F44" i="12"/>
  <c r="E44" i="15" s="1"/>
  <c r="M44" i="15" s="1"/>
  <c r="F10" i="12"/>
  <c r="E10" i="15" s="1"/>
  <c r="M10" i="15" s="1"/>
  <c r="F67" i="13"/>
  <c r="G67" i="15" s="1"/>
  <c r="O67" i="15" s="1"/>
  <c r="F75" i="13"/>
  <c r="G75" i="15" s="1"/>
  <c r="O75" i="15" s="1"/>
  <c r="F35" i="13"/>
  <c r="G35" i="15" s="1"/>
  <c r="O35" i="15" s="1"/>
  <c r="F2" i="13"/>
  <c r="G2" i="15" s="1"/>
  <c r="O2" i="15" s="1"/>
  <c r="F42" i="13"/>
  <c r="G42" i="15" s="1"/>
  <c r="O42" i="15" s="1"/>
  <c r="F69" i="13"/>
  <c r="G69" i="15" s="1"/>
  <c r="O69" i="15" s="1"/>
  <c r="G68" i="13"/>
  <c r="H68" i="15" s="1"/>
  <c r="P68" i="15" s="1"/>
  <c r="G61" i="12"/>
  <c r="F61" i="15" s="1"/>
  <c r="N61" i="15" s="1"/>
  <c r="G76" i="12"/>
  <c r="F76" i="15" s="1"/>
  <c r="N76" i="15" s="1"/>
  <c r="F14" i="13"/>
  <c r="G14" i="15" s="1"/>
  <c r="O14" i="15" s="1"/>
  <c r="F77" i="13"/>
  <c r="G77" i="15" s="1"/>
  <c r="O77" i="15" s="1"/>
  <c r="F74" i="13"/>
  <c r="G74" i="15" s="1"/>
  <c r="O74" i="15" s="1"/>
  <c r="F47" i="13"/>
  <c r="G47" i="15" s="1"/>
  <c r="O47" i="15" s="1"/>
  <c r="F3" i="13"/>
  <c r="G3" i="15" s="1"/>
  <c r="O3" i="15" s="1"/>
  <c r="F56" i="13"/>
  <c r="G56" i="15" s="1"/>
  <c r="O56" i="15" s="1"/>
  <c r="G46" i="13"/>
  <c r="H46" i="15" s="1"/>
  <c r="P46" i="15" s="1"/>
  <c r="F54" i="13"/>
  <c r="G54" i="15" s="1"/>
  <c r="O54" i="15" s="1"/>
  <c r="F20" i="13"/>
  <c r="G20" i="15" s="1"/>
  <c r="O20" i="15" s="1"/>
  <c r="G42" i="12"/>
  <c r="F42" i="15" s="1"/>
  <c r="N42" i="15" s="1"/>
  <c r="F18" i="13"/>
  <c r="G18" i="15" s="1"/>
  <c r="O18" i="15" s="1"/>
  <c r="F12" i="13"/>
  <c r="G12" i="15" s="1"/>
  <c r="O12" i="15" s="1"/>
  <c r="F25" i="13"/>
  <c r="G25" i="15" s="1"/>
  <c r="O25" i="15" s="1"/>
  <c r="F44" i="13"/>
  <c r="G44" i="15" s="1"/>
  <c r="O44" i="15" s="1"/>
  <c r="G22" i="12"/>
  <c r="F22" i="15" s="1"/>
  <c r="N22" i="15" s="1"/>
  <c r="G50" i="12"/>
  <c r="F50" i="15" s="1"/>
  <c r="N50" i="15" s="1"/>
  <c r="G72" i="12"/>
  <c r="F72" i="15" s="1"/>
  <c r="N72" i="15" s="1"/>
  <c r="G16" i="12"/>
  <c r="F16" i="15" s="1"/>
  <c r="N16" i="15" s="1"/>
  <c r="G36" i="12"/>
  <c r="F36" i="15" s="1"/>
  <c r="N36" i="15" s="1"/>
  <c r="F72" i="13"/>
  <c r="G72" i="15" s="1"/>
  <c r="O72" i="15" s="1"/>
  <c r="F16" i="13"/>
  <c r="G16" i="15" s="1"/>
  <c r="O16" i="15" s="1"/>
  <c r="F28" i="13"/>
  <c r="G28" i="15" s="1"/>
  <c r="O28" i="15" s="1"/>
  <c r="F63" i="13"/>
  <c r="G63" i="15" s="1"/>
  <c r="O63" i="15" s="1"/>
  <c r="G47" i="12"/>
  <c r="F47" i="15" s="1"/>
  <c r="N47" i="15" s="1"/>
  <c r="G26" i="13"/>
  <c r="H26" i="15" s="1"/>
  <c r="P26" i="15" s="1"/>
  <c r="F64" i="13"/>
  <c r="G64" i="15" s="1"/>
  <c r="O64" i="15" s="1"/>
  <c r="F51" i="13"/>
  <c r="G51" i="15" s="1"/>
  <c r="O51" i="15" s="1"/>
  <c r="F19" i="13"/>
  <c r="G19" i="15" s="1"/>
  <c r="O19" i="15" s="1"/>
  <c r="F23" i="13"/>
  <c r="G23" i="15" s="1"/>
  <c r="O23" i="15" s="1"/>
  <c r="F41" i="13"/>
  <c r="G41" i="15" s="1"/>
  <c r="O41" i="15" s="1"/>
  <c r="F76" i="13"/>
  <c r="G76" i="15" s="1"/>
  <c r="O76" i="15" s="1"/>
  <c r="F52" i="13"/>
  <c r="G52" i="15" s="1"/>
  <c r="O52" i="15" s="1"/>
  <c r="F43" i="13"/>
  <c r="G43" i="15" s="1"/>
  <c r="O43" i="15" s="1"/>
  <c r="G5" i="12"/>
  <c r="F5" i="15" s="1"/>
  <c r="N5" i="15" s="1"/>
  <c r="F15" i="13"/>
  <c r="G15" i="15" s="1"/>
  <c r="O15" i="15" s="1"/>
  <c r="F50" i="13"/>
  <c r="G50" i="15" s="1"/>
  <c r="O50" i="15" s="1"/>
  <c r="F66" i="13"/>
  <c r="G66" i="15" s="1"/>
  <c r="O66" i="15" s="1"/>
  <c r="G71" i="12"/>
  <c r="F71" i="15" s="1"/>
  <c r="N71" i="15" s="1"/>
  <c r="G48" i="12"/>
  <c r="F48" i="15" s="1"/>
  <c r="N48" i="15" s="1"/>
  <c r="F36" i="12"/>
  <c r="E36" i="15" s="1"/>
  <c r="M36" i="15" s="1"/>
  <c r="F16" i="12"/>
  <c r="E16" i="15" s="1"/>
  <c r="M16" i="15" s="1"/>
  <c r="F67" i="12"/>
  <c r="E67" i="15" s="1"/>
  <c r="M67" i="15" s="1"/>
  <c r="F61" i="12"/>
  <c r="E61" i="15" s="1"/>
  <c r="M61" i="15" s="1"/>
  <c r="G70" i="12"/>
  <c r="F70" i="15" s="1"/>
  <c r="N70" i="15" s="1"/>
  <c r="F25" i="12"/>
  <c r="E25" i="15" s="1"/>
  <c r="M25" i="15" s="1"/>
  <c r="F77" i="12"/>
  <c r="E77" i="15" s="1"/>
  <c r="M77" i="15" s="1"/>
  <c r="F27" i="12"/>
  <c r="E27" i="15" s="1"/>
  <c r="M27" i="15" s="1"/>
  <c r="F20" i="12"/>
  <c r="E20" i="15" s="1"/>
  <c r="M20" i="15" s="1"/>
  <c r="F13" i="12"/>
  <c r="E13" i="15" s="1"/>
  <c r="M13" i="15" s="1"/>
  <c r="F53" i="12"/>
  <c r="E53" i="15" s="1"/>
  <c r="M53" i="15" s="1"/>
  <c r="F9" i="12"/>
  <c r="E9" i="15" s="1"/>
  <c r="M9" i="15" s="1"/>
  <c r="F60" i="12"/>
  <c r="E60" i="15" s="1"/>
  <c r="M60" i="15" s="1"/>
  <c r="F59" i="12"/>
  <c r="E59" i="15" s="1"/>
  <c r="M59" i="15" s="1"/>
  <c r="F64" i="12"/>
  <c r="E64" i="15" s="1"/>
  <c r="M64" i="15" s="1"/>
  <c r="F50" i="12"/>
  <c r="E50" i="15" s="1"/>
  <c r="M50" i="15" s="1"/>
  <c r="F14" i="12"/>
  <c r="E14" i="15" s="1"/>
  <c r="M14" i="15" s="1"/>
  <c r="F22" i="12"/>
  <c r="E22" i="15" s="1"/>
  <c r="M22" i="15" s="1"/>
  <c r="F63" i="12"/>
  <c r="E63" i="15" s="1"/>
  <c r="M63" i="15" s="1"/>
  <c r="F21" i="12"/>
  <c r="E21" i="15" s="1"/>
  <c r="M21" i="15" s="1"/>
  <c r="F38" i="12"/>
  <c r="E38" i="15" s="1"/>
  <c r="M38" i="15" s="1"/>
  <c r="F46" i="12"/>
  <c r="E46" i="15" s="1"/>
  <c r="M46" i="15" s="1"/>
  <c r="F4" i="12"/>
  <c r="E4" i="15" s="1"/>
  <c r="M4" i="15" s="1"/>
  <c r="F58" i="12"/>
  <c r="E58" i="15" s="1"/>
  <c r="M58" i="15" s="1"/>
  <c r="F23" i="12"/>
  <c r="E23" i="15" s="1"/>
  <c r="M23" i="15" s="1"/>
  <c r="F57" i="12"/>
  <c r="E57" i="15" s="1"/>
  <c r="M57" i="15" s="1"/>
  <c r="F26" i="12"/>
  <c r="E26" i="15" s="1"/>
  <c r="M26" i="15" s="1"/>
  <c r="F37" i="12"/>
  <c r="E37" i="15" s="1"/>
  <c r="M37" i="15" s="1"/>
  <c r="F17" i="12"/>
  <c r="E17" i="15" s="1"/>
  <c r="M17" i="15" s="1"/>
  <c r="F65" i="12"/>
  <c r="E65" i="15" s="1"/>
  <c r="M65" i="15" s="1"/>
  <c r="F66" i="12"/>
  <c r="E66" i="15" s="1"/>
  <c r="M66" i="15" s="1"/>
  <c r="F62" i="12"/>
  <c r="E62" i="15" s="1"/>
  <c r="M62" i="15" s="1"/>
  <c r="F7" i="12"/>
  <c r="E7" i="15" s="1"/>
  <c r="F55" i="12"/>
  <c r="E55" i="15" s="1"/>
  <c r="M55" i="15" s="1"/>
  <c r="G49" i="13"/>
  <c r="H49" i="15" s="1"/>
  <c r="P49" i="15" s="1"/>
  <c r="F39" i="12"/>
  <c r="E39" i="15" s="1"/>
  <c r="M39" i="15" s="1"/>
  <c r="F31" i="12"/>
  <c r="E31" i="15" s="1"/>
  <c r="M31" i="15" s="1"/>
  <c r="F32" i="12"/>
  <c r="E32" i="15" s="1"/>
  <c r="M32" i="15" s="1"/>
  <c r="G61" i="13"/>
  <c r="H61" i="15" s="1"/>
  <c r="P61" i="15" s="1"/>
  <c r="G38" i="13"/>
  <c r="H38" i="15" s="1"/>
  <c r="P38" i="15" s="1"/>
  <c r="F5" i="12"/>
  <c r="E5" i="15" s="1"/>
  <c r="M5" i="15" s="1"/>
  <c r="F52" i="12"/>
  <c r="E52" i="15" s="1"/>
  <c r="M52" i="15" s="1"/>
  <c r="G35" i="12"/>
  <c r="F35" i="15" s="1"/>
  <c r="N35" i="15" s="1"/>
  <c r="F15" i="12"/>
  <c r="E15" i="15" s="1"/>
  <c r="M15" i="15" s="1"/>
  <c r="F72" i="12"/>
  <c r="E72" i="15" s="1"/>
  <c r="M72" i="15" s="1"/>
  <c r="G54" i="13"/>
  <c r="H54" i="15" s="1"/>
  <c r="P54" i="15" s="1"/>
  <c r="G77" i="9"/>
  <c r="D77" i="15" s="1"/>
  <c r="L77" i="15" s="1"/>
  <c r="F8" i="9"/>
  <c r="C8" i="15" s="1"/>
  <c r="G8" i="9"/>
  <c r="D8" i="15" s="1"/>
  <c r="F34" i="9"/>
  <c r="C34" i="15" s="1"/>
  <c r="K34" i="15" s="1"/>
  <c r="G34" i="9"/>
  <c r="D34" i="15" s="1"/>
  <c r="L34" i="15" s="1"/>
  <c r="F39" i="9"/>
  <c r="C39" i="15" s="1"/>
  <c r="K39" i="15" s="1"/>
  <c r="G39" i="9"/>
  <c r="D39" i="15" s="1"/>
  <c r="L39" i="15" s="1"/>
  <c r="F3" i="9"/>
  <c r="C3" i="15" s="1"/>
  <c r="F35" i="9"/>
  <c r="C35" i="15" s="1"/>
  <c r="K35" i="15" s="1"/>
  <c r="G35" i="9"/>
  <c r="D35" i="15" s="1"/>
  <c r="L35" i="15" s="1"/>
  <c r="F57" i="9"/>
  <c r="C57" i="15" s="1"/>
  <c r="K57" i="15" s="1"/>
  <c r="G57" i="9"/>
  <c r="D57" i="15" s="1"/>
  <c r="L57" i="15" s="1"/>
  <c r="F22" i="9"/>
  <c r="C22" i="15" s="1"/>
  <c r="K22" i="15" s="1"/>
  <c r="G22" i="9"/>
  <c r="D22" i="15" s="1"/>
  <c r="L22" i="15" s="1"/>
  <c r="F53" i="9"/>
  <c r="C53" i="15" s="1"/>
  <c r="K53" i="15" s="1"/>
  <c r="G53" i="9"/>
  <c r="D53" i="15" s="1"/>
  <c r="L53" i="15" s="1"/>
  <c r="F11" i="9"/>
  <c r="C11" i="15" s="1"/>
  <c r="K11" i="15" s="1"/>
  <c r="G11" i="9"/>
  <c r="D11" i="15" s="1"/>
  <c r="L11" i="15" s="1"/>
  <c r="F40" i="9"/>
  <c r="C40" i="15" s="1"/>
  <c r="K40" i="15" s="1"/>
  <c r="G40" i="9"/>
  <c r="D40" i="15" s="1"/>
  <c r="L40" i="15" s="1"/>
  <c r="F61" i="9"/>
  <c r="C61" i="15" s="1"/>
  <c r="K61" i="15" s="1"/>
  <c r="G61" i="9"/>
  <c r="D61" i="15" s="1"/>
  <c r="L61" i="15" s="1"/>
  <c r="F14" i="9"/>
  <c r="C14" i="15" s="1"/>
  <c r="K14" i="15" s="1"/>
  <c r="G14" i="9"/>
  <c r="D14" i="15" s="1"/>
  <c r="L14" i="15" s="1"/>
  <c r="F55" i="9"/>
  <c r="C55" i="15" s="1"/>
  <c r="K55" i="15" s="1"/>
  <c r="G55" i="9"/>
  <c r="D55" i="15" s="1"/>
  <c r="L55" i="15" s="1"/>
  <c r="F31" i="9"/>
  <c r="C31" i="15" s="1"/>
  <c r="K31" i="15" s="1"/>
  <c r="G31" i="9"/>
  <c r="D31" i="15" s="1"/>
  <c r="L31" i="15" s="1"/>
  <c r="F9" i="9"/>
  <c r="C9" i="15" s="1"/>
  <c r="K9" i="15" s="1"/>
  <c r="G9" i="9"/>
  <c r="D9" i="15" s="1"/>
  <c r="L9" i="15" s="1"/>
  <c r="G7" i="12"/>
  <c r="F7" i="15" s="1"/>
  <c r="G58" i="12"/>
  <c r="F58" i="15" s="1"/>
  <c r="N58" i="15" s="1"/>
  <c r="G59" i="13"/>
  <c r="H59" i="15" s="1"/>
  <c r="P59" i="15" s="1"/>
  <c r="F33" i="9"/>
  <c r="C33" i="15" s="1"/>
  <c r="K33" i="15" s="1"/>
  <c r="G33" i="9"/>
  <c r="D33" i="15" s="1"/>
  <c r="L33" i="15" s="1"/>
  <c r="G54" i="9"/>
  <c r="D54" i="15" s="1"/>
  <c r="L54" i="15" s="1"/>
  <c r="F54" i="9"/>
  <c r="C54" i="15" s="1"/>
  <c r="K54" i="15" s="1"/>
  <c r="F62" i="9"/>
  <c r="C62" i="15" s="1"/>
  <c r="K62" i="15" s="1"/>
  <c r="G62" i="9"/>
  <c r="D62" i="15" s="1"/>
  <c r="L62" i="15" s="1"/>
  <c r="F7" i="9"/>
  <c r="C7" i="15" s="1"/>
  <c r="G7" i="9"/>
  <c r="D7" i="15" s="1"/>
  <c r="F28" i="9"/>
  <c r="C28" i="15" s="1"/>
  <c r="K28" i="15" s="1"/>
  <c r="G28" i="9"/>
  <c r="D28" i="15" s="1"/>
  <c r="L28" i="15" s="1"/>
  <c r="G4" i="13"/>
  <c r="H4" i="15" s="1"/>
  <c r="P4" i="15" s="1"/>
  <c r="G77" i="13"/>
  <c r="H77" i="15" s="1"/>
  <c r="P77" i="15" s="1"/>
  <c r="G18" i="13"/>
  <c r="H18" i="15" s="1"/>
  <c r="P18" i="15" s="1"/>
  <c r="G62" i="12"/>
  <c r="F62" i="15" s="1"/>
  <c r="N62" i="15" s="1"/>
  <c r="G74" i="13"/>
  <c r="H74" i="15" s="1"/>
  <c r="P74" i="15" s="1"/>
  <c r="G36" i="13"/>
  <c r="H36" i="15" s="1"/>
  <c r="P36" i="15" s="1"/>
  <c r="G23" i="13"/>
  <c r="H23" i="15" s="1"/>
  <c r="P23" i="15" s="1"/>
  <c r="G37" i="12"/>
  <c r="F37" i="15" s="1"/>
  <c r="N37" i="15" s="1"/>
  <c r="F71" i="9"/>
  <c r="C71" i="15" s="1"/>
  <c r="K71" i="15" s="1"/>
  <c r="G71" i="9"/>
  <c r="D71" i="15" s="1"/>
  <c r="L71" i="15" s="1"/>
  <c r="F2" i="9"/>
  <c r="F73" i="9"/>
  <c r="C73" i="15" s="1"/>
  <c r="K73" i="15" s="1"/>
  <c r="G73" i="9"/>
  <c r="D73" i="15" s="1"/>
  <c r="L73" i="15" s="1"/>
  <c r="G3" i="13"/>
  <c r="H3" i="15" s="1"/>
  <c r="P3" i="15" s="1"/>
  <c r="F49" i="9"/>
  <c r="C49" i="15" s="1"/>
  <c r="K49" i="15" s="1"/>
  <c r="G49" i="9"/>
  <c r="D49" i="15" s="1"/>
  <c r="L49" i="15" s="1"/>
  <c r="F10" i="9"/>
  <c r="C10" i="15" s="1"/>
  <c r="K10" i="15" s="1"/>
  <c r="G10" i="9"/>
  <c r="D10" i="15" s="1"/>
  <c r="L10" i="15" s="1"/>
  <c r="F77" i="9"/>
  <c r="C77" i="15" s="1"/>
  <c r="K77" i="15" s="1"/>
  <c r="F24" i="9"/>
  <c r="C24" i="15" s="1"/>
  <c r="K24" i="15" s="1"/>
  <c r="G24" i="9"/>
  <c r="D24" i="15" s="1"/>
  <c r="L24" i="15" s="1"/>
  <c r="F72" i="9"/>
  <c r="C72" i="15" s="1"/>
  <c r="K72" i="15" s="1"/>
  <c r="G72" i="9"/>
  <c r="D72" i="15" s="1"/>
  <c r="L72" i="15" s="1"/>
  <c r="F26" i="9"/>
  <c r="C26" i="15" s="1"/>
  <c r="K26" i="15" s="1"/>
  <c r="G26" i="9"/>
  <c r="D26" i="15" s="1"/>
  <c r="L26" i="15" s="1"/>
  <c r="F41" i="9"/>
  <c r="C41" i="15" s="1"/>
  <c r="K41" i="15" s="1"/>
  <c r="G41" i="9"/>
  <c r="D41" i="15" s="1"/>
  <c r="L41" i="15" s="1"/>
  <c r="G3" i="9"/>
  <c r="G69" i="9"/>
  <c r="D69" i="15" s="1"/>
  <c r="L69" i="15" s="1"/>
  <c r="G70" i="9"/>
  <c r="D70" i="15" s="1"/>
  <c r="L70" i="15" s="1"/>
  <c r="F70" i="9"/>
  <c r="C70" i="15" s="1"/>
  <c r="K70" i="15" s="1"/>
  <c r="F68" i="9"/>
  <c r="C68" i="15" s="1"/>
  <c r="K68" i="15" s="1"/>
  <c r="G68" i="9"/>
  <c r="D68" i="15" s="1"/>
  <c r="L68" i="15" s="1"/>
  <c r="F75" i="9"/>
  <c r="C75" i="15" s="1"/>
  <c r="K75" i="15" s="1"/>
  <c r="G75" i="9"/>
  <c r="D75" i="15" s="1"/>
  <c r="L75" i="15" s="1"/>
  <c r="F20" i="9"/>
  <c r="C20" i="15" s="1"/>
  <c r="K20" i="15" s="1"/>
  <c r="G20" i="9"/>
  <c r="D20" i="15" s="1"/>
  <c r="L20" i="15" s="1"/>
  <c r="F5" i="9"/>
  <c r="C5" i="15" s="1"/>
  <c r="F27" i="9"/>
  <c r="C27" i="15" s="1"/>
  <c r="K27" i="15" s="1"/>
  <c r="G27" i="9"/>
  <c r="D27" i="15" s="1"/>
  <c r="L27" i="15" s="1"/>
  <c r="F76" i="9"/>
  <c r="C76" i="15" s="1"/>
  <c r="K76" i="15" s="1"/>
  <c r="G76" i="9"/>
  <c r="D76" i="15" s="1"/>
  <c r="L76" i="15" s="1"/>
  <c r="F60" i="9"/>
  <c r="C60" i="15" s="1"/>
  <c r="K60" i="15" s="1"/>
  <c r="G60" i="9"/>
  <c r="D60" i="15" s="1"/>
  <c r="L60" i="15" s="1"/>
  <c r="F58" i="9"/>
  <c r="C58" i="15" s="1"/>
  <c r="K58" i="15" s="1"/>
  <c r="G58" i="9"/>
  <c r="D58" i="15" s="1"/>
  <c r="L58" i="15" s="1"/>
  <c r="G10" i="13"/>
  <c r="H10" i="15" s="1"/>
  <c r="P10" i="15" s="1"/>
  <c r="G25" i="12"/>
  <c r="F25" i="15" s="1"/>
  <c r="N25" i="15" s="1"/>
  <c r="G60" i="12"/>
  <c r="F60" i="15" s="1"/>
  <c r="N60" i="15" s="1"/>
  <c r="G19" i="12"/>
  <c r="F19" i="15" s="1"/>
  <c r="N19" i="15" s="1"/>
  <c r="G2" i="9"/>
  <c r="D2" i="15" s="1"/>
  <c r="G43" i="12"/>
  <c r="F43" i="15" s="1"/>
  <c r="N43" i="15" s="1"/>
  <c r="G23" i="12"/>
  <c r="F23" i="15" s="1"/>
  <c r="N23" i="15" s="1"/>
  <c r="G24" i="13"/>
  <c r="H24" i="15" s="1"/>
  <c r="P24" i="15" s="1"/>
  <c r="G40" i="13"/>
  <c r="H40" i="15" s="1"/>
  <c r="P40" i="15" s="1"/>
  <c r="G13" i="12"/>
  <c r="F13" i="15" s="1"/>
  <c r="N13" i="15" s="1"/>
  <c r="G52" i="13"/>
  <c r="H52" i="15" s="1"/>
  <c r="P52" i="15" s="1"/>
  <c r="F59" i="9"/>
  <c r="C59" i="15" s="1"/>
  <c r="K59" i="15" s="1"/>
  <c r="G59" i="9"/>
  <c r="D59" i="15" s="1"/>
  <c r="L59" i="15" s="1"/>
  <c r="F38" i="9"/>
  <c r="C38" i="15" s="1"/>
  <c r="K38" i="15" s="1"/>
  <c r="G38" i="9"/>
  <c r="D38" i="15" s="1"/>
  <c r="L38" i="15" s="1"/>
  <c r="G45" i="9"/>
  <c r="D45" i="15" s="1"/>
  <c r="L45" i="15" s="1"/>
  <c r="F21" i="9"/>
  <c r="C21" i="15" s="1"/>
  <c r="K21" i="15" s="1"/>
  <c r="G21" i="9"/>
  <c r="D21" i="15" s="1"/>
  <c r="L21" i="15" s="1"/>
  <c r="F29" i="9"/>
  <c r="C29" i="15" s="1"/>
  <c r="K29" i="15" s="1"/>
  <c r="G29" i="9"/>
  <c r="D29" i="15" s="1"/>
  <c r="L29" i="15" s="1"/>
  <c r="F19" i="9"/>
  <c r="C19" i="15" s="1"/>
  <c r="K19" i="15" s="1"/>
  <c r="G19" i="9"/>
  <c r="D19" i="15" s="1"/>
  <c r="L19" i="15" s="1"/>
  <c r="D4" i="15"/>
  <c r="F4" i="9"/>
  <c r="C4" i="15" s="1"/>
  <c r="G37" i="9"/>
  <c r="D37" i="15" s="1"/>
  <c r="L37" i="15" s="1"/>
  <c r="F37" i="9"/>
  <c r="C37" i="15" s="1"/>
  <c r="K37" i="15" s="1"/>
  <c r="F17" i="9"/>
  <c r="C17" i="15" s="1"/>
  <c r="K17" i="15" s="1"/>
  <c r="G17" i="9"/>
  <c r="D17" i="15" s="1"/>
  <c r="L17" i="15" s="1"/>
  <c r="F45" i="9"/>
  <c r="C45" i="15" s="1"/>
  <c r="K45" i="15" s="1"/>
  <c r="F47" i="9"/>
  <c r="C47" i="15" s="1"/>
  <c r="K47" i="15" s="1"/>
  <c r="G47" i="9"/>
  <c r="D47" i="15" s="1"/>
  <c r="L47" i="15" s="1"/>
  <c r="G46" i="9"/>
  <c r="D46" i="15" s="1"/>
  <c r="L46" i="15" s="1"/>
  <c r="F46" i="9"/>
  <c r="C46" i="15" s="1"/>
  <c r="K46" i="15" s="1"/>
  <c r="G32" i="9"/>
  <c r="D32" i="15" s="1"/>
  <c r="L32" i="15" s="1"/>
  <c r="F48" i="9"/>
  <c r="C48" i="15" s="1"/>
  <c r="K48" i="15" s="1"/>
  <c r="G48" i="9"/>
  <c r="D48" i="15" s="1"/>
  <c r="L48" i="15" s="1"/>
  <c r="F42" i="9"/>
  <c r="C42" i="15" s="1"/>
  <c r="K42" i="15" s="1"/>
  <c r="G42" i="9"/>
  <c r="D42" i="15" s="1"/>
  <c r="L42" i="15" s="1"/>
  <c r="F74" i="9"/>
  <c r="C74" i="15" s="1"/>
  <c r="K74" i="15" s="1"/>
  <c r="G74" i="9"/>
  <c r="D74" i="15" s="1"/>
  <c r="L74" i="15" s="1"/>
  <c r="F36" i="9"/>
  <c r="C36" i="15" s="1"/>
  <c r="K36" i="15" s="1"/>
  <c r="G36" i="9"/>
  <c r="D36" i="15" s="1"/>
  <c r="L36" i="15" s="1"/>
  <c r="G59" i="12"/>
  <c r="F59" i="15" s="1"/>
  <c r="N59" i="15" s="1"/>
  <c r="G34" i="13"/>
  <c r="H34" i="15" s="1"/>
  <c r="P34" i="15" s="1"/>
  <c r="G49" i="12"/>
  <c r="F49" i="15" s="1"/>
  <c r="N49" i="15" s="1"/>
  <c r="G73" i="13"/>
  <c r="H73" i="15" s="1"/>
  <c r="P73" i="15" s="1"/>
  <c r="G66" i="13"/>
  <c r="H66" i="15" s="1"/>
  <c r="P66" i="15" s="1"/>
  <c r="G59" i="15"/>
  <c r="O59" i="15" s="1"/>
  <c r="J34" i="15"/>
  <c r="R34" i="15" s="1"/>
  <c r="C29" i="8"/>
  <c r="E35" i="15"/>
  <c r="M35" i="15" s="1"/>
  <c r="F7" i="14"/>
  <c r="J7" i="15" s="1"/>
  <c r="F29" i="8"/>
  <c r="O29" i="13" s="1"/>
  <c r="F8" i="14"/>
  <c r="J8" i="15" s="1"/>
  <c r="F6" i="14"/>
  <c r="J6" i="15" s="1"/>
  <c r="R6" i="15" s="1"/>
  <c r="J61" i="15"/>
  <c r="R61" i="15" s="1"/>
  <c r="I11" i="15"/>
  <c r="Q11" i="15" s="1"/>
  <c r="J44" i="15"/>
  <c r="R44" i="15" s="1"/>
  <c r="J31" i="15"/>
  <c r="R31" i="15" s="1"/>
  <c r="J29" i="15"/>
  <c r="R29" i="15" s="1"/>
  <c r="I54" i="15"/>
  <c r="Q54" i="15" s="1"/>
  <c r="E7" i="14"/>
  <c r="I7" i="15" s="1"/>
  <c r="E6" i="14"/>
  <c r="I6" i="15" s="1"/>
  <c r="Q6" i="15" s="1"/>
  <c r="I77" i="15"/>
  <c r="Q77" i="15" s="1"/>
  <c r="E41" i="15"/>
  <c r="M41" i="15" s="1"/>
  <c r="E8" i="14"/>
  <c r="I8" i="15" s="1"/>
  <c r="F36" i="14"/>
  <c r="E36" i="14"/>
  <c r="F49" i="14"/>
  <c r="E49" i="14"/>
  <c r="E57" i="14"/>
  <c r="F57" i="14"/>
  <c r="E71" i="15"/>
  <c r="M71" i="15" s="1"/>
  <c r="I13" i="15"/>
  <c r="Q13" i="15" s="1"/>
  <c r="I15" i="15"/>
  <c r="Q15" i="15" s="1"/>
  <c r="I30" i="15"/>
  <c r="Q30" i="15" s="1"/>
  <c r="J17" i="15"/>
  <c r="R17" i="15" s="1"/>
  <c r="E48" i="15"/>
  <c r="M48" i="15" s="1"/>
  <c r="E49" i="15"/>
  <c r="M49" i="15" s="1"/>
  <c r="E45" i="14"/>
  <c r="F45" i="14"/>
  <c r="J13" i="15"/>
  <c r="R13" i="15" s="1"/>
  <c r="J65" i="15"/>
  <c r="R65" i="15" s="1"/>
  <c r="I62" i="15"/>
  <c r="Q62" i="15" s="1"/>
  <c r="I28" i="15"/>
  <c r="Q28" i="15" s="1"/>
  <c r="I44" i="15"/>
  <c r="Q44" i="15" s="1"/>
  <c r="J77" i="15"/>
  <c r="R77" i="15" s="1"/>
  <c r="E29" i="8"/>
  <c r="P29" i="12" s="1"/>
  <c r="F29" i="12" s="1"/>
  <c r="J14" i="15"/>
  <c r="R14" i="15" s="1"/>
  <c r="I67" i="15"/>
  <c r="Q67" i="15" s="1"/>
  <c r="J35" i="15"/>
  <c r="R35" i="15" s="1"/>
  <c r="I42" i="15"/>
  <c r="Q42" i="15" s="1"/>
  <c r="I34" i="15"/>
  <c r="Q34" i="15" s="1"/>
  <c r="I61" i="15"/>
  <c r="Q61" i="15" s="1"/>
  <c r="I26" i="15"/>
  <c r="Q26" i="15" s="1"/>
  <c r="J53" i="15"/>
  <c r="R53" i="15" s="1"/>
  <c r="I71" i="15"/>
  <c r="Q71" i="15" s="1"/>
  <c r="F13" i="8"/>
  <c r="O13" i="13" s="1"/>
  <c r="F13" i="13" s="1"/>
  <c r="C13" i="8"/>
  <c r="I51" i="15"/>
  <c r="Q51" i="15" s="1"/>
  <c r="H45" i="14"/>
  <c r="G45" i="14"/>
  <c r="M45" i="14"/>
  <c r="O45" i="14" s="1"/>
  <c r="J45" i="14"/>
  <c r="I45" i="14"/>
  <c r="G37" i="15"/>
  <c r="O37" i="15" s="1"/>
  <c r="I14" i="15"/>
  <c r="Q14" i="15" s="1"/>
  <c r="I35" i="15"/>
  <c r="Q35" i="15" s="1"/>
  <c r="J12" i="15"/>
  <c r="R12" i="15" s="1"/>
  <c r="J28" i="15"/>
  <c r="R28" i="15" s="1"/>
  <c r="I24" i="15"/>
  <c r="Q24" i="15" s="1"/>
  <c r="D13" i="8"/>
  <c r="O13" i="9" s="1"/>
  <c r="J57" i="14"/>
  <c r="H57" i="14"/>
  <c r="M57" i="14"/>
  <c r="O57" i="14" s="1"/>
  <c r="I57" i="14"/>
  <c r="G57" i="14"/>
  <c r="I41" i="15"/>
  <c r="Q41" i="15" s="1"/>
  <c r="I75" i="15"/>
  <c r="Q75" i="15" s="1"/>
  <c r="H36" i="14"/>
  <c r="I36" i="14"/>
  <c r="G36" i="14"/>
  <c r="M36" i="14"/>
  <c r="O36" i="14" s="1"/>
  <c r="J36" i="14"/>
  <c r="G49" i="14"/>
  <c r="I49" i="14"/>
  <c r="M49" i="14"/>
  <c r="O49" i="14" s="1"/>
  <c r="H49" i="14"/>
  <c r="J49" i="14"/>
  <c r="E24" i="15"/>
  <c r="M24" i="15" s="1"/>
  <c r="I63" i="15"/>
  <c r="Q63" i="15" s="1"/>
  <c r="J20" i="15"/>
  <c r="R20" i="15" s="1"/>
  <c r="I47" i="15"/>
  <c r="Q47" i="15" s="1"/>
  <c r="J39" i="15"/>
  <c r="R39" i="15" s="1"/>
  <c r="C69" i="15"/>
  <c r="K69" i="15" s="1"/>
  <c r="J23" i="15"/>
  <c r="R23" i="15" s="1"/>
  <c r="I25" i="15"/>
  <c r="Q25" i="15" s="1"/>
  <c r="I56" i="15"/>
  <c r="Q56" i="15" s="1"/>
  <c r="J48" i="15"/>
  <c r="R48" i="15" s="1"/>
  <c r="I43" i="15"/>
  <c r="Q43" i="15" s="1"/>
  <c r="I10" i="15"/>
  <c r="Q10" i="15" s="1"/>
  <c r="I55" i="15"/>
  <c r="Q55" i="15" s="1"/>
  <c r="I60" i="15"/>
  <c r="Q60" i="15" s="1"/>
  <c r="I40" i="15"/>
  <c r="Q40" i="15" s="1"/>
  <c r="C32" i="15"/>
  <c r="K32" i="15" s="1"/>
  <c r="J69" i="15"/>
  <c r="R69" i="15" s="1"/>
  <c r="I20" i="15"/>
  <c r="Q20" i="15" s="1"/>
  <c r="J26" i="15"/>
  <c r="R26" i="15" s="1"/>
  <c r="J58" i="15"/>
  <c r="R58" i="15" s="1"/>
  <c r="I16" i="15"/>
  <c r="Q16" i="15" s="1"/>
  <c r="J51" i="15"/>
  <c r="R51" i="15" s="1"/>
  <c r="J47" i="15"/>
  <c r="R47" i="15" s="1"/>
  <c r="J66" i="15"/>
  <c r="R66" i="15" s="1"/>
  <c r="J27" i="15"/>
  <c r="R27" i="15" s="1"/>
  <c r="J59" i="15"/>
  <c r="R59" i="15" s="1"/>
  <c r="J62" i="15"/>
  <c r="R62" i="15" s="1"/>
  <c r="I37" i="15"/>
  <c r="Q37" i="15" s="1"/>
  <c r="J9" i="15"/>
  <c r="R9" i="15" s="1"/>
  <c r="J33" i="15"/>
  <c r="R33" i="15" s="1"/>
  <c r="I59" i="15"/>
  <c r="Q59" i="15" s="1"/>
  <c r="J76" i="15"/>
  <c r="R76" i="15" s="1"/>
  <c r="I72" i="15"/>
  <c r="Q72" i="15" s="1"/>
  <c r="J54" i="15"/>
  <c r="R54" i="15" s="1"/>
  <c r="I58" i="15"/>
  <c r="Q58" i="15" s="1"/>
  <c r="I12" i="15"/>
  <c r="Q12" i="15" s="1"/>
  <c r="J38" i="15"/>
  <c r="R38" i="15" s="1"/>
  <c r="J70" i="15"/>
  <c r="R70" i="15" s="1"/>
  <c r="I18" i="15"/>
  <c r="Q18" i="15" s="1"/>
  <c r="J52" i="15"/>
  <c r="R52" i="15" s="1"/>
  <c r="I48" i="15"/>
  <c r="Q48" i="15" s="1"/>
  <c r="I21" i="15"/>
  <c r="Q21" i="15" s="1"/>
  <c r="I50" i="15"/>
  <c r="Q50" i="15" s="1"/>
  <c r="J40" i="15"/>
  <c r="R40" i="15" s="1"/>
  <c r="J55" i="15"/>
  <c r="R55" i="15" s="1"/>
  <c r="J22" i="15"/>
  <c r="R22" i="15" s="1"/>
  <c r="J74" i="15"/>
  <c r="R74" i="15" s="1"/>
  <c r="J24" i="15"/>
  <c r="R24" i="15" s="1"/>
  <c r="J73" i="15"/>
  <c r="R73" i="15" s="1"/>
  <c r="J42" i="15"/>
  <c r="R42" i="15" s="1"/>
  <c r="J75" i="15"/>
  <c r="R75" i="15" s="1"/>
  <c r="J30" i="15"/>
  <c r="R30" i="15" s="1"/>
  <c r="I65" i="15"/>
  <c r="Q65" i="15" s="1"/>
  <c r="J46" i="15"/>
  <c r="R46" i="15" s="1"/>
  <c r="J68" i="15"/>
  <c r="R68" i="15" s="1"/>
  <c r="J72" i="15"/>
  <c r="R72" i="15" s="1"/>
  <c r="I66" i="15"/>
  <c r="Q66" i="15" s="1"/>
  <c r="I9" i="15"/>
  <c r="Q9" i="15" s="1"/>
  <c r="I19" i="15"/>
  <c r="Q19" i="15" s="1"/>
  <c r="J37" i="15"/>
  <c r="R37" i="15" s="1"/>
  <c r="J63" i="15"/>
  <c r="R63" i="15" s="1"/>
  <c r="I39" i="15"/>
  <c r="Q39" i="15" s="1"/>
  <c r="J43" i="15"/>
  <c r="R43" i="15" s="1"/>
  <c r="J32" i="15"/>
  <c r="R32" i="15" s="1"/>
  <c r="J60" i="15"/>
  <c r="R60" i="15" s="1"/>
  <c r="J25" i="15"/>
  <c r="R25" i="15" s="1"/>
  <c r="J10" i="15"/>
  <c r="R10" i="15" s="1"/>
  <c r="G11" i="15"/>
  <c r="O11" i="15" s="1"/>
  <c r="G61" i="15"/>
  <c r="O61" i="15" s="1"/>
  <c r="G40" i="15"/>
  <c r="O40" i="15" s="1"/>
  <c r="J15" i="15"/>
  <c r="R15" i="15" s="1"/>
  <c r="J67" i="15"/>
  <c r="R67" i="15" s="1"/>
  <c r="I38" i="15"/>
  <c r="Q38" i="15" s="1"/>
  <c r="I23" i="15"/>
  <c r="Q23" i="15" s="1"/>
  <c r="I27" i="15"/>
  <c r="Q27" i="15" s="1"/>
  <c r="E47" i="15"/>
  <c r="M47" i="15" s="1"/>
  <c r="I31" i="15"/>
  <c r="Q31" i="15" s="1"/>
  <c r="J16" i="15"/>
  <c r="R16" i="15" s="1"/>
  <c r="G60" i="15"/>
  <c r="O60" i="15" s="1"/>
  <c r="J41" i="15"/>
  <c r="R41" i="15" s="1"/>
  <c r="I76" i="15"/>
  <c r="Q76" i="15" s="1"/>
  <c r="I73" i="15"/>
  <c r="Q73" i="15" s="1"/>
  <c r="I33" i="15"/>
  <c r="Q33" i="15" s="1"/>
  <c r="J21" i="15"/>
  <c r="R21" i="15" s="1"/>
  <c r="I32" i="15"/>
  <c r="Q32" i="15" s="1"/>
  <c r="J11" i="15"/>
  <c r="R11" i="15" s="1"/>
  <c r="C6" i="8"/>
  <c r="D6" i="8"/>
  <c r="O6" i="9" s="1"/>
  <c r="F6" i="8"/>
  <c r="O6" i="13" s="1"/>
  <c r="F6" i="13" s="1"/>
  <c r="E6" i="8"/>
  <c r="P6" i="12" s="1"/>
  <c r="G6" i="12" s="1"/>
  <c r="I46" i="15"/>
  <c r="Q46" i="15" s="1"/>
  <c r="I53" i="15"/>
  <c r="Q53" i="15" s="1"/>
  <c r="J64" i="15"/>
  <c r="R64" i="15" s="1"/>
  <c r="J50" i="15"/>
  <c r="R50" i="15" s="1"/>
  <c r="J19" i="15"/>
  <c r="R19" i="15" s="1"/>
  <c r="I69" i="15"/>
  <c r="Q69" i="15" s="1"/>
  <c r="I68" i="15"/>
  <c r="Q68" i="15" s="1"/>
  <c r="I70" i="15"/>
  <c r="Q70" i="15" s="1"/>
  <c r="J56" i="15"/>
  <c r="R56" i="15" s="1"/>
  <c r="J18" i="15"/>
  <c r="R18" i="15" s="1"/>
  <c r="I52" i="15"/>
  <c r="Q52" i="15" s="1"/>
  <c r="J71" i="15"/>
  <c r="R71" i="15" s="1"/>
  <c r="I64" i="15"/>
  <c r="Q64" i="15" s="1"/>
  <c r="I22" i="15"/>
  <c r="Q22" i="15" s="1"/>
  <c r="I74" i="15"/>
  <c r="Q74" i="15" s="1"/>
  <c r="H258" i="21" l="1"/>
  <c r="H66" i="21"/>
  <c r="H42" i="21"/>
  <c r="H218" i="21"/>
  <c r="H12" i="21"/>
  <c r="H262" i="21"/>
  <c r="H198" i="21"/>
  <c r="H194" i="21"/>
  <c r="H202" i="21"/>
  <c r="D6" i="21" a="1"/>
  <c r="D6" i="21" s="1"/>
  <c r="E10" i="21" a="1"/>
  <c r="E10" i="21" s="1"/>
  <c r="E29" i="21" a="1"/>
  <c r="E29" i="21" s="1"/>
  <c r="E25" i="21" a="1"/>
  <c r="E25" i="21" s="1"/>
  <c r="E2" i="21" a="1"/>
  <c r="E2" i="21" s="1"/>
  <c r="D10" i="21" a="1"/>
  <c r="D10" i="21" s="1"/>
  <c r="H10" i="21" s="1"/>
  <c r="D29" i="21" a="1"/>
  <c r="D29" i="21" s="1"/>
  <c r="D25" i="21" a="1"/>
  <c r="D25" i="21" s="1"/>
  <c r="D14" i="21" a="1"/>
  <c r="D14" i="21" s="1"/>
  <c r="H14" i="21" s="1"/>
  <c r="D3" i="15"/>
  <c r="C2" i="15"/>
  <c r="D129" i="21" a="1"/>
  <c r="D129" i="21" s="1"/>
  <c r="D245" i="21" a="1"/>
  <c r="D245" i="21" s="1"/>
  <c r="D192" i="21" a="1"/>
  <c r="D192" i="21" s="1"/>
  <c r="G197" i="21" a="1"/>
  <c r="G197" i="21" s="1"/>
  <c r="E197" i="21" a="1"/>
  <c r="E197" i="21" s="1"/>
  <c r="D289" i="21" a="1"/>
  <c r="D289" i="21" s="1"/>
  <c r="G57" i="21" a="1"/>
  <c r="G57" i="21" s="1"/>
  <c r="E57" i="21" a="1"/>
  <c r="E57" i="21" s="1"/>
  <c r="G249" i="21" a="1"/>
  <c r="G249" i="21" s="1"/>
  <c r="E249" i="21" a="1"/>
  <c r="E249" i="21" s="1"/>
  <c r="G289" i="21" a="1"/>
  <c r="G289" i="21" s="1"/>
  <c r="E289" i="21" a="1"/>
  <c r="E289" i="21" s="1"/>
  <c r="G149" i="21" a="1"/>
  <c r="G149" i="21" s="1"/>
  <c r="E149" i="21" a="1"/>
  <c r="E149" i="21" s="1"/>
  <c r="G105" i="21" a="1"/>
  <c r="G105" i="21" s="1"/>
  <c r="E105" i="21" a="1"/>
  <c r="E105" i="21" s="1"/>
  <c r="D217" i="21" a="1"/>
  <c r="D217" i="21" s="1"/>
  <c r="D249" i="21" a="1"/>
  <c r="D249" i="21" s="1"/>
  <c r="D297" i="21" a="1"/>
  <c r="D297" i="21" s="1"/>
  <c r="D53" i="21" a="1"/>
  <c r="D53" i="21" s="1"/>
  <c r="D101" i="21" a="1"/>
  <c r="D101" i="21" s="1"/>
  <c r="G257" i="21" a="1"/>
  <c r="G257" i="21" s="1"/>
  <c r="E257" i="21" a="1"/>
  <c r="E257" i="21" s="1"/>
  <c r="G113" i="21" a="1"/>
  <c r="G113" i="21" s="1"/>
  <c r="E113" i="21" a="1"/>
  <c r="E113" i="21" s="1"/>
  <c r="H113" i="21" s="1"/>
  <c r="G132" i="21" a="1"/>
  <c r="G132" i="21" s="1"/>
  <c r="E132" i="21" a="1"/>
  <c r="E132" i="21" s="1"/>
  <c r="G92" i="21" a="1"/>
  <c r="G92" i="21" s="1"/>
  <c r="E92" i="21" a="1"/>
  <c r="E92" i="21" s="1"/>
  <c r="G140" i="21" a="1"/>
  <c r="G140" i="21" s="1"/>
  <c r="E140" i="21" a="1"/>
  <c r="E140" i="21" s="1"/>
  <c r="H140" i="21" s="1"/>
  <c r="G192" i="21" a="1"/>
  <c r="G192" i="21" s="1"/>
  <c r="E192" i="21" a="1"/>
  <c r="E192" i="21" s="1"/>
  <c r="D252" i="21" a="1"/>
  <c r="D252" i="21" s="1"/>
  <c r="D172" i="21" a="1"/>
  <c r="D172" i="21" s="1"/>
  <c r="D304" i="21" a="1"/>
  <c r="D304" i="21" s="1"/>
  <c r="D208" i="21" a="1"/>
  <c r="D208" i="21" s="1"/>
  <c r="H208" i="21" s="1"/>
  <c r="G228" i="21" a="1"/>
  <c r="G228" i="21" s="1"/>
  <c r="E228" i="21" a="1"/>
  <c r="E228" i="21" s="1"/>
  <c r="G300" i="21" a="1"/>
  <c r="G300" i="21" s="1"/>
  <c r="E300" i="21" a="1"/>
  <c r="E300" i="21" s="1"/>
  <c r="G284" i="21" a="1"/>
  <c r="G284" i="21" s="1"/>
  <c r="E284" i="21" a="1"/>
  <c r="E284" i="21" s="1"/>
  <c r="G13" i="21" a="1"/>
  <c r="G13" i="21" s="1"/>
  <c r="E13" i="21" a="1"/>
  <c r="E13" i="21" s="1"/>
  <c r="D228" i="21" a="1"/>
  <c r="D228" i="21" s="1"/>
  <c r="D180" i="21" a="1"/>
  <c r="D180" i="21" s="1"/>
  <c r="G124" i="21" a="1"/>
  <c r="G124" i="21" s="1"/>
  <c r="E124" i="21" a="1"/>
  <c r="E124" i="21" s="1"/>
  <c r="E28" i="21" a="1"/>
  <c r="E28" i="21" s="1"/>
  <c r="D128" i="21" a="1"/>
  <c r="D128" i="21" s="1"/>
  <c r="F244" i="21" a="1"/>
  <c r="F244" i="21" s="1"/>
  <c r="G73" i="21" a="1"/>
  <c r="G73" i="21" s="1"/>
  <c r="E73" i="21" a="1"/>
  <c r="E73" i="21" s="1"/>
  <c r="G64" i="21" a="1"/>
  <c r="G64" i="21" s="1"/>
  <c r="E64" i="21" a="1"/>
  <c r="E64" i="21" s="1"/>
  <c r="D293" i="21" a="1"/>
  <c r="D293" i="21" s="1"/>
  <c r="G292" i="21" a="1"/>
  <c r="G292" i="21" s="1"/>
  <c r="E292" i="21" a="1"/>
  <c r="E292" i="21" s="1"/>
  <c r="G212" i="21" a="1"/>
  <c r="G212" i="21" s="1"/>
  <c r="E212" i="21" a="1"/>
  <c r="E212" i="21" s="1"/>
  <c r="D260" i="21" a="1"/>
  <c r="D260" i="21" s="1"/>
  <c r="G100" i="21" a="1"/>
  <c r="G100" i="21" s="1"/>
  <c r="E100" i="21" a="1"/>
  <c r="E100" i="21" s="1"/>
  <c r="H100" i="21" s="1"/>
  <c r="D96" i="21" a="1"/>
  <c r="D96" i="21" s="1"/>
  <c r="D52" i="21" a="1"/>
  <c r="D52" i="21" s="1"/>
  <c r="D256" i="21" a="1"/>
  <c r="D256" i="21" s="1"/>
  <c r="G244" i="21" a="1"/>
  <c r="G244" i="21" s="1"/>
  <c r="E244" i="21" a="1"/>
  <c r="E244" i="21" s="1"/>
  <c r="H244" i="21" s="1"/>
  <c r="G160" i="21" a="1"/>
  <c r="G160" i="21" s="1"/>
  <c r="E160" i="21" a="1"/>
  <c r="E160" i="21" s="1"/>
  <c r="G96" i="21" a="1"/>
  <c r="G96" i="21" s="1"/>
  <c r="E96" i="21" a="1"/>
  <c r="E96" i="21" s="1"/>
  <c r="D124" i="21" a="1"/>
  <c r="D124" i="21" s="1"/>
  <c r="G128" i="21" a="1"/>
  <c r="G128" i="21" s="1"/>
  <c r="E128" i="21" a="1"/>
  <c r="E128" i="21" s="1"/>
  <c r="G209" i="21" a="1"/>
  <c r="G209" i="21" s="1"/>
  <c r="E209" i="21" a="1"/>
  <c r="E209" i="21" s="1"/>
  <c r="G156" i="21" a="1"/>
  <c r="G156" i="21" s="1"/>
  <c r="E156" i="21" a="1"/>
  <c r="E156" i="21" s="1"/>
  <c r="E24" i="21" a="1"/>
  <c r="E24" i="21" s="1"/>
  <c r="G253" i="21" a="1"/>
  <c r="G253" i="21" s="1"/>
  <c r="E253" i="21" a="1"/>
  <c r="E253" i="21" s="1"/>
  <c r="G161" i="21" a="1"/>
  <c r="G161" i="21" s="1"/>
  <c r="E161" i="21" a="1"/>
  <c r="E161" i="21" s="1"/>
  <c r="D196" i="21" a="1"/>
  <c r="D196" i="21" s="1"/>
  <c r="D44" i="21" a="1"/>
  <c r="D44" i="21" s="1"/>
  <c r="G16" i="21" a="1"/>
  <c r="G16" i="21" s="1"/>
  <c r="E16" i="21" a="1"/>
  <c r="E16" i="21" s="1"/>
  <c r="D92" i="21" a="1"/>
  <c r="D92" i="21" s="1"/>
  <c r="H92" i="21" s="1"/>
  <c r="D132" i="21" a="1"/>
  <c r="D132" i="21" s="1"/>
  <c r="H132" i="21" s="1"/>
  <c r="G52" i="21" a="1"/>
  <c r="G52" i="21" s="1"/>
  <c r="E52" i="21" a="1"/>
  <c r="E52" i="21" s="1"/>
  <c r="G276" i="21" a="1"/>
  <c r="G276" i="21" s="1"/>
  <c r="E276" i="21" a="1"/>
  <c r="E276" i="21" s="1"/>
  <c r="G116" i="21" a="1"/>
  <c r="G116" i="21" s="1"/>
  <c r="E116" i="21" a="1"/>
  <c r="E116" i="21" s="1"/>
  <c r="G72" i="21" a="1"/>
  <c r="G72" i="21" s="1"/>
  <c r="E72" i="21" a="1"/>
  <c r="E72" i="21" s="1"/>
  <c r="D176" i="21" a="1"/>
  <c r="D176" i="21" s="1"/>
  <c r="D104" i="21" a="1"/>
  <c r="D104" i="21" s="1"/>
  <c r="F65" i="21" a="1"/>
  <c r="F65" i="21" s="1"/>
  <c r="G265" i="21" a="1"/>
  <c r="G265" i="21" s="1"/>
  <c r="E265" i="21" a="1"/>
  <c r="E265" i="21" s="1"/>
  <c r="D137" i="21" a="1"/>
  <c r="D137" i="21" s="1"/>
  <c r="G93" i="21" a="1"/>
  <c r="G93" i="21" s="1"/>
  <c r="E93" i="21" a="1"/>
  <c r="E93" i="21" s="1"/>
  <c r="D37" i="21" a="1"/>
  <c r="D37" i="21" s="1"/>
  <c r="G49" i="21" a="1"/>
  <c r="G49" i="21" s="1"/>
  <c r="E49" i="21" a="1"/>
  <c r="E49" i="21" s="1"/>
  <c r="D209" i="21" a="1"/>
  <c r="D209" i="21" s="1"/>
  <c r="D169" i="21" a="1"/>
  <c r="D169" i="21" s="1"/>
  <c r="D33" i="21" a="1"/>
  <c r="D33" i="21" s="1"/>
  <c r="D68" i="21" a="1"/>
  <c r="D68" i="21" s="1"/>
  <c r="H68" i="21" s="1"/>
  <c r="G188" i="21" a="1"/>
  <c r="G188" i="21" s="1"/>
  <c r="E188" i="21" a="1"/>
  <c r="E188" i="21" s="1"/>
  <c r="D9" i="21" a="1"/>
  <c r="D9" i="21" s="1"/>
  <c r="D261" i="21" a="1"/>
  <c r="D261" i="21" s="1"/>
  <c r="G217" i="21" a="1"/>
  <c r="G217" i="21" s="1"/>
  <c r="E217" i="21" a="1"/>
  <c r="E217" i="21" s="1"/>
  <c r="D285" i="21" a="1"/>
  <c r="D285" i="21" s="1"/>
  <c r="H285" i="21" s="1"/>
  <c r="D61" i="21" a="1"/>
  <c r="D61" i="21" s="1"/>
  <c r="D221" i="21" a="1"/>
  <c r="D221" i="21" s="1"/>
  <c r="G137" i="21" a="1"/>
  <c r="G137" i="21" s="1"/>
  <c r="E137" i="21" a="1"/>
  <c r="E137" i="21" s="1"/>
  <c r="G241" i="21" a="1"/>
  <c r="G241" i="21" s="1"/>
  <c r="E241" i="21" a="1"/>
  <c r="E241" i="21" s="1"/>
  <c r="G8" i="21" a="1"/>
  <c r="G8" i="21" s="1"/>
  <c r="E8" i="21" a="1"/>
  <c r="E8" i="21" s="1"/>
  <c r="G304" i="21" a="1"/>
  <c r="G304" i="21" s="1"/>
  <c r="E304" i="21" a="1"/>
  <c r="E304" i="21" s="1"/>
  <c r="G232" i="21" a="1"/>
  <c r="G232" i="21" s="1"/>
  <c r="E232" i="21" a="1"/>
  <c r="E232" i="21" s="1"/>
  <c r="D108" i="21" a="1"/>
  <c r="D108" i="21" s="1"/>
  <c r="G268" i="21" a="1"/>
  <c r="G268" i="21" s="1"/>
  <c r="E268" i="21" a="1"/>
  <c r="E268" i="21" s="1"/>
  <c r="D64" i="21" a="1"/>
  <c r="D64" i="21" s="1"/>
  <c r="D17" i="21" a="1"/>
  <c r="D17" i="21" s="1"/>
  <c r="H17" i="21" s="1"/>
  <c r="G172" i="21" a="1"/>
  <c r="G172" i="21" s="1"/>
  <c r="E172" i="21" a="1"/>
  <c r="E172" i="21" s="1"/>
  <c r="F113" i="21" a="1"/>
  <c r="F113" i="21" s="1"/>
  <c r="D153" i="21" a="1"/>
  <c r="D153" i="21" s="1"/>
  <c r="D213" i="21" a="1"/>
  <c r="D213" i="21" s="1"/>
  <c r="G164" i="21" a="1"/>
  <c r="G164" i="21" s="1"/>
  <c r="E164" i="21" a="1"/>
  <c r="E164" i="21" s="1"/>
  <c r="G200" i="21" a="1"/>
  <c r="G200" i="21" s="1"/>
  <c r="E200" i="21" a="1"/>
  <c r="E200" i="21" s="1"/>
  <c r="G32" i="21" a="1"/>
  <c r="G32" i="21" s="1"/>
  <c r="E32" i="21" a="1"/>
  <c r="E32" i="21" s="1"/>
  <c r="D268" i="21" a="1"/>
  <c r="D268" i="21" s="1"/>
  <c r="H268" i="21" s="1"/>
  <c r="D144" i="21" a="1"/>
  <c r="D144" i="21" s="1"/>
  <c r="D73" i="21" a="1"/>
  <c r="D73" i="21" s="1"/>
  <c r="D133" i="21" a="1"/>
  <c r="D133" i="21" s="1"/>
  <c r="D253" i="21" a="1"/>
  <c r="D253" i="21" s="1"/>
  <c r="E201" i="21" a="1"/>
  <c r="E201" i="21" s="1"/>
  <c r="G201" i="21" a="1"/>
  <c r="G201" i="21" s="1"/>
  <c r="D56" i="21" a="1"/>
  <c r="D56" i="21" s="1"/>
  <c r="G56" i="21" a="1"/>
  <c r="G56" i="21" s="1"/>
  <c r="E56" i="21" a="1"/>
  <c r="E56" i="21" s="1"/>
  <c r="G17" i="21" a="1"/>
  <c r="G17" i="21" s="1"/>
  <c r="E17" i="21" a="1"/>
  <c r="E17" i="21" s="1"/>
  <c r="G176" i="21" a="1"/>
  <c r="G176" i="21" s="1"/>
  <c r="E176" i="21" a="1"/>
  <c r="E176" i="21" s="1"/>
  <c r="G281" i="21" a="1"/>
  <c r="G281" i="21" s="1"/>
  <c r="E281" i="21" a="1"/>
  <c r="E281" i="21" s="1"/>
  <c r="D28" i="21" a="1"/>
  <c r="D28" i="21" s="1"/>
  <c r="G285" i="21" a="1"/>
  <c r="G285" i="21" s="1"/>
  <c r="E285" i="21" a="1"/>
  <c r="E285" i="21" s="1"/>
  <c r="G301" i="21" a="1"/>
  <c r="G301" i="21" s="1"/>
  <c r="E301" i="21" a="1"/>
  <c r="E301" i="21" s="1"/>
  <c r="D97" i="21" a="1"/>
  <c r="D97" i="21" s="1"/>
  <c r="G21" i="21" a="1"/>
  <c r="G21" i="21" s="1"/>
  <c r="E21" i="21" a="1"/>
  <c r="E21" i="21" s="1"/>
  <c r="D232" i="21" a="1"/>
  <c r="D232" i="21" s="1"/>
  <c r="G12" i="21" a="1"/>
  <c r="G12" i="21" s="1"/>
  <c r="E12" i="21" a="1"/>
  <c r="E12" i="21" s="1"/>
  <c r="D168" i="21" a="1"/>
  <c r="D168" i="21" s="1"/>
  <c r="D60" i="21" a="1"/>
  <c r="D60" i="21" s="1"/>
  <c r="D76" i="21" a="1"/>
  <c r="D76" i="21" s="1"/>
  <c r="D272" i="21" a="1"/>
  <c r="D272" i="21" s="1"/>
  <c r="D116" i="21" a="1"/>
  <c r="D116" i="21" s="1"/>
  <c r="H116" i="21" s="1"/>
  <c r="D276" i="21" a="1"/>
  <c r="D276" i="21" s="1"/>
  <c r="G248" i="21" a="1"/>
  <c r="G248" i="21" s="1"/>
  <c r="E248" i="21" a="1"/>
  <c r="E248" i="21" s="1"/>
  <c r="G280" i="21" a="1"/>
  <c r="G280" i="21" s="1"/>
  <c r="E280" i="21" a="1"/>
  <c r="E280" i="21" s="1"/>
  <c r="G108" i="21" a="1"/>
  <c r="G108" i="21" s="1"/>
  <c r="E108" i="21" a="1"/>
  <c r="E108" i="21" s="1"/>
  <c r="G216" i="21" a="1"/>
  <c r="G216" i="21" s="1"/>
  <c r="E216" i="21" a="1"/>
  <c r="E216" i="21" s="1"/>
  <c r="G84" i="21" a="1"/>
  <c r="G84" i="21" s="1"/>
  <c r="E84" i="21" a="1"/>
  <c r="E84" i="21" s="1"/>
  <c r="D237" i="21" a="1"/>
  <c r="D237" i="21" s="1"/>
  <c r="H237" i="21" s="1"/>
  <c r="D292" i="21" a="1"/>
  <c r="D292" i="21" s="1"/>
  <c r="G5" i="21" a="1"/>
  <c r="G5" i="21" s="1"/>
  <c r="E5" i="21" a="1"/>
  <c r="E5" i="21" s="1"/>
  <c r="G152" i="21" a="1"/>
  <c r="G152" i="21" s="1"/>
  <c r="E152" i="21" a="1"/>
  <c r="E152" i="21" s="1"/>
  <c r="D301" i="21" a="1"/>
  <c r="D301" i="21" s="1"/>
  <c r="H301" i="21" s="1"/>
  <c r="D241" i="21" a="1"/>
  <c r="D241" i="21" s="1"/>
  <c r="D156" i="21" a="1"/>
  <c r="D156" i="21" s="1"/>
  <c r="H156" i="21" s="1"/>
  <c r="G173" i="21" a="1"/>
  <c r="G173" i="21" s="1"/>
  <c r="E173" i="21" a="1"/>
  <c r="E173" i="21" s="1"/>
  <c r="D181" i="21" a="1"/>
  <c r="D181" i="21" s="1"/>
  <c r="G85" i="21" a="1"/>
  <c r="G85" i="21" s="1"/>
  <c r="E85" i="21" a="1"/>
  <c r="E85" i="21" s="1"/>
  <c r="D41" i="21" a="1"/>
  <c r="D41" i="21" s="1"/>
  <c r="D248" i="21" a="1"/>
  <c r="D248" i="21" s="1"/>
  <c r="H248" i="21" s="1"/>
  <c r="D84" i="21" a="1"/>
  <c r="D84" i="21" s="1"/>
  <c r="G4" i="21" a="1"/>
  <c r="G4" i="21" s="1"/>
  <c r="E4" i="21" a="1"/>
  <c r="E4" i="21" s="1"/>
  <c r="G104" i="21" a="1"/>
  <c r="G104" i="21" s="1"/>
  <c r="E104" i="21" a="1"/>
  <c r="E104" i="21" s="1"/>
  <c r="D205" i="21" a="1"/>
  <c r="D205" i="21" s="1"/>
  <c r="G61" i="21" a="1"/>
  <c r="G61" i="21" s="1"/>
  <c r="E61" i="21" a="1"/>
  <c r="E61" i="21" s="1"/>
  <c r="D40" i="21" a="1"/>
  <c r="D40" i="21" s="1"/>
  <c r="G157" i="21" a="1"/>
  <c r="G157" i="21" s="1"/>
  <c r="E157" i="21" a="1"/>
  <c r="E157" i="21" s="1"/>
  <c r="G229" i="21" a="1"/>
  <c r="G229" i="21" s="1"/>
  <c r="E229" i="21" a="1"/>
  <c r="E229" i="21" s="1"/>
  <c r="D265" i="21" a="1"/>
  <c r="D265" i="21" s="1"/>
  <c r="G69" i="21" a="1"/>
  <c r="G69" i="21" s="1"/>
  <c r="E69" i="21" a="1"/>
  <c r="E69" i="21" s="1"/>
  <c r="D121" i="21" a="1"/>
  <c r="D121" i="21" s="1"/>
  <c r="G37" i="21" a="1"/>
  <c r="G37" i="21" s="1"/>
  <c r="E37" i="21" a="1"/>
  <c r="E37" i="21" s="1"/>
  <c r="G269" i="21" a="1"/>
  <c r="G269" i="21" s="1"/>
  <c r="E269" i="21" a="1"/>
  <c r="E269" i="21" s="1"/>
  <c r="D197" i="21" a="1"/>
  <c r="D197" i="21" s="1"/>
  <c r="D233" i="21" a="1"/>
  <c r="D233" i="21" s="1"/>
  <c r="G101" i="21" a="1"/>
  <c r="G101" i="21" s="1"/>
  <c r="E101" i="21" a="1"/>
  <c r="E101" i="21" s="1"/>
  <c r="G89" i="21" a="1"/>
  <c r="G89" i="21" s="1"/>
  <c r="E89" i="21" a="1"/>
  <c r="E89" i="21" s="1"/>
  <c r="G53" i="21" a="1"/>
  <c r="G53" i="21" s="1"/>
  <c r="E53" i="21" a="1"/>
  <c r="E53" i="21" s="1"/>
  <c r="G65" i="21" a="1"/>
  <c r="G65" i="21" s="1"/>
  <c r="E65" i="21" a="1"/>
  <c r="E65" i="21" s="1"/>
  <c r="H65" i="21" s="1"/>
  <c r="D204" i="21" a="1"/>
  <c r="D204" i="21" s="1"/>
  <c r="D284" i="21" a="1"/>
  <c r="D284" i="21" s="1"/>
  <c r="D212" i="21" a="1"/>
  <c r="D212" i="21" s="1"/>
  <c r="D164" i="21" a="1"/>
  <c r="D164" i="21" s="1"/>
  <c r="G252" i="21" a="1"/>
  <c r="G252" i="21" s="1"/>
  <c r="E252" i="21" a="1"/>
  <c r="E252" i="21" s="1"/>
  <c r="G196" i="21" a="1"/>
  <c r="G196" i="21" s="1"/>
  <c r="E196" i="21" a="1"/>
  <c r="E196" i="21" s="1"/>
  <c r="G44" i="21" a="1"/>
  <c r="G44" i="21" s="1"/>
  <c r="E44" i="21" a="1"/>
  <c r="E44" i="21" s="1"/>
  <c r="G220" i="21" a="1"/>
  <c r="G220" i="21" s="1"/>
  <c r="E220" i="21" a="1"/>
  <c r="E220" i="21" s="1"/>
  <c r="G80" i="21" a="1"/>
  <c r="G80" i="21" s="1"/>
  <c r="E80" i="21" a="1"/>
  <c r="E80" i="21" s="1"/>
  <c r="F100" i="21" a="1"/>
  <c r="F100" i="21" s="1"/>
  <c r="G133" i="21" a="1"/>
  <c r="G133" i="21" s="1"/>
  <c r="E133" i="21" a="1"/>
  <c r="E133" i="21" s="1"/>
  <c r="G261" i="21" a="1"/>
  <c r="G261" i="21" s="1"/>
  <c r="E261" i="21" a="1"/>
  <c r="E261" i="21" s="1"/>
  <c r="G293" i="21" a="1"/>
  <c r="G293" i="21" s="1"/>
  <c r="E293" i="21" a="1"/>
  <c r="E293" i="21" s="1"/>
  <c r="G189" i="21" a="1"/>
  <c r="G189" i="21" s="1"/>
  <c r="E189" i="21" a="1"/>
  <c r="E189" i="21" s="1"/>
  <c r="G221" i="21" a="1"/>
  <c r="G221" i="21" s="1"/>
  <c r="E221" i="21" a="1"/>
  <c r="E221" i="21" s="1"/>
  <c r="G97" i="21" a="1"/>
  <c r="G97" i="21" s="1"/>
  <c r="E97" i="21" a="1"/>
  <c r="E97" i="21" s="1"/>
  <c r="G181" i="21" a="1"/>
  <c r="G181" i="21" s="1"/>
  <c r="E181" i="21" a="1"/>
  <c r="E181" i="21" s="1"/>
  <c r="D81" i="21" a="1"/>
  <c r="D81" i="21" s="1"/>
  <c r="G129" i="21" a="1"/>
  <c r="G129" i="21" s="1"/>
  <c r="E129" i="21" a="1"/>
  <c r="E129" i="21" s="1"/>
  <c r="D77" i="21" a="1"/>
  <c r="D77" i="21" s="1"/>
  <c r="D201" i="21" a="1"/>
  <c r="D201" i="21" s="1"/>
  <c r="D117" i="21" a="1"/>
  <c r="D117" i="21" s="1"/>
  <c r="D305" i="21" a="1"/>
  <c r="D305" i="21" s="1"/>
  <c r="G224" i="21" a="1"/>
  <c r="G224" i="21" s="1"/>
  <c r="E224" i="21" a="1"/>
  <c r="E224" i="21" s="1"/>
  <c r="G36" i="21" a="1"/>
  <c r="G36" i="21" s="1"/>
  <c r="E36" i="21" a="1"/>
  <c r="E36" i="21" s="1"/>
  <c r="G148" i="21" a="1"/>
  <c r="G148" i="21" s="1"/>
  <c r="E148" i="21" a="1"/>
  <c r="E148" i="21" s="1"/>
  <c r="H148" i="21" s="1"/>
  <c r="D300" i="21" a="1"/>
  <c r="D300" i="21" s="1"/>
  <c r="H300" i="21" s="1"/>
  <c r="G180" i="21" a="1"/>
  <c r="G180" i="21" s="1"/>
  <c r="E180" i="21" a="1"/>
  <c r="E180" i="21" s="1"/>
  <c r="D4" i="21" a="1"/>
  <c r="D4" i="21" s="1"/>
  <c r="D36" i="21" a="1"/>
  <c r="D36" i="21" s="1"/>
  <c r="G144" i="21" a="1"/>
  <c r="G144" i="21" s="1"/>
  <c r="E144" i="21" a="1"/>
  <c r="E144" i="21" s="1"/>
  <c r="G256" i="21" a="1"/>
  <c r="G256" i="21" s="1"/>
  <c r="E256" i="21" a="1"/>
  <c r="E256" i="21" s="1"/>
  <c r="D5" i="21" a="1"/>
  <c r="D5" i="21" s="1"/>
  <c r="D80" i="21" a="1"/>
  <c r="D80" i="21" s="1"/>
  <c r="G233" i="21" a="1"/>
  <c r="G233" i="21" s="1"/>
  <c r="E233" i="21" a="1"/>
  <c r="E233" i="21" s="1"/>
  <c r="G145" i="21" a="1"/>
  <c r="G145" i="21" s="1"/>
  <c r="E145" i="21" a="1"/>
  <c r="E145" i="21" s="1"/>
  <c r="G121" i="21" a="1"/>
  <c r="G121" i="21" s="1"/>
  <c r="E121" i="21" a="1"/>
  <c r="E121" i="21" s="1"/>
  <c r="D85" i="21" a="1"/>
  <c r="D85" i="21" s="1"/>
  <c r="D240" i="21" a="1"/>
  <c r="D240" i="21" s="1"/>
  <c r="H240" i="21" s="1"/>
  <c r="G68" i="21" a="1"/>
  <c r="G68" i="21" s="1"/>
  <c r="E68" i="21" a="1"/>
  <c r="E68" i="21" s="1"/>
  <c r="D277" i="21" a="1"/>
  <c r="D277" i="21" s="1"/>
  <c r="G41" i="21" a="1"/>
  <c r="G41" i="21" s="1"/>
  <c r="E41" i="21" a="1"/>
  <c r="E41" i="21" s="1"/>
  <c r="D105" i="21" a="1"/>
  <c r="D105" i="21" s="1"/>
  <c r="H105" i="21" s="1"/>
  <c r="G237" i="21" a="1"/>
  <c r="G237" i="21" s="1"/>
  <c r="E237" i="21" a="1"/>
  <c r="E237" i="21" s="1"/>
  <c r="D257" i="21" a="1"/>
  <c r="D257" i="21" s="1"/>
  <c r="D189" i="21" a="1"/>
  <c r="D189" i="21" s="1"/>
  <c r="H189" i="21" s="1"/>
  <c r="G33" i="21" a="1"/>
  <c r="G33" i="21" s="1"/>
  <c r="E33" i="21" a="1"/>
  <c r="E33" i="21" s="1"/>
  <c r="G273" i="21" a="1"/>
  <c r="G273" i="21" s="1"/>
  <c r="E273" i="21" a="1"/>
  <c r="E273" i="21" s="1"/>
  <c r="G153" i="21" a="1"/>
  <c r="G153" i="21" s="1"/>
  <c r="E153" i="21" a="1"/>
  <c r="E153" i="21" s="1"/>
  <c r="D93" i="21" a="1"/>
  <c r="D93" i="21" s="1"/>
  <c r="G305" i="21" a="1"/>
  <c r="G305" i="21" s="1"/>
  <c r="E305" i="21" a="1"/>
  <c r="E305" i="21" s="1"/>
  <c r="D57" i="21" a="1"/>
  <c r="D57" i="21" s="1"/>
  <c r="H57" i="21" s="1"/>
  <c r="D21" i="21" a="1"/>
  <c r="D21" i="21" s="1"/>
  <c r="G240" i="21" a="1"/>
  <c r="G240" i="21" s="1"/>
  <c r="E240" i="21" a="1"/>
  <c r="E240" i="21" s="1"/>
  <c r="D160" i="21" a="1"/>
  <c r="D160" i="21" s="1"/>
  <c r="H160" i="21" s="1"/>
  <c r="D220" i="21" a="1"/>
  <c r="D220" i="21" s="1"/>
  <c r="H220" i="21" s="1"/>
  <c r="D136" i="21" a="1"/>
  <c r="D136" i="21" s="1"/>
  <c r="D280" i="21" a="1"/>
  <c r="D280" i="21" s="1"/>
  <c r="D188" i="21" a="1"/>
  <c r="D188" i="21" s="1"/>
  <c r="G136" i="21" a="1"/>
  <c r="G136" i="21" s="1"/>
  <c r="E136" i="21" a="1"/>
  <c r="E136" i="21" s="1"/>
  <c r="D13" i="21" a="1"/>
  <c r="D13" i="21" s="1"/>
  <c r="G296" i="21" a="1"/>
  <c r="G296" i="21" s="1"/>
  <c r="E296" i="21" a="1"/>
  <c r="E296" i="21" s="1"/>
  <c r="G264" i="21" a="1"/>
  <c r="G264" i="21" s="1"/>
  <c r="E264" i="21" a="1"/>
  <c r="E264" i="21" s="1"/>
  <c r="D16" i="21" a="1"/>
  <c r="D16" i="21" s="1"/>
  <c r="D120" i="21" a="1"/>
  <c r="D120" i="21" s="1"/>
  <c r="F140" i="21" a="1"/>
  <c r="F140" i="21" s="1"/>
  <c r="F12" i="21" a="1"/>
  <c r="F12" i="21" s="1"/>
  <c r="G165" i="21" a="1"/>
  <c r="G165" i="21" s="1"/>
  <c r="E165" i="21" a="1"/>
  <c r="E165" i="21" s="1"/>
  <c r="D200" i="21" a="1"/>
  <c r="D200" i="21" s="1"/>
  <c r="H200" i="21" s="1"/>
  <c r="D45" i="21" a="1"/>
  <c r="D45" i="21" s="1"/>
  <c r="G185" i="21" a="1"/>
  <c r="G185" i="21" s="1"/>
  <c r="E185" i="21" a="1"/>
  <c r="E185" i="21" s="1"/>
  <c r="G213" i="21" a="1"/>
  <c r="G213" i="21" s="1"/>
  <c r="E213" i="21" a="1"/>
  <c r="E213" i="21" s="1"/>
  <c r="G272" i="21" a="1"/>
  <c r="G272" i="21" s="1"/>
  <c r="E272" i="21" a="1"/>
  <c r="E272" i="21" s="1"/>
  <c r="D125" i="21" a="1"/>
  <c r="D125" i="21" s="1"/>
  <c r="G125" i="21" a="1"/>
  <c r="G125" i="21" s="1"/>
  <c r="E125" i="21" a="1"/>
  <c r="E125" i="21" s="1"/>
  <c r="G205" i="21" a="1"/>
  <c r="G205" i="21" s="1"/>
  <c r="E205" i="21" a="1"/>
  <c r="E205" i="21" s="1"/>
  <c r="G109" i="21" a="1"/>
  <c r="G109" i="21" s="1"/>
  <c r="E109" i="21" a="1"/>
  <c r="E109" i="21" s="1"/>
  <c r="D173" i="21" a="1"/>
  <c r="D173" i="21" s="1"/>
  <c r="D49" i="21" a="1"/>
  <c r="D49" i="21" s="1"/>
  <c r="D88" i="21" a="1"/>
  <c r="D88" i="21" s="1"/>
  <c r="D8" i="21" a="1"/>
  <c r="D8" i="21" s="1"/>
  <c r="H8" i="21" s="1"/>
  <c r="D296" i="21" a="1"/>
  <c r="D296" i="21" s="1"/>
  <c r="H296" i="21" s="1"/>
  <c r="D224" i="21" a="1"/>
  <c r="D224" i="21" s="1"/>
  <c r="G40" i="21" a="1"/>
  <c r="G40" i="21" s="1"/>
  <c r="E40" i="21" a="1"/>
  <c r="E40" i="21" s="1"/>
  <c r="D216" i="21" a="1"/>
  <c r="D216" i="21" s="1"/>
  <c r="G236" i="21" a="1"/>
  <c r="G236" i="21" s="1"/>
  <c r="E236" i="21" a="1"/>
  <c r="E236" i="21" s="1"/>
  <c r="G208" i="21" a="1"/>
  <c r="G208" i="21" s="1"/>
  <c r="E208" i="21" a="1"/>
  <c r="E208" i="21" s="1"/>
  <c r="G168" i="21" a="1"/>
  <c r="G168" i="21" s="1"/>
  <c r="E168" i="21" a="1"/>
  <c r="E168" i="21" s="1"/>
  <c r="G76" i="21" a="1"/>
  <c r="G76" i="21" s="1"/>
  <c r="E76" i="21" a="1"/>
  <c r="E76" i="21" s="1"/>
  <c r="G120" i="21" a="1"/>
  <c r="G120" i="21" s="1"/>
  <c r="E120" i="21" a="1"/>
  <c r="E120" i="21" s="1"/>
  <c r="G277" i="21" a="1"/>
  <c r="G277" i="21" s="1"/>
  <c r="E277" i="21" a="1"/>
  <c r="E277" i="21" s="1"/>
  <c r="G88" i="21" a="1"/>
  <c r="G88" i="21" s="1"/>
  <c r="E88" i="21" a="1"/>
  <c r="E88" i="21" s="1"/>
  <c r="D161" i="21" a="1"/>
  <c r="D161" i="21" s="1"/>
  <c r="D229" i="21" a="1"/>
  <c r="D229" i="21" s="1"/>
  <c r="D236" i="21" a="1"/>
  <c r="D236" i="21" s="1"/>
  <c r="D165" i="21" a="1"/>
  <c r="D165" i="21" s="1"/>
  <c r="D269" i="21" a="1"/>
  <c r="D269" i="21" s="1"/>
  <c r="D89" i="21" a="1"/>
  <c r="D89" i="21" s="1"/>
  <c r="G117" i="21" a="1"/>
  <c r="G117" i="21" s="1"/>
  <c r="E117" i="21" a="1"/>
  <c r="E117" i="21" s="1"/>
  <c r="D145" i="21" a="1"/>
  <c r="D145" i="21" s="1"/>
  <c r="D185" i="21" a="1"/>
  <c r="D185" i="21" s="1"/>
  <c r="G260" i="21" a="1"/>
  <c r="G260" i="21" s="1"/>
  <c r="E260" i="21" a="1"/>
  <c r="E260" i="21" s="1"/>
  <c r="G204" i="21" a="1"/>
  <c r="G204" i="21" s="1"/>
  <c r="E204" i="21" a="1"/>
  <c r="E204" i="21" s="1"/>
  <c r="D273" i="21" a="1"/>
  <c r="D273" i="21" s="1"/>
  <c r="G81" i="21" a="1"/>
  <c r="G81" i="21" s="1"/>
  <c r="E81" i="21" a="1"/>
  <c r="E81" i="21" s="1"/>
  <c r="D149" i="21" a="1"/>
  <c r="D149" i="21" s="1"/>
  <c r="G169" i="21" a="1"/>
  <c r="G169" i="21" s="1"/>
  <c r="E169" i="21" a="1"/>
  <c r="E169" i="21" s="1"/>
  <c r="G297" i="21" a="1"/>
  <c r="G297" i="21" s="1"/>
  <c r="E297" i="21" a="1"/>
  <c r="E297" i="21" s="1"/>
  <c r="D69" i="21" a="1"/>
  <c r="D69" i="21" s="1"/>
  <c r="G245" i="21" a="1"/>
  <c r="G245" i="21" s="1"/>
  <c r="E245" i="21" a="1"/>
  <c r="E245" i="21" s="1"/>
  <c r="D157" i="21" a="1"/>
  <c r="D157" i="21" s="1"/>
  <c r="G77" i="21" a="1"/>
  <c r="G77" i="21" s="1"/>
  <c r="E77" i="21" a="1"/>
  <c r="E77" i="21" s="1"/>
  <c r="G45" i="21" a="1"/>
  <c r="G45" i="21" s="1"/>
  <c r="E45" i="21" a="1"/>
  <c r="E45" i="21" s="1"/>
  <c r="D281" i="21" a="1"/>
  <c r="D281" i="21" s="1"/>
  <c r="D109" i="21" a="1"/>
  <c r="D109" i="21" s="1"/>
  <c r="G288" i="21" a="1"/>
  <c r="G288" i="21" s="1"/>
  <c r="E288" i="21" a="1"/>
  <c r="E288" i="21" s="1"/>
  <c r="H288" i="21" s="1"/>
  <c r="D72" i="21" a="1"/>
  <c r="D72" i="21" s="1"/>
  <c r="H72" i="21" s="1"/>
  <c r="D184" i="21" a="1"/>
  <c r="D184" i="21" s="1"/>
  <c r="D264" i="21" a="1"/>
  <c r="D264" i="21" s="1"/>
  <c r="G60" i="21" a="1"/>
  <c r="G60" i="21" s="1"/>
  <c r="E60" i="21" a="1"/>
  <c r="E60" i="21" s="1"/>
  <c r="G184" i="21" a="1"/>
  <c r="G184" i="21" s="1"/>
  <c r="E184" i="21" a="1"/>
  <c r="E184" i="21" s="1"/>
  <c r="G9" i="21" a="1"/>
  <c r="G9" i="21" s="1"/>
  <c r="E9" i="21" a="1"/>
  <c r="E9" i="21" s="1"/>
  <c r="D24" i="21" a="1"/>
  <c r="D24" i="21" s="1"/>
  <c r="D152" i="21" a="1"/>
  <c r="D152" i="21" s="1"/>
  <c r="D32" i="21" a="1"/>
  <c r="D32" i="21" s="1"/>
  <c r="H32" i="21" s="1"/>
  <c r="F148" i="21" a="1"/>
  <c r="F148" i="21" s="1"/>
  <c r="F288" i="21" a="1"/>
  <c r="F288" i="21" s="1"/>
  <c r="G38" i="21" a="1"/>
  <c r="G38" i="21" s="1"/>
  <c r="E38" i="21" a="1"/>
  <c r="E38" i="21" s="1"/>
  <c r="G186" i="21" a="1"/>
  <c r="G186" i="21" s="1"/>
  <c r="E186" i="21" a="1"/>
  <c r="E186" i="21" s="1"/>
  <c r="D282" i="21" a="1"/>
  <c r="D282" i="21" s="1"/>
  <c r="D30" i="21" a="1"/>
  <c r="D30" i="21" s="1"/>
  <c r="G130" i="21" a="1"/>
  <c r="G130" i="21" s="1"/>
  <c r="E130" i="21" a="1"/>
  <c r="E130" i="21" s="1"/>
  <c r="F42" i="21" a="1"/>
  <c r="F42" i="21" s="1"/>
  <c r="I42" i="21" s="1"/>
  <c r="F254" i="21" a="1"/>
  <c r="F254" i="21" s="1"/>
  <c r="I254" i="21" s="1"/>
  <c r="G282" i="21" a="1"/>
  <c r="G282" i="21" s="1"/>
  <c r="E282" i="21" a="1"/>
  <c r="E282" i="21" s="1"/>
  <c r="D270" i="21" a="1"/>
  <c r="D270" i="21" s="1"/>
  <c r="D294" i="21" a="1"/>
  <c r="D294" i="21" s="1"/>
  <c r="E22" i="21" a="1"/>
  <c r="E22" i="21" s="1"/>
  <c r="D38" i="21" a="1"/>
  <c r="D38" i="21" s="1"/>
  <c r="H38" i="21" s="1"/>
  <c r="F54" i="21" a="1"/>
  <c r="F54" i="21" s="1"/>
  <c r="I54" i="21" s="1"/>
  <c r="F198" i="21" a="1"/>
  <c r="F198" i="21" s="1"/>
  <c r="I198" i="21" s="1"/>
  <c r="D226" i="21" a="1"/>
  <c r="D226" i="21" s="1"/>
  <c r="G266" i="21" a="1"/>
  <c r="G266" i="21" s="1"/>
  <c r="E266" i="21" a="1"/>
  <c r="E266" i="21" s="1"/>
  <c r="G90" i="21" a="1"/>
  <c r="G90" i="21" s="1"/>
  <c r="E90" i="21" a="1"/>
  <c r="E90" i="21" s="1"/>
  <c r="D22" i="21" a="1"/>
  <c r="D22" i="21" s="1"/>
  <c r="G118" i="21" a="1"/>
  <c r="G118" i="21" s="1"/>
  <c r="E118" i="21" a="1"/>
  <c r="E118" i="21" s="1"/>
  <c r="G206" i="21" a="1"/>
  <c r="G206" i="21" s="1"/>
  <c r="E206" i="21" a="1"/>
  <c r="E206" i="21" s="1"/>
  <c r="D130" i="21" a="1"/>
  <c r="D130" i="21" s="1"/>
  <c r="D162" i="21" a="1"/>
  <c r="D162" i="21" s="1"/>
  <c r="H162" i="21" s="1"/>
  <c r="D150" i="21" a="1"/>
  <c r="D150" i="21" s="1"/>
  <c r="G278" i="21" a="1"/>
  <c r="G278" i="21" s="1"/>
  <c r="E278" i="21" a="1"/>
  <c r="E278" i="21" s="1"/>
  <c r="D186" i="21" a="1"/>
  <c r="D186" i="21" s="1"/>
  <c r="D278" i="21" a="1"/>
  <c r="D278" i="21" s="1"/>
  <c r="H278" i="21" s="1"/>
  <c r="D122" i="21" a="1"/>
  <c r="D122" i="21" s="1"/>
  <c r="G122" i="21" a="1"/>
  <c r="G122" i="21" s="1"/>
  <c r="E122" i="21" a="1"/>
  <c r="E122" i="21" s="1"/>
  <c r="G70" i="21" a="1"/>
  <c r="G70" i="21" s="1"/>
  <c r="E70" i="21" a="1"/>
  <c r="E70" i="21" s="1"/>
  <c r="G234" i="21" a="1"/>
  <c r="G234" i="21" s="1"/>
  <c r="E234" i="21" a="1"/>
  <c r="E234" i="21" s="1"/>
  <c r="D266" i="21" a="1"/>
  <c r="D266" i="21" s="1"/>
  <c r="D90" i="21" a="1"/>
  <c r="D90" i="21" s="1"/>
  <c r="G242" i="21" a="1"/>
  <c r="G242" i="21" s="1"/>
  <c r="E242" i="21" a="1"/>
  <c r="E242" i="21" s="1"/>
  <c r="D118" i="21" a="1"/>
  <c r="D118" i="21" s="1"/>
  <c r="D206" i="21" a="1"/>
  <c r="D206" i="21" s="1"/>
  <c r="E26" i="21" a="1"/>
  <c r="E26" i="21" s="1"/>
  <c r="F194" i="21" a="1"/>
  <c r="F194" i="21" s="1"/>
  <c r="I194" i="21" s="1"/>
  <c r="F94" i="21" a="1"/>
  <c r="F94" i="21" s="1"/>
  <c r="I94" i="21" s="1"/>
  <c r="F262" i="21" a="1"/>
  <c r="F262" i="21" s="1"/>
  <c r="I262" i="21" s="1"/>
  <c r="F202" i="21" a="1"/>
  <c r="F202" i="21" s="1"/>
  <c r="I202" i="21" s="1"/>
  <c r="G30" i="21" a="1"/>
  <c r="G30" i="21" s="1"/>
  <c r="E30" i="21" a="1"/>
  <c r="E30" i="21" s="1"/>
  <c r="D302" i="21" a="1"/>
  <c r="D302" i="21" s="1"/>
  <c r="G82" i="21" a="1"/>
  <c r="G82" i="21" s="1"/>
  <c r="E82" i="21" a="1"/>
  <c r="E82" i="21" s="1"/>
  <c r="D214" i="21" a="1"/>
  <c r="D214" i="21" s="1"/>
  <c r="D110" i="21" a="1"/>
  <c r="D110" i="21" s="1"/>
  <c r="G270" i="21" a="1"/>
  <c r="G270" i="21" s="1"/>
  <c r="E270" i="21" a="1"/>
  <c r="E270" i="21" s="1"/>
  <c r="G210" i="21" a="1"/>
  <c r="G210" i="21" s="1"/>
  <c r="E210" i="21" a="1"/>
  <c r="E210" i="21" s="1"/>
  <c r="G222" i="21" a="1"/>
  <c r="G222" i="21" s="1"/>
  <c r="E222" i="21" a="1"/>
  <c r="E222" i="21" s="1"/>
  <c r="G294" i="21" a="1"/>
  <c r="G294" i="21" s="1"/>
  <c r="E294" i="21" a="1"/>
  <c r="E294" i="21" s="1"/>
  <c r="D274" i="21" a="1"/>
  <c r="D274" i="21" s="1"/>
  <c r="G214" i="21" a="1"/>
  <c r="G214" i="21" s="1"/>
  <c r="E214" i="21" a="1"/>
  <c r="E214" i="21" s="1"/>
  <c r="D26" i="21" a="1"/>
  <c r="D26" i="21" s="1"/>
  <c r="G298" i="21" a="1"/>
  <c r="G298" i="21" s="1"/>
  <c r="E298" i="21" a="1"/>
  <c r="E298" i="21" s="1"/>
  <c r="F218" i="21" a="1"/>
  <c r="F218" i="21" s="1"/>
  <c r="I218" i="21" s="1"/>
  <c r="G182" i="21" a="1"/>
  <c r="G182" i="21" s="1"/>
  <c r="E182" i="21" a="1"/>
  <c r="E182" i="21" s="1"/>
  <c r="D298" i="21" a="1"/>
  <c r="D298" i="21" s="1"/>
  <c r="H298" i="21" s="1"/>
  <c r="D34" i="21" a="1"/>
  <c r="D34" i="21" s="1"/>
  <c r="G50" i="21" a="1"/>
  <c r="G50" i="21" s="1"/>
  <c r="E50" i="21" a="1"/>
  <c r="E50" i="21" s="1"/>
  <c r="G138" i="21" a="1"/>
  <c r="G138" i="21" s="1"/>
  <c r="E138" i="21" a="1"/>
  <c r="E138" i="21" s="1"/>
  <c r="D182" i="21" a="1"/>
  <c r="D182" i="21" s="1"/>
  <c r="G78" i="21" a="1"/>
  <c r="G78" i="21" s="1"/>
  <c r="E78" i="21" a="1"/>
  <c r="E78" i="21" s="1"/>
  <c r="G102" i="21" a="1"/>
  <c r="G102" i="21" s="1"/>
  <c r="E102" i="21" a="1"/>
  <c r="E102" i="21" s="1"/>
  <c r="G190" i="21" a="1"/>
  <c r="G190" i="21" s="1"/>
  <c r="E190" i="21" a="1"/>
  <c r="E190" i="21" s="1"/>
  <c r="G126" i="21" a="1"/>
  <c r="G126" i="21" s="1"/>
  <c r="E126" i="21" a="1"/>
  <c r="E126" i="21" s="1"/>
  <c r="D50" i="21" a="1"/>
  <c r="D50" i="21" s="1"/>
  <c r="H50" i="21" s="1"/>
  <c r="D222" i="21" a="1"/>
  <c r="D222" i="21" s="1"/>
  <c r="F86" i="21" a="1"/>
  <c r="F86" i="21" s="1"/>
  <c r="I86" i="21" s="1"/>
  <c r="F250" i="21" a="1"/>
  <c r="F250" i="21" s="1"/>
  <c r="I250" i="21" s="1"/>
  <c r="D106" i="21" a="1"/>
  <c r="D106" i="21" s="1"/>
  <c r="G226" i="21" a="1"/>
  <c r="G226" i="21" s="1"/>
  <c r="E226" i="21" a="1"/>
  <c r="E226" i="21" s="1"/>
  <c r="D242" i="21" a="1"/>
  <c r="D242" i="21" s="1"/>
  <c r="G274" i="21" a="1"/>
  <c r="G274" i="21" s="1"/>
  <c r="E274" i="21" a="1"/>
  <c r="E274" i="21" s="1"/>
  <c r="G302" i="21" a="1"/>
  <c r="G302" i="21" s="1"/>
  <c r="E302" i="21" a="1"/>
  <c r="E302" i="21" s="1"/>
  <c r="D102" i="21" a="1"/>
  <c r="D102" i="21" s="1"/>
  <c r="G158" i="21" a="1"/>
  <c r="G158" i="21" s="1"/>
  <c r="E158" i="21" a="1"/>
  <c r="E158" i="21" s="1"/>
  <c r="D190" i="21" a="1"/>
  <c r="D190" i="21" s="1"/>
  <c r="D126" i="21" a="1"/>
  <c r="D126" i="21" s="1"/>
  <c r="G238" i="21" a="1"/>
  <c r="G238" i="21" s="1"/>
  <c r="E238" i="21" a="1"/>
  <c r="E238" i="21" s="1"/>
  <c r="G134" i="21" a="1"/>
  <c r="G134" i="21" s="1"/>
  <c r="E134" i="21" a="1"/>
  <c r="E134" i="21" s="1"/>
  <c r="G230" i="21" a="1"/>
  <c r="G230" i="21" s="1"/>
  <c r="E230" i="21" a="1"/>
  <c r="E230" i="21" s="1"/>
  <c r="D230" i="21" a="1"/>
  <c r="D230" i="21" s="1"/>
  <c r="D178" i="21" a="1"/>
  <c r="D178" i="21" s="1"/>
  <c r="F246" i="21" a="1"/>
  <c r="F246" i="21" s="1"/>
  <c r="I246" i="21" s="1"/>
  <c r="D138" i="21" a="1"/>
  <c r="D138" i="21" s="1"/>
  <c r="H138" i="21" s="1"/>
  <c r="D174" i="21" a="1"/>
  <c r="D174" i="21" s="1"/>
  <c r="H174" i="21" s="1"/>
  <c r="D78" i="21" a="1"/>
  <c r="D78" i="21" s="1"/>
  <c r="G290" i="21" a="1"/>
  <c r="G290" i="21" s="1"/>
  <c r="E290" i="21" a="1"/>
  <c r="E290" i="21" s="1"/>
  <c r="G62" i="21" a="1"/>
  <c r="G62" i="21" s="1"/>
  <c r="E62" i="21" a="1"/>
  <c r="E62" i="21" s="1"/>
  <c r="G174" i="21" a="1"/>
  <c r="G174" i="21" s="1"/>
  <c r="E174" i="21" a="1"/>
  <c r="E174" i="21" s="1"/>
  <c r="D158" i="21" a="1"/>
  <c r="D158" i="21" s="1"/>
  <c r="D238" i="21" a="1"/>
  <c r="D238" i="21" s="1"/>
  <c r="D134" i="21" a="1"/>
  <c r="D134" i="21" s="1"/>
  <c r="F58" i="21" a="1"/>
  <c r="F58" i="21" s="1"/>
  <c r="I58" i="21" s="1"/>
  <c r="F170" i="21" a="1"/>
  <c r="F170" i="21" s="1"/>
  <c r="I170" i="21" s="1"/>
  <c r="F166" i="21" a="1"/>
  <c r="F166" i="21" s="1"/>
  <c r="I166" i="21" s="1"/>
  <c r="G142" i="21" a="1"/>
  <c r="G142" i="21" s="1"/>
  <c r="E142" i="21" a="1"/>
  <c r="E142" i="21" s="1"/>
  <c r="D234" i="21" a="1"/>
  <c r="D234" i="21" s="1"/>
  <c r="G110" i="21" a="1"/>
  <c r="G110" i="21" s="1"/>
  <c r="E110" i="21" a="1"/>
  <c r="E110" i="21" s="1"/>
  <c r="D210" i="21" a="1"/>
  <c r="D210" i="21" s="1"/>
  <c r="D82" i="21" a="1"/>
  <c r="D82" i="21" s="1"/>
  <c r="F114" i="21" a="1"/>
  <c r="F114" i="21" s="1"/>
  <c r="I114" i="21" s="1"/>
  <c r="D290" i="21" a="1"/>
  <c r="D290" i="21" s="1"/>
  <c r="G146" i="21" a="1"/>
  <c r="G146" i="21" s="1"/>
  <c r="E146" i="21" a="1"/>
  <c r="E146" i="21" s="1"/>
  <c r="G74" i="21" a="1"/>
  <c r="G74" i="21" s="1"/>
  <c r="E74" i="21" a="1"/>
  <c r="E74" i="21" s="1"/>
  <c r="G98" i="21" a="1"/>
  <c r="G98" i="21" s="1"/>
  <c r="E98" i="21" a="1"/>
  <c r="E98" i="21" s="1"/>
  <c r="G286" i="21" a="1"/>
  <c r="G286" i="21" s="1"/>
  <c r="E286" i="21" a="1"/>
  <c r="E286" i="21" s="1"/>
  <c r="G154" i="21" a="1"/>
  <c r="G154" i="21" s="1"/>
  <c r="E154" i="21" a="1"/>
  <c r="E154" i="21" s="1"/>
  <c r="D70" i="21" a="1"/>
  <c r="D70" i="21" s="1"/>
  <c r="G178" i="21" a="1"/>
  <c r="G178" i="21" s="1"/>
  <c r="E178" i="21" a="1"/>
  <c r="E178" i="21" s="1"/>
  <c r="G34" i="21" a="1"/>
  <c r="G34" i="21" s="1"/>
  <c r="E34" i="21" a="1"/>
  <c r="E34" i="21" s="1"/>
  <c r="D62" i="21" a="1"/>
  <c r="D62" i="21" s="1"/>
  <c r="G162" i="21" a="1"/>
  <c r="G162" i="21" s="1"/>
  <c r="E162" i="21" a="1"/>
  <c r="E162" i="21" s="1"/>
  <c r="D142" i="21" a="1"/>
  <c r="D142" i="21" s="1"/>
  <c r="H142" i="21" s="1"/>
  <c r="D146" i="21" a="1"/>
  <c r="D146" i="21" s="1"/>
  <c r="D74" i="21" a="1"/>
  <c r="D74" i="21" s="1"/>
  <c r="D98" i="21" a="1"/>
  <c r="D98" i="21" s="1"/>
  <c r="D286" i="21" a="1"/>
  <c r="D286" i="21" s="1"/>
  <c r="G106" i="21" a="1"/>
  <c r="G106" i="21" s="1"/>
  <c r="E106" i="21" a="1"/>
  <c r="E106" i="21" s="1"/>
  <c r="D154" i="21" a="1"/>
  <c r="D154" i="21" s="1"/>
  <c r="H154" i="21" s="1"/>
  <c r="G150" i="21" a="1"/>
  <c r="G150" i="21" s="1"/>
  <c r="E150" i="21" a="1"/>
  <c r="E150" i="21" s="1"/>
  <c r="F66" i="21" a="1"/>
  <c r="F66" i="21" s="1"/>
  <c r="I66" i="21" s="1"/>
  <c r="F258" i="21" a="1"/>
  <c r="F258" i="21" s="1"/>
  <c r="I258" i="21" s="1"/>
  <c r="D207" i="21" a="1"/>
  <c r="D207" i="21" s="1"/>
  <c r="H207" i="21" s="1"/>
  <c r="D71" i="21" a="1"/>
  <c r="D71" i="21" s="1"/>
  <c r="G231" i="21" a="1"/>
  <c r="G231" i="21" s="1"/>
  <c r="E231" i="21" a="1"/>
  <c r="E231" i="21" s="1"/>
  <c r="D47" i="21" a="1"/>
  <c r="D47" i="21" s="1"/>
  <c r="D91" i="21" a="1"/>
  <c r="D91" i="21" s="1"/>
  <c r="D147" i="21" a="1"/>
  <c r="D147" i="21" s="1"/>
  <c r="H147" i="21" s="1"/>
  <c r="D259" i="21" a="1"/>
  <c r="D259" i="21" s="1"/>
  <c r="G163" i="21" a="1"/>
  <c r="G163" i="21" s="1"/>
  <c r="E163" i="21" a="1"/>
  <c r="E163" i="21" s="1"/>
  <c r="G63" i="21" a="1"/>
  <c r="G63" i="21" s="1"/>
  <c r="E63" i="21" a="1"/>
  <c r="E63" i="21" s="1"/>
  <c r="G67" i="21" a="1"/>
  <c r="G67" i="21" s="1"/>
  <c r="E67" i="21" a="1"/>
  <c r="E67" i="21" s="1"/>
  <c r="G147" i="21" a="1"/>
  <c r="G147" i="21" s="1"/>
  <c r="E147" i="21" a="1"/>
  <c r="E147" i="21" s="1"/>
  <c r="F211" i="21" a="1"/>
  <c r="F211" i="21" s="1"/>
  <c r="D143" i="21" a="1"/>
  <c r="D143" i="21" s="1"/>
  <c r="G139" i="21" a="1"/>
  <c r="G139" i="21" s="1"/>
  <c r="E139" i="21" a="1"/>
  <c r="E139" i="21" s="1"/>
  <c r="D199" i="21" a="1"/>
  <c r="D199" i="21" s="1"/>
  <c r="G123" i="21" a="1"/>
  <c r="G123" i="21" s="1"/>
  <c r="E123" i="21" a="1"/>
  <c r="E123" i="21" s="1"/>
  <c r="G223" i="21" a="1"/>
  <c r="G223" i="21" s="1"/>
  <c r="E223" i="21" a="1"/>
  <c r="E223" i="21" s="1"/>
  <c r="D99" i="21" a="1"/>
  <c r="D99" i="21" s="1"/>
  <c r="H99" i="21" s="1"/>
  <c r="D251" i="21" a="1"/>
  <c r="D251" i="21" s="1"/>
  <c r="D263" i="21" a="1"/>
  <c r="D263" i="21" s="1"/>
  <c r="G59" i="21" a="1"/>
  <c r="G59" i="21" s="1"/>
  <c r="E59" i="21" a="1"/>
  <c r="E59" i="21" s="1"/>
  <c r="D287" i="21" a="1"/>
  <c r="D287" i="21" s="1"/>
  <c r="G159" i="21" a="1"/>
  <c r="G159" i="21" s="1"/>
  <c r="E159" i="21" a="1"/>
  <c r="E159" i="21" s="1"/>
  <c r="G207" i="21" a="1"/>
  <c r="G207" i="21" s="1"/>
  <c r="E207" i="21" a="1"/>
  <c r="E207" i="21" s="1"/>
  <c r="G79" i="21" a="1"/>
  <c r="G79" i="21" s="1"/>
  <c r="E79" i="21" a="1"/>
  <c r="E79" i="21" s="1"/>
  <c r="D7" i="21" a="1"/>
  <c r="D7" i="21" s="1"/>
  <c r="D123" i="21" a="1"/>
  <c r="D123" i="21" s="1"/>
  <c r="D223" i="21" a="1"/>
  <c r="D223" i="21" s="1"/>
  <c r="D231" i="21" a="1"/>
  <c r="D231" i="21" s="1"/>
  <c r="H231" i="21" s="1"/>
  <c r="D59" i="21" a="1"/>
  <c r="D59" i="21" s="1"/>
  <c r="H59" i="21" s="1"/>
  <c r="G283" i="21" a="1"/>
  <c r="G283" i="21" s="1"/>
  <c r="E283" i="21" a="1"/>
  <c r="E283" i="21" s="1"/>
  <c r="G103" i="21" a="1"/>
  <c r="G103" i="21" s="1"/>
  <c r="E103" i="21" a="1"/>
  <c r="E103" i="21" s="1"/>
  <c r="E303" i="21" a="1"/>
  <c r="E303" i="21" s="1"/>
  <c r="G303" i="21" a="1"/>
  <c r="G303" i="21" s="1"/>
  <c r="G155" i="21" a="1"/>
  <c r="G155" i="21" s="1"/>
  <c r="E155" i="21" a="1"/>
  <c r="E155" i="21" s="1"/>
  <c r="G127" i="21" a="1"/>
  <c r="G127" i="21" s="1"/>
  <c r="E127" i="21" a="1"/>
  <c r="E127" i="21" s="1"/>
  <c r="G7" i="21" a="1"/>
  <c r="G7" i="21" s="1"/>
  <c r="E7" i="21" a="1"/>
  <c r="E7" i="21" s="1"/>
  <c r="G279" i="21" a="1"/>
  <c r="G279" i="21" s="1"/>
  <c r="E279" i="21" a="1"/>
  <c r="E279" i="21" s="1"/>
  <c r="D127" i="21" a="1"/>
  <c r="D127" i="21" s="1"/>
  <c r="G87" i="21" a="1"/>
  <c r="G87" i="21" s="1"/>
  <c r="E87" i="21" a="1"/>
  <c r="E87" i="21" s="1"/>
  <c r="D167" i="21" a="1"/>
  <c r="D167" i="21" s="1"/>
  <c r="D283" i="21" a="1"/>
  <c r="D283" i="21" s="1"/>
  <c r="G183" i="21" a="1"/>
  <c r="G183" i="21" s="1"/>
  <c r="E183" i="21" a="1"/>
  <c r="E183" i="21" s="1"/>
  <c r="G215" i="21" a="1"/>
  <c r="G215" i="21" s="1"/>
  <c r="E215" i="21" a="1"/>
  <c r="E215" i="21" s="1"/>
  <c r="D243" i="21" a="1"/>
  <c r="D243" i="21" s="1"/>
  <c r="D103" i="21" a="1"/>
  <c r="D103" i="21" s="1"/>
  <c r="D27" i="21" a="1"/>
  <c r="D27" i="21" s="1"/>
  <c r="E179" i="21" a="1"/>
  <c r="E179" i="21" s="1"/>
  <c r="G179" i="21" a="1"/>
  <c r="G179" i="21" s="1"/>
  <c r="G135" i="21" a="1"/>
  <c r="G135" i="21" s="1"/>
  <c r="E135" i="21" a="1"/>
  <c r="E135" i="21" s="1"/>
  <c r="D299" i="21" a="1"/>
  <c r="D299" i="21" s="1"/>
  <c r="G199" i="21" a="1"/>
  <c r="G199" i="21" s="1"/>
  <c r="E199" i="21" a="1"/>
  <c r="E199" i="21" s="1"/>
  <c r="G11" i="21" a="1"/>
  <c r="G11" i="21" s="1"/>
  <c r="E11" i="21" a="1"/>
  <c r="E11" i="21" s="1"/>
  <c r="G131" i="21" a="1"/>
  <c r="G131" i="21" s="1"/>
  <c r="E131" i="21" a="1"/>
  <c r="E131" i="21" s="1"/>
  <c r="D159" i="21" a="1"/>
  <c r="D159" i="21" s="1"/>
  <c r="D195" i="21" a="1"/>
  <c r="D195" i="21" s="1"/>
  <c r="G175" i="21" a="1"/>
  <c r="G175" i="21" s="1"/>
  <c r="E175" i="21" a="1"/>
  <c r="E175" i="21" s="1"/>
  <c r="G203" i="21" a="1"/>
  <c r="G203" i="21" s="1"/>
  <c r="E203" i="21" a="1"/>
  <c r="E203" i="21" s="1"/>
  <c r="G271" i="21" a="1"/>
  <c r="G271" i="21" s="1"/>
  <c r="E271" i="21" a="1"/>
  <c r="E271" i="21" s="1"/>
  <c r="D135" i="21" a="1"/>
  <c r="D135" i="21" s="1"/>
  <c r="G47" i="21" a="1"/>
  <c r="G47" i="21" s="1"/>
  <c r="E47" i="21" a="1"/>
  <c r="E47" i="21" s="1"/>
  <c r="G143" i="21" a="1"/>
  <c r="G143" i="21" s="1"/>
  <c r="E143" i="21" a="1"/>
  <c r="E143" i="21" s="1"/>
  <c r="D119" i="21" a="1"/>
  <c r="D119" i="21" s="1"/>
  <c r="D87" i="21" a="1"/>
  <c r="D87" i="21" s="1"/>
  <c r="D235" i="21" a="1"/>
  <c r="D235" i="21" s="1"/>
  <c r="D139" i="21" a="1"/>
  <c r="D139" i="21" s="1"/>
  <c r="G195" i="21" a="1"/>
  <c r="G195" i="21" s="1"/>
  <c r="E195" i="21" a="1"/>
  <c r="E195" i="21" s="1"/>
  <c r="D219" i="21" a="1"/>
  <c r="D219" i="21" s="1"/>
  <c r="G91" i="21" a="1"/>
  <c r="G91" i="21" s="1"/>
  <c r="E91" i="21" a="1"/>
  <c r="E91" i="21" s="1"/>
  <c r="D155" i="21" a="1"/>
  <c r="D155" i="21" s="1"/>
  <c r="G43" i="21" a="1"/>
  <c r="G43" i="21" s="1"/>
  <c r="E43" i="21" a="1"/>
  <c r="E43" i="21" s="1"/>
  <c r="E27" i="21" a="1"/>
  <c r="E27" i="21" s="1"/>
  <c r="G51" i="21" a="1"/>
  <c r="G51" i="21" s="1"/>
  <c r="E51" i="21" a="1"/>
  <c r="E51" i="21" s="1"/>
  <c r="D171" i="21" a="1"/>
  <c r="D171" i="21" s="1"/>
  <c r="D215" i="21" a="1"/>
  <c r="D215" i="21" s="1"/>
  <c r="E287" i="21" a="1"/>
  <c r="E287" i="21" s="1"/>
  <c r="G287" i="21" a="1"/>
  <c r="G287" i="21" s="1"/>
  <c r="E167" i="21" a="1"/>
  <c r="E167" i="21" s="1"/>
  <c r="G167" i="21" a="1"/>
  <c r="G167" i="21" s="1"/>
  <c r="G299" i="21" a="1"/>
  <c r="G299" i="21" s="1"/>
  <c r="E299" i="21" a="1"/>
  <c r="E299" i="21" s="1"/>
  <c r="G39" i="21" a="1"/>
  <c r="G39" i="21" s="1"/>
  <c r="E39" i="21" a="1"/>
  <c r="E39" i="21" s="1"/>
  <c r="G3" i="21" a="1"/>
  <c r="G3" i="21" s="1"/>
  <c r="E3" i="21" a="1"/>
  <c r="E3" i="21" s="1"/>
  <c r="D3" i="21" a="1"/>
  <c r="D3" i="21" s="1"/>
  <c r="D79" i="21" a="1"/>
  <c r="D79" i="21" s="1"/>
  <c r="H79" i="21" s="1"/>
  <c r="D295" i="21" a="1"/>
  <c r="D295" i="21" s="1"/>
  <c r="G55" i="21" a="1"/>
  <c r="G55" i="21" s="1"/>
  <c r="E55" i="21" a="1"/>
  <c r="E55" i="21" s="1"/>
  <c r="D303" i="21" a="1"/>
  <c r="D303" i="21" s="1"/>
  <c r="D275" i="21" a="1"/>
  <c r="D275" i="21" s="1"/>
  <c r="D239" i="21" a="1"/>
  <c r="D239" i="21" s="1"/>
  <c r="G291" i="21" a="1"/>
  <c r="G291" i="21" s="1"/>
  <c r="E291" i="21" a="1"/>
  <c r="E291" i="21" s="1"/>
  <c r="G31" i="21" a="1"/>
  <c r="G31" i="21" s="1"/>
  <c r="E31" i="21" a="1"/>
  <c r="E31" i="21" s="1"/>
  <c r="D183" i="21" a="1"/>
  <c r="D183" i="21" s="1"/>
  <c r="D279" i="21" a="1"/>
  <c r="D279" i="21" s="1"/>
  <c r="G219" i="21" a="1"/>
  <c r="G219" i="21" s="1"/>
  <c r="E219" i="21" a="1"/>
  <c r="E219" i="21" s="1"/>
  <c r="G191" i="21" a="1"/>
  <c r="G191" i="21" s="1"/>
  <c r="E191" i="21" a="1"/>
  <c r="E191" i="21" s="1"/>
  <c r="D151" i="21" a="1"/>
  <c r="D151" i="21" s="1"/>
  <c r="D227" i="21" a="1"/>
  <c r="D227" i="21" s="1"/>
  <c r="H227" i="21" s="1"/>
  <c r="D31" i="21" a="1"/>
  <c r="D31" i="21" s="1"/>
  <c r="G187" i="21" a="1"/>
  <c r="G187" i="21" s="1"/>
  <c r="E187" i="21" a="1"/>
  <c r="E187" i="21" s="1"/>
  <c r="G83" i="21" a="1"/>
  <c r="G83" i="21" s="1"/>
  <c r="E83" i="21" a="1"/>
  <c r="E83" i="21" s="1"/>
  <c r="D35" i="21" a="1"/>
  <c r="D35" i="21" s="1"/>
  <c r="H35" i="21" s="1"/>
  <c r="D43" i="21" a="1"/>
  <c r="D43" i="21" s="1"/>
  <c r="D291" i="21" a="1"/>
  <c r="D291" i="21" s="1"/>
  <c r="G211" i="21" a="1"/>
  <c r="G211" i="21" s="1"/>
  <c r="E211" i="21" a="1"/>
  <c r="E211" i="21" s="1"/>
  <c r="H211" i="21" s="1"/>
  <c r="G115" i="21" a="1"/>
  <c r="G115" i="21" s="1"/>
  <c r="E115" i="21" a="1"/>
  <c r="E115" i="21" s="1"/>
  <c r="G35" i="21" a="1"/>
  <c r="G35" i="21" s="1"/>
  <c r="E35" i="21" a="1"/>
  <c r="E35" i="21" s="1"/>
  <c r="G119" i="21" a="1"/>
  <c r="G119" i="21" s="1"/>
  <c r="E119" i="21" a="1"/>
  <c r="E119" i="21" s="1"/>
  <c r="D11" i="21" a="1"/>
  <c r="D11" i="21" s="1"/>
  <c r="G171" i="21" a="1"/>
  <c r="G171" i="21" s="1"/>
  <c r="E171" i="21" a="1"/>
  <c r="E171" i="21" s="1"/>
  <c r="D179" i="21" a="1"/>
  <c r="D179" i="21" s="1"/>
  <c r="D163" i="21" a="1"/>
  <c r="D163" i="21" s="1"/>
  <c r="G243" i="21" a="1"/>
  <c r="G243" i="21" s="1"/>
  <c r="E243" i="21" a="1"/>
  <c r="E243" i="21" s="1"/>
  <c r="D23" i="21" a="1"/>
  <c r="D23" i="21" s="1"/>
  <c r="D75" i="21" a="1"/>
  <c r="D75" i="21" s="1"/>
  <c r="G263" i="21" a="1"/>
  <c r="G263" i="21" s="1"/>
  <c r="E263" i="21" a="1"/>
  <c r="E263" i="21" s="1"/>
  <c r="D55" i="21" a="1"/>
  <c r="D55" i="21" s="1"/>
  <c r="G239" i="21" a="1"/>
  <c r="G239" i="21" s="1"/>
  <c r="E239" i="21" a="1"/>
  <c r="E239" i="21" s="1"/>
  <c r="G151" i="21" a="1"/>
  <c r="G151" i="21" s="1"/>
  <c r="E151" i="21" a="1"/>
  <c r="E151" i="21" s="1"/>
  <c r="G71" i="21" a="1"/>
  <c r="G71" i="21" s="1"/>
  <c r="E71" i="21" a="1"/>
  <c r="E71" i="21" s="1"/>
  <c r="D247" i="21" a="1"/>
  <c r="D247" i="21" s="1"/>
  <c r="G15" i="21" a="1"/>
  <c r="G15" i="21" s="1"/>
  <c r="E15" i="21" a="1"/>
  <c r="E15" i="21" s="1"/>
  <c r="D67" i="21" a="1"/>
  <c r="D67" i="21" s="1"/>
  <c r="D267" i="21" a="1"/>
  <c r="D267" i="21" s="1"/>
  <c r="D191" i="21" a="1"/>
  <c r="D191" i="21" s="1"/>
  <c r="G235" i="21" a="1"/>
  <c r="G235" i="21" s="1"/>
  <c r="E235" i="21" a="1"/>
  <c r="E235" i="21" s="1"/>
  <c r="G227" i="21" a="1"/>
  <c r="G227" i="21" s="1"/>
  <c r="E227" i="21" a="1"/>
  <c r="E227" i="21" s="1"/>
  <c r="D203" i="21" a="1"/>
  <c r="D203" i="21" s="1"/>
  <c r="D255" i="21" a="1"/>
  <c r="D255" i="21" s="1"/>
  <c r="D83" i="21" a="1"/>
  <c r="D83" i="21" s="1"/>
  <c r="D95" i="21" a="1"/>
  <c r="D95" i="21" s="1"/>
  <c r="G255" i="21" a="1"/>
  <c r="G255" i="21" s="1"/>
  <c r="E255" i="21" a="1"/>
  <c r="E255" i="21" s="1"/>
  <c r="G259" i="21" a="1"/>
  <c r="G259" i="21" s="1"/>
  <c r="E259" i="21" a="1"/>
  <c r="E259" i="21" s="1"/>
  <c r="G75" i="21" a="1"/>
  <c r="G75" i="21" s="1"/>
  <c r="E75" i="21" a="1"/>
  <c r="E75" i="21" s="1"/>
  <c r="D175" i="21" a="1"/>
  <c r="D175" i="21" s="1"/>
  <c r="H175" i="21" s="1"/>
  <c r="G267" i="21" a="1"/>
  <c r="G267" i="21" s="1"/>
  <c r="E267" i="21" a="1"/>
  <c r="E267" i="21" s="1"/>
  <c r="D131" i="21" a="1"/>
  <c r="D131" i="21" s="1"/>
  <c r="D187" i="21" a="1"/>
  <c r="D187" i="21" s="1"/>
  <c r="G95" i="21" a="1"/>
  <c r="G95" i="21" s="1"/>
  <c r="E95" i="21" a="1"/>
  <c r="E95" i="21" s="1"/>
  <c r="E23" i="21" a="1"/>
  <c r="E23" i="21" s="1"/>
  <c r="D15" i="21" a="1"/>
  <c r="D15" i="21" s="1"/>
  <c r="D63" i="21" a="1"/>
  <c r="D63" i="21" s="1"/>
  <c r="D51" i="21" a="1"/>
  <c r="D51" i="21" s="1"/>
  <c r="H51" i="21" s="1"/>
  <c r="G275" i="21" a="1"/>
  <c r="G275" i="21" s="1"/>
  <c r="E275" i="21" a="1"/>
  <c r="E275" i="21" s="1"/>
  <c r="G251" i="21" a="1"/>
  <c r="G251" i="21" s="1"/>
  <c r="E251" i="21" a="1"/>
  <c r="E251" i="21" s="1"/>
  <c r="D115" i="21" a="1"/>
  <c r="D115" i="21" s="1"/>
  <c r="D39" i="21" a="1"/>
  <c r="D39" i="21" s="1"/>
  <c r="E107" i="21" a="1"/>
  <c r="E107" i="21" s="1"/>
  <c r="H107" i="21" s="1"/>
  <c r="G107" i="21" a="1"/>
  <c r="G107" i="21" s="1"/>
  <c r="G99" i="21" a="1"/>
  <c r="G99" i="21" s="1"/>
  <c r="E99" i="21" a="1"/>
  <c r="E99" i="21" s="1"/>
  <c r="G247" i="21" a="1"/>
  <c r="G247" i="21" s="1"/>
  <c r="E247" i="21" a="1"/>
  <c r="E247" i="21" s="1"/>
  <c r="G295" i="21" a="1"/>
  <c r="G295" i="21" s="1"/>
  <c r="E295" i="21" a="1"/>
  <c r="E295" i="21" s="1"/>
  <c r="D271" i="21" a="1"/>
  <c r="D271" i="21" s="1"/>
  <c r="H271" i="21" s="1"/>
  <c r="F107" i="21" a="1"/>
  <c r="F107" i="21" s="1"/>
  <c r="G29" i="12"/>
  <c r="F29" i="15" s="1"/>
  <c r="N29" i="15" s="1"/>
  <c r="F29" i="13"/>
  <c r="G29" i="15" s="1"/>
  <c r="O29" i="15" s="1"/>
  <c r="G29" i="13"/>
  <c r="H29" i="15" s="1"/>
  <c r="P29" i="15" s="1"/>
  <c r="G6" i="13"/>
  <c r="H6" i="15" s="1"/>
  <c r="G13" i="13"/>
  <c r="H13" i="15" s="1"/>
  <c r="P13" i="15" s="1"/>
  <c r="F6" i="12"/>
  <c r="E6" i="15" s="1"/>
  <c r="F13" i="9"/>
  <c r="C13" i="15" s="1"/>
  <c r="K13" i="15" s="1"/>
  <c r="G13" i="9"/>
  <c r="D13" i="15" s="1"/>
  <c r="L13" i="15" s="1"/>
  <c r="F6" i="9"/>
  <c r="C6" i="15" s="1"/>
  <c r="G6" i="9"/>
  <c r="D6" i="15" s="1"/>
  <c r="I49" i="15"/>
  <c r="Q49" i="15" s="1"/>
  <c r="E29" i="15"/>
  <c r="M29" i="15" s="1"/>
  <c r="J57" i="15"/>
  <c r="R57" i="15" s="1"/>
  <c r="J36" i="15"/>
  <c r="R36" i="15" s="1"/>
  <c r="I57" i="15"/>
  <c r="Q57" i="15" s="1"/>
  <c r="J45" i="15"/>
  <c r="R45" i="15" s="1"/>
  <c r="G13" i="15"/>
  <c r="O13" i="15" s="1"/>
  <c r="I45" i="15"/>
  <c r="Q45" i="15" s="1"/>
  <c r="I36" i="15"/>
  <c r="Q36" i="15" s="1"/>
  <c r="J49" i="15"/>
  <c r="R49" i="15" s="1"/>
  <c r="F6" i="15"/>
  <c r="G6" i="15"/>
  <c r="H264" i="21" l="1"/>
  <c r="H75" i="21"/>
  <c r="H31" i="21"/>
  <c r="H159" i="21"/>
  <c r="H27" i="21"/>
  <c r="H259" i="21"/>
  <c r="H190" i="21"/>
  <c r="H182" i="21"/>
  <c r="H26" i="21"/>
  <c r="H110" i="21"/>
  <c r="H206" i="21"/>
  <c r="H122" i="21"/>
  <c r="H22" i="21"/>
  <c r="H184" i="21"/>
  <c r="H45" i="21"/>
  <c r="H13" i="21"/>
  <c r="H144" i="21"/>
  <c r="H256" i="21"/>
  <c r="H201" i="21"/>
  <c r="H103" i="21"/>
  <c r="H118" i="21"/>
  <c r="H249" i="21"/>
  <c r="H187" i="21"/>
  <c r="H83" i="21"/>
  <c r="H247" i="21"/>
  <c r="H151" i="21"/>
  <c r="H275" i="21"/>
  <c r="H155" i="21"/>
  <c r="H91" i="21"/>
  <c r="H290" i="21"/>
  <c r="H134" i="21"/>
  <c r="H222" i="21"/>
  <c r="H186" i="21"/>
  <c r="H185" i="21"/>
  <c r="H216" i="21"/>
  <c r="H93" i="21"/>
  <c r="H81" i="21"/>
  <c r="H84" i="21"/>
  <c r="H64" i="21"/>
  <c r="H33" i="21"/>
  <c r="H104" i="21"/>
  <c r="H96" i="21"/>
  <c r="H217" i="21"/>
  <c r="H253" i="21"/>
  <c r="H287" i="21"/>
  <c r="H69" i="21"/>
  <c r="H265" i="21"/>
  <c r="H39" i="21"/>
  <c r="H255" i="21"/>
  <c r="H303" i="21"/>
  <c r="H286" i="21"/>
  <c r="H70" i="21"/>
  <c r="H238" i="21"/>
  <c r="H102" i="21"/>
  <c r="H274" i="21"/>
  <c r="H145" i="21"/>
  <c r="H188" i="21"/>
  <c r="H80" i="21"/>
  <c r="H169" i="21"/>
  <c r="H173" i="21"/>
  <c r="H239" i="21"/>
  <c r="H232" i="21"/>
  <c r="H52" i="21"/>
  <c r="H289" i="21"/>
  <c r="H203" i="21"/>
  <c r="H163" i="21"/>
  <c r="H135" i="21"/>
  <c r="H223" i="21"/>
  <c r="H263" i="21"/>
  <c r="H98" i="21"/>
  <c r="H230" i="21"/>
  <c r="H24" i="21"/>
  <c r="H109" i="21"/>
  <c r="H164" i="21"/>
  <c r="H97" i="21"/>
  <c r="H221" i="21"/>
  <c r="H44" i="21"/>
  <c r="H192" i="21"/>
  <c r="H63" i="21"/>
  <c r="H257" i="21"/>
  <c r="H23" i="21"/>
  <c r="H179" i="21"/>
  <c r="H291" i="21"/>
  <c r="H123" i="21"/>
  <c r="H74" i="21"/>
  <c r="H210" i="21"/>
  <c r="H34" i="21"/>
  <c r="H150" i="21"/>
  <c r="H226" i="21"/>
  <c r="H281" i="21"/>
  <c r="H224" i="21"/>
  <c r="H212" i="21"/>
  <c r="H292" i="21"/>
  <c r="H276" i="21"/>
  <c r="H108" i="21"/>
  <c r="H61" i="21"/>
  <c r="H124" i="21"/>
  <c r="H245" i="21"/>
  <c r="H297" i="21"/>
  <c r="H158" i="21"/>
  <c r="H90" i="21"/>
  <c r="H5" i="21"/>
  <c r="H125" i="21"/>
  <c r="H295" i="21"/>
  <c r="H149" i="21"/>
  <c r="H279" i="21"/>
  <c r="H299" i="21"/>
  <c r="H283" i="21"/>
  <c r="H130" i="21"/>
  <c r="H282" i="21"/>
  <c r="H269" i="21"/>
  <c r="H16" i="21"/>
  <c r="H204" i="21"/>
  <c r="H181" i="21"/>
  <c r="H272" i="21"/>
  <c r="H37" i="21"/>
  <c r="H304" i="21"/>
  <c r="H47" i="21"/>
  <c r="H176" i="21"/>
  <c r="H277" i="21"/>
  <c r="H233" i="21"/>
  <c r="H251" i="21"/>
  <c r="H136" i="21"/>
  <c r="H146" i="21"/>
  <c r="H40" i="21"/>
  <c r="H11" i="21"/>
  <c r="H183" i="21"/>
  <c r="H3" i="21"/>
  <c r="H171" i="21"/>
  <c r="H139" i="21"/>
  <c r="H167" i="21"/>
  <c r="H234" i="21"/>
  <c r="H242" i="21"/>
  <c r="H165" i="21"/>
  <c r="H88" i="21"/>
  <c r="H85" i="21"/>
  <c r="H305" i="21"/>
  <c r="H76" i="21"/>
  <c r="H213" i="21"/>
  <c r="H180" i="21"/>
  <c r="H172" i="21"/>
  <c r="H143" i="21"/>
  <c r="H115" i="21"/>
  <c r="H302" i="21"/>
  <c r="H209" i="21"/>
  <c r="H128" i="21"/>
  <c r="H219" i="21"/>
  <c r="H266" i="21"/>
  <c r="H196" i="21"/>
  <c r="H120" i="21"/>
  <c r="H56" i="21"/>
  <c r="H191" i="21"/>
  <c r="H235" i="21"/>
  <c r="H273" i="21"/>
  <c r="H236" i="21"/>
  <c r="H49" i="21"/>
  <c r="H36" i="21"/>
  <c r="H117" i="21"/>
  <c r="H205" i="21"/>
  <c r="H60" i="21"/>
  <c r="H28" i="21"/>
  <c r="H153" i="21"/>
  <c r="H261" i="21"/>
  <c r="H228" i="21"/>
  <c r="H252" i="21"/>
  <c r="H214" i="21"/>
  <c r="H243" i="21"/>
  <c r="H131" i="21"/>
  <c r="H178" i="21"/>
  <c r="H82" i="21"/>
  <c r="H280" i="21"/>
  <c r="H260" i="21"/>
  <c r="H215" i="21"/>
  <c r="H267" i="21"/>
  <c r="H87" i="21"/>
  <c r="H62" i="21"/>
  <c r="H294" i="21"/>
  <c r="H157" i="21"/>
  <c r="H229" i="21"/>
  <c r="H21" i="21"/>
  <c r="H4" i="21"/>
  <c r="H121" i="21"/>
  <c r="H168" i="21"/>
  <c r="H133" i="21"/>
  <c r="H9" i="21"/>
  <c r="H137" i="21"/>
  <c r="H293" i="21"/>
  <c r="H101" i="21"/>
  <c r="H25" i="21"/>
  <c r="H95" i="21"/>
  <c r="H152" i="21"/>
  <c r="H41" i="21"/>
  <c r="H197" i="21"/>
  <c r="H43" i="21"/>
  <c r="H7" i="21"/>
  <c r="H71" i="21"/>
  <c r="H30" i="21"/>
  <c r="H89" i="21"/>
  <c r="H284" i="21"/>
  <c r="H129" i="21"/>
  <c r="H55" i="21"/>
  <c r="H15" i="21"/>
  <c r="H67" i="21"/>
  <c r="H119" i="21"/>
  <c r="H195" i="21"/>
  <c r="H127" i="21"/>
  <c r="H199" i="21"/>
  <c r="H78" i="21"/>
  <c r="H126" i="21"/>
  <c r="H106" i="21"/>
  <c r="H270" i="21"/>
  <c r="H161" i="21"/>
  <c r="H77" i="21"/>
  <c r="H241" i="21"/>
  <c r="H73" i="21"/>
  <c r="H53" i="21"/>
  <c r="H29" i="21"/>
  <c r="N8" i="15"/>
  <c r="G27" i="21" s="1" a="1"/>
  <c r="G27" i="21" s="1"/>
  <c r="O8" i="15"/>
  <c r="M8" i="15"/>
  <c r="P8" i="15"/>
  <c r="G28" i="21" s="1" a="1"/>
  <c r="G28" i="21" s="1"/>
  <c r="K8" i="15"/>
  <c r="L8" i="15"/>
  <c r="G26" i="21" s="1" a="1"/>
  <c r="G26" i="21" s="1"/>
  <c r="P7" i="15"/>
  <c r="G24" i="21" s="1" a="1"/>
  <c r="G24" i="21" s="1"/>
  <c r="O7" i="15"/>
  <c r="F24" i="21" s="1" a="1"/>
  <c r="F24" i="21" s="1"/>
  <c r="I24" i="21" s="1"/>
  <c r="N7" i="15"/>
  <c r="G23" i="21" s="1" a="1"/>
  <c r="G23" i="21" s="1"/>
  <c r="M7" i="15"/>
  <c r="F23" i="21" s="1" a="1"/>
  <c r="F23" i="21" s="1"/>
  <c r="K7" i="15"/>
  <c r="F22" i="21" s="1" a="1"/>
  <c r="F22" i="21" s="1"/>
  <c r="L7" i="15"/>
  <c r="G22" i="21" s="1" a="1"/>
  <c r="G22" i="21" s="1"/>
  <c r="L6" i="15"/>
  <c r="G18" i="21" s="1" a="1"/>
  <c r="G18" i="21" s="1"/>
  <c r="I244" i="21"/>
  <c r="K244" i="21" s="1"/>
  <c r="L244" i="21" s="1"/>
  <c r="I113" i="21"/>
  <c r="K113" i="21" s="1"/>
  <c r="L113" i="21" s="1"/>
  <c r="K6" i="15"/>
  <c r="I107" i="21"/>
  <c r="K107" i="21" s="1"/>
  <c r="L107" i="21" s="1"/>
  <c r="I288" i="21"/>
  <c r="K288" i="21" s="1"/>
  <c r="L288" i="21" s="1"/>
  <c r="I65" i="21"/>
  <c r="K65" i="21" s="1"/>
  <c r="L65" i="21" s="1"/>
  <c r="I12" i="21"/>
  <c r="K12" i="21" s="1"/>
  <c r="L12" i="21" s="1"/>
  <c r="I140" i="21"/>
  <c r="K140" i="21" s="1"/>
  <c r="L140" i="21" s="1"/>
  <c r="I100" i="21"/>
  <c r="K100" i="21" s="1"/>
  <c r="L100" i="21" s="1"/>
  <c r="I211" i="21"/>
  <c r="K211" i="21" s="1"/>
  <c r="L211" i="21" s="1"/>
  <c r="I148" i="21"/>
  <c r="K148" i="21" s="1"/>
  <c r="L148" i="21" s="1"/>
  <c r="M6" i="15"/>
  <c r="D2" i="21" a="1"/>
  <c r="D2" i="21" s="1"/>
  <c r="H2" i="21" s="1"/>
  <c r="K2" i="15"/>
  <c r="K5" i="15"/>
  <c r="D20" i="21" a="1"/>
  <c r="D20" i="21" s="1"/>
  <c r="O6" i="15"/>
  <c r="R8" i="15"/>
  <c r="G29" i="21" s="1" a="1"/>
  <c r="G29" i="21" s="1"/>
  <c r="E6" i="21" a="1"/>
  <c r="E6" i="21" s="1"/>
  <c r="H6" i="21" s="1"/>
  <c r="L3" i="15"/>
  <c r="G6" i="21" s="1" a="1"/>
  <c r="G6" i="21" s="1"/>
  <c r="L5" i="15"/>
  <c r="G14" i="21" s="1" a="1"/>
  <c r="G14" i="21" s="1"/>
  <c r="E20" i="21" a="1"/>
  <c r="E20" i="21" s="1"/>
  <c r="P6" i="15"/>
  <c r="G20" i="21" s="1" a="1"/>
  <c r="G20" i="21" s="1"/>
  <c r="R7" i="15"/>
  <c r="G25" i="21" s="1" a="1"/>
  <c r="G25" i="21" s="1"/>
  <c r="Q8" i="15"/>
  <c r="K4" i="15"/>
  <c r="K3" i="15"/>
  <c r="L2" i="15"/>
  <c r="G2" i="21" s="1" a="1"/>
  <c r="G2" i="21" s="1"/>
  <c r="N6" i="15"/>
  <c r="G19" i="21" s="1" a="1"/>
  <c r="G19" i="21" s="1"/>
  <c r="Q7" i="15"/>
  <c r="F25" i="21" s="1" a="1"/>
  <c r="F25" i="21" s="1"/>
  <c r="L4" i="15"/>
  <c r="G10" i="21" s="1" a="1"/>
  <c r="G10" i="21" s="1"/>
  <c r="J86" i="21"/>
  <c r="K86" i="21"/>
  <c r="L86" i="21" s="1"/>
  <c r="J166" i="21"/>
  <c r="K166" i="21"/>
  <c r="L166" i="21" s="1"/>
  <c r="J170" i="21"/>
  <c r="K170" i="21"/>
  <c r="L170" i="21" s="1"/>
  <c r="J218" i="21"/>
  <c r="K218" i="21"/>
  <c r="L218" i="21" s="1"/>
  <c r="J254" i="21"/>
  <c r="K254" i="21"/>
  <c r="L254" i="21" s="1"/>
  <c r="J246" i="21"/>
  <c r="K246" i="21"/>
  <c r="L246" i="21" s="1"/>
  <c r="J42" i="21"/>
  <c r="K42" i="21"/>
  <c r="L42" i="21" s="1"/>
  <c r="J258" i="21"/>
  <c r="K258" i="21"/>
  <c r="L258" i="21" s="1"/>
  <c r="J58" i="21"/>
  <c r="K58" i="21"/>
  <c r="L58" i="21" s="1"/>
  <c r="J113" i="21"/>
  <c r="J66" i="21"/>
  <c r="K66" i="21"/>
  <c r="L66" i="21" s="1"/>
  <c r="J12" i="21"/>
  <c r="J262" i="21"/>
  <c r="K262" i="21"/>
  <c r="L262" i="21" s="1"/>
  <c r="J198" i="21"/>
  <c r="K198" i="21"/>
  <c r="L198" i="21" s="1"/>
  <c r="J114" i="21"/>
  <c r="K114" i="21"/>
  <c r="L114" i="21" s="1"/>
  <c r="J194" i="21"/>
  <c r="K194" i="21"/>
  <c r="L194" i="21" s="1"/>
  <c r="J54" i="21"/>
  <c r="K54" i="21"/>
  <c r="L54" i="21" s="1"/>
  <c r="J202" i="21"/>
  <c r="K202" i="21"/>
  <c r="L202" i="21" s="1"/>
  <c r="J250" i="21"/>
  <c r="K250" i="21"/>
  <c r="L250" i="21" s="1"/>
  <c r="J140" i="21"/>
  <c r="J94" i="21"/>
  <c r="K94" i="21"/>
  <c r="L94" i="21" s="1"/>
  <c r="J148" i="21"/>
  <c r="J288" i="21"/>
  <c r="J100" i="21"/>
  <c r="F241" i="21" a="1"/>
  <c r="F241" i="21" s="1"/>
  <c r="I241" i="21" s="1"/>
  <c r="F204" i="21" a="1"/>
  <c r="F204" i="21" s="1"/>
  <c r="I204" i="21" s="1"/>
  <c r="J244" i="21"/>
  <c r="F305" i="21" a="1"/>
  <c r="F305" i="21" s="1"/>
  <c r="I305" i="21" s="1"/>
  <c r="D177" i="21" a="1"/>
  <c r="D177" i="21" s="1"/>
  <c r="D48" i="21" a="1"/>
  <c r="D48" i="21" s="1"/>
  <c r="F281" i="21" a="1"/>
  <c r="F281" i="21" s="1"/>
  <c r="I281" i="21" s="1"/>
  <c r="F165" i="21" a="1"/>
  <c r="F165" i="21" s="1"/>
  <c r="I165" i="21" s="1"/>
  <c r="F173" i="21" a="1"/>
  <c r="F173" i="21" s="1"/>
  <c r="I173" i="21" s="1"/>
  <c r="F36" i="21" a="1"/>
  <c r="F36" i="21" s="1"/>
  <c r="I36" i="21" s="1"/>
  <c r="F197" i="21" a="1"/>
  <c r="F197" i="21" s="1"/>
  <c r="I197" i="21" s="1"/>
  <c r="F292" i="21" a="1"/>
  <c r="F292" i="21" s="1"/>
  <c r="I292" i="21" s="1"/>
  <c r="F168" i="21" a="1"/>
  <c r="F168" i="21" s="1"/>
  <c r="I168" i="21" s="1"/>
  <c r="F56" i="21" a="1"/>
  <c r="F56" i="21" s="1"/>
  <c r="I56" i="21" s="1"/>
  <c r="F268" i="21" a="1"/>
  <c r="F268" i="21" s="1"/>
  <c r="F61" i="21" a="1"/>
  <c r="F61" i="21" s="1"/>
  <c r="I61" i="21" s="1"/>
  <c r="F68" i="21" a="1"/>
  <c r="F68" i="21" s="1"/>
  <c r="I68" i="21" s="1"/>
  <c r="F260" i="21" a="1"/>
  <c r="F260" i="21" s="1"/>
  <c r="I260" i="21" s="1"/>
  <c r="F172" i="21" a="1"/>
  <c r="F172" i="21" s="1"/>
  <c r="I172" i="21" s="1"/>
  <c r="F249" i="21" a="1"/>
  <c r="F249" i="21" s="1"/>
  <c r="I249" i="21" s="1"/>
  <c r="F16" i="21" a="1"/>
  <c r="F16" i="21" s="1"/>
  <c r="I16" i="21" s="1"/>
  <c r="F189" i="21" a="1"/>
  <c r="F189" i="21" s="1"/>
  <c r="F248" i="21" a="1"/>
  <c r="F248" i="21" s="1"/>
  <c r="I248" i="21" s="1"/>
  <c r="G177" i="21" a="1"/>
  <c r="G177" i="21" s="1"/>
  <c r="E177" i="21" a="1"/>
  <c r="E177" i="21" s="1"/>
  <c r="F32" i="21" a="1"/>
  <c r="F32" i="21" s="1"/>
  <c r="I32" i="21" s="1"/>
  <c r="F264" i="21" a="1"/>
  <c r="F264" i="21" s="1"/>
  <c r="I264" i="21" s="1"/>
  <c r="F81" i="21" a="1"/>
  <c r="F81" i="21" s="1"/>
  <c r="I81" i="21" s="1"/>
  <c r="F57" i="21" a="1"/>
  <c r="F57" i="21" s="1"/>
  <c r="I57" i="21" s="1"/>
  <c r="F80" i="21" a="1"/>
  <c r="F80" i="21" s="1"/>
  <c r="I80" i="21" s="1"/>
  <c r="F232" i="21" a="1"/>
  <c r="F232" i="21" s="1"/>
  <c r="I232" i="21" s="1"/>
  <c r="D112" i="21" a="1"/>
  <c r="D112" i="21" s="1"/>
  <c r="H112" i="21" s="1"/>
  <c r="D225" i="21" a="1"/>
  <c r="D225" i="21" s="1"/>
  <c r="H225" i="21" s="1"/>
  <c r="F185" i="21" a="1"/>
  <c r="F185" i="21" s="1"/>
  <c r="I185" i="21" s="1"/>
  <c r="F236" i="21" a="1"/>
  <c r="F236" i="21" s="1"/>
  <c r="I236" i="21" s="1"/>
  <c r="F224" i="21" a="1"/>
  <c r="F224" i="21" s="1"/>
  <c r="I224" i="21" s="1"/>
  <c r="F120" i="21" a="1"/>
  <c r="F120" i="21" s="1"/>
  <c r="I120" i="21" s="1"/>
  <c r="F188" i="21" a="1"/>
  <c r="F188" i="21" s="1"/>
  <c r="I188" i="21" s="1"/>
  <c r="F21" i="21" a="1"/>
  <c r="F21" i="21" s="1"/>
  <c r="I21" i="21" s="1"/>
  <c r="F277" i="21" a="1"/>
  <c r="F277" i="21" s="1"/>
  <c r="I277" i="21" s="1"/>
  <c r="F4" i="21" a="1"/>
  <c r="F4" i="21" s="1"/>
  <c r="I4" i="21" s="1"/>
  <c r="F84" i="21" a="1"/>
  <c r="F84" i="21" s="1"/>
  <c r="I84" i="21" s="1"/>
  <c r="F156" i="21" a="1"/>
  <c r="F156" i="21" s="1"/>
  <c r="I156" i="21" s="1"/>
  <c r="F237" i="21" a="1"/>
  <c r="F237" i="21" s="1"/>
  <c r="I237" i="21" s="1"/>
  <c r="F276" i="21" a="1"/>
  <c r="F276" i="21" s="1"/>
  <c r="I276" i="21" s="1"/>
  <c r="F28" i="21" a="1"/>
  <c r="F28" i="21" s="1"/>
  <c r="F285" i="21" a="1"/>
  <c r="F285" i="21" s="1"/>
  <c r="I285" i="21" s="1"/>
  <c r="F33" i="21" a="1"/>
  <c r="F33" i="21" s="1"/>
  <c r="I33" i="21" s="1"/>
  <c r="F137" i="21" a="1"/>
  <c r="F137" i="21" s="1"/>
  <c r="I137" i="21" s="1"/>
  <c r="F44" i="21" a="1"/>
  <c r="F44" i="21" s="1"/>
  <c r="I44" i="21" s="1"/>
  <c r="F128" i="21" a="1"/>
  <c r="F128" i="21" s="1"/>
  <c r="I128" i="21" s="1"/>
  <c r="F252" i="21" a="1"/>
  <c r="F252" i="21" s="1"/>
  <c r="I252" i="21" s="1"/>
  <c r="F217" i="21" a="1"/>
  <c r="F217" i="21" s="1"/>
  <c r="I217" i="21" s="1"/>
  <c r="F289" i="21" a="1"/>
  <c r="F289" i="21" s="1"/>
  <c r="I289" i="21" s="1"/>
  <c r="G141" i="21" a="1"/>
  <c r="G141" i="21" s="1"/>
  <c r="E141" i="21" a="1"/>
  <c r="E141" i="21" s="1"/>
  <c r="F169" i="21" a="1"/>
  <c r="F169" i="21" s="1"/>
  <c r="I169" i="21" s="1"/>
  <c r="F72" i="21" a="1"/>
  <c r="F72" i="21" s="1"/>
  <c r="I72" i="21" s="1"/>
  <c r="F117" i="21" a="1"/>
  <c r="F117" i="21" s="1"/>
  <c r="I117" i="21" s="1"/>
  <c r="F164" i="21" a="1"/>
  <c r="F164" i="21" s="1"/>
  <c r="I164" i="21" s="1"/>
  <c r="F52" i="21" a="1"/>
  <c r="F52" i="21" s="1"/>
  <c r="I52" i="21" s="1"/>
  <c r="F145" i="21" a="1"/>
  <c r="F145" i="21" s="1"/>
  <c r="I145" i="21" s="1"/>
  <c r="F40" i="21" a="1"/>
  <c r="F40" i="21" s="1"/>
  <c r="I40" i="21" s="1"/>
  <c r="F116" i="21" a="1"/>
  <c r="F116" i="21" s="1"/>
  <c r="I116" i="21" s="1"/>
  <c r="F157" i="21" a="1"/>
  <c r="F157" i="21" s="1"/>
  <c r="I157" i="21" s="1"/>
  <c r="F161" i="21" a="1"/>
  <c r="F161" i="21" s="1"/>
  <c r="I161" i="21" s="1"/>
  <c r="F8" i="21" a="1"/>
  <c r="F8" i="21" s="1"/>
  <c r="I8" i="21" s="1"/>
  <c r="F200" i="21" a="1"/>
  <c r="F200" i="21" s="1"/>
  <c r="I200" i="21" s="1"/>
  <c r="F136" i="21" a="1"/>
  <c r="F136" i="21" s="1"/>
  <c r="I136" i="21" s="1"/>
  <c r="F257" i="21" a="1"/>
  <c r="F257" i="21" s="1"/>
  <c r="I257" i="21" s="1"/>
  <c r="F240" i="21" a="1"/>
  <c r="F240" i="21" s="1"/>
  <c r="I240" i="21" s="1"/>
  <c r="F5" i="21" a="1"/>
  <c r="F5" i="21" s="1"/>
  <c r="I5" i="21" s="1"/>
  <c r="F300" i="21" a="1"/>
  <c r="F300" i="21" s="1"/>
  <c r="I300" i="21" s="1"/>
  <c r="F201" i="21" a="1"/>
  <c r="F201" i="21" s="1"/>
  <c r="I201" i="21" s="1"/>
  <c r="F121" i="21" a="1"/>
  <c r="F121" i="21" s="1"/>
  <c r="I121" i="21" s="1"/>
  <c r="F41" i="21" a="1"/>
  <c r="F41" i="21" s="1"/>
  <c r="I41" i="21" s="1"/>
  <c r="F301" i="21" a="1"/>
  <c r="F301" i="21" s="1"/>
  <c r="I301" i="21" s="1"/>
  <c r="F272" i="21" a="1"/>
  <c r="F272" i="21" s="1"/>
  <c r="I272" i="21" s="1"/>
  <c r="F133" i="21" a="1"/>
  <c r="F133" i="21" s="1"/>
  <c r="I133" i="21" s="1"/>
  <c r="F64" i="21" a="1"/>
  <c r="F64" i="21" s="1"/>
  <c r="I64" i="21" s="1"/>
  <c r="F261" i="21" a="1"/>
  <c r="F261" i="21" s="1"/>
  <c r="I261" i="21" s="1"/>
  <c r="F209" i="21" a="1"/>
  <c r="F209" i="21" s="1"/>
  <c r="I209" i="21" s="1"/>
  <c r="J65" i="21"/>
  <c r="F124" i="21" a="1"/>
  <c r="F124" i="21" s="1"/>
  <c r="I124" i="21" s="1"/>
  <c r="F293" i="21" a="1"/>
  <c r="F293" i="21" s="1"/>
  <c r="I293" i="21" s="1"/>
  <c r="F101" i="21" a="1"/>
  <c r="F101" i="21" s="1"/>
  <c r="I101" i="21" s="1"/>
  <c r="F192" i="21" a="1"/>
  <c r="F192" i="21" s="1"/>
  <c r="I192" i="21" s="1"/>
  <c r="F149" i="21" a="1"/>
  <c r="F149" i="21" s="1"/>
  <c r="I149" i="21" s="1"/>
  <c r="F229" i="21" a="1"/>
  <c r="F229" i="21" s="1"/>
  <c r="I229" i="21" s="1"/>
  <c r="F280" i="21" a="1"/>
  <c r="F280" i="21" s="1"/>
  <c r="I280" i="21" s="1"/>
  <c r="F196" i="21" a="1"/>
  <c r="F196" i="21" s="1"/>
  <c r="I196" i="21" s="1"/>
  <c r="F212" i="21" a="1"/>
  <c r="F212" i="21" s="1"/>
  <c r="I212" i="21" s="1"/>
  <c r="F96" i="21" a="1"/>
  <c r="F96" i="21" s="1"/>
  <c r="I96" i="21" s="1"/>
  <c r="F152" i="21" a="1"/>
  <c r="F152" i="21" s="1"/>
  <c r="I152" i="21" s="1"/>
  <c r="F184" i="21" a="1"/>
  <c r="F184" i="21" s="1"/>
  <c r="I184" i="21" s="1"/>
  <c r="G225" i="21" a="1"/>
  <c r="G225" i="21" s="1"/>
  <c r="E225" i="21" a="1"/>
  <c r="E225" i="21" s="1"/>
  <c r="F296" i="21" a="1"/>
  <c r="F296" i="21" s="1"/>
  <c r="I296" i="21" s="1"/>
  <c r="F17" i="21" a="1"/>
  <c r="F17" i="21" s="1"/>
  <c r="I17" i="21" s="1"/>
  <c r="G48" i="21" a="1"/>
  <c r="G48" i="21" s="1"/>
  <c r="E48" i="21" a="1"/>
  <c r="E48" i="21" s="1"/>
  <c r="D193" i="21" a="1"/>
  <c r="D193" i="21" s="1"/>
  <c r="F273" i="21" a="1"/>
  <c r="F273" i="21" s="1"/>
  <c r="I273" i="21" s="1"/>
  <c r="F89" i="21" a="1"/>
  <c r="F89" i="21" s="1"/>
  <c r="I89" i="21" s="1"/>
  <c r="F88" i="21" a="1"/>
  <c r="F88" i="21" s="1"/>
  <c r="I88" i="21" s="1"/>
  <c r="F125" i="21" a="1"/>
  <c r="F125" i="21" s="1"/>
  <c r="I125" i="21" s="1"/>
  <c r="F220" i="21" a="1"/>
  <c r="F220" i="21" s="1"/>
  <c r="I220" i="21" s="1"/>
  <c r="F93" i="21" a="1"/>
  <c r="F93" i="21" s="1"/>
  <c r="I93" i="21" s="1"/>
  <c r="F85" i="21" a="1"/>
  <c r="F85" i="21" s="1"/>
  <c r="I85" i="21" s="1"/>
  <c r="F205" i="21" a="1"/>
  <c r="F205" i="21" s="1"/>
  <c r="I205" i="21" s="1"/>
  <c r="F76" i="21" a="1"/>
  <c r="F76" i="21" s="1"/>
  <c r="I76" i="21" s="1"/>
  <c r="F97" i="21" a="1"/>
  <c r="F97" i="21" s="1"/>
  <c r="I97" i="21" s="1"/>
  <c r="F73" i="21" a="1"/>
  <c r="F73" i="21" s="1"/>
  <c r="I73" i="21" s="1"/>
  <c r="F213" i="21" a="1"/>
  <c r="F213" i="21" s="1"/>
  <c r="I213" i="21" s="1"/>
  <c r="F9" i="21" a="1"/>
  <c r="F9" i="21" s="1"/>
  <c r="I9" i="21" s="1"/>
  <c r="F104" i="21" a="1"/>
  <c r="F104" i="21" s="1"/>
  <c r="I104" i="21" s="1"/>
  <c r="F132" i="21" a="1"/>
  <c r="F132" i="21" s="1"/>
  <c r="I132" i="21" s="1"/>
  <c r="F180" i="21" a="1"/>
  <c r="F180" i="21" s="1"/>
  <c r="I180" i="21" s="1"/>
  <c r="F208" i="21" a="1"/>
  <c r="F208" i="21" s="1"/>
  <c r="I208" i="21" s="1"/>
  <c r="F53" i="21" a="1"/>
  <c r="F53" i="21" s="1"/>
  <c r="I53" i="21" s="1"/>
  <c r="F245" i="21" a="1"/>
  <c r="F245" i="21" s="1"/>
  <c r="I245" i="21" s="1"/>
  <c r="F256" i="21" a="1"/>
  <c r="F256" i="21" s="1"/>
  <c r="I256" i="21" s="1"/>
  <c r="F45" i="21" a="1"/>
  <c r="F45" i="21" s="1"/>
  <c r="I45" i="21" s="1"/>
  <c r="F253" i="21" a="1"/>
  <c r="F253" i="21" s="1"/>
  <c r="I253" i="21" s="1"/>
  <c r="G193" i="21" a="1"/>
  <c r="G193" i="21" s="1"/>
  <c r="E193" i="21" a="1"/>
  <c r="E193" i="21" s="1"/>
  <c r="F77" i="21" a="1"/>
  <c r="F77" i="21" s="1"/>
  <c r="I77" i="21" s="1"/>
  <c r="F284" i="21" a="1"/>
  <c r="F284" i="21" s="1"/>
  <c r="I284" i="21" s="1"/>
  <c r="D141" i="21" a="1"/>
  <c r="D141" i="21" s="1"/>
  <c r="G112" i="21" a="1"/>
  <c r="G112" i="21" s="1"/>
  <c r="E112" i="21" a="1"/>
  <c r="E112" i="21" s="1"/>
  <c r="F109" i="21" a="1"/>
  <c r="F109" i="21" s="1"/>
  <c r="I109" i="21" s="1"/>
  <c r="F69" i="21" a="1"/>
  <c r="F69" i="21" s="1"/>
  <c r="I69" i="21" s="1"/>
  <c r="F269" i="21" a="1"/>
  <c r="F269" i="21" s="1"/>
  <c r="I269" i="21" s="1"/>
  <c r="F216" i="21" a="1"/>
  <c r="F216" i="21" s="1"/>
  <c r="I216" i="21" s="1"/>
  <c r="F49" i="21" a="1"/>
  <c r="F49" i="21" s="1"/>
  <c r="I49" i="21" s="1"/>
  <c r="F13" i="21" a="1"/>
  <c r="F13" i="21" s="1"/>
  <c r="I13" i="21" s="1"/>
  <c r="F160" i="21" a="1"/>
  <c r="F160" i="21" s="1"/>
  <c r="I160" i="21" s="1"/>
  <c r="F105" i="21" a="1"/>
  <c r="F105" i="21" s="1"/>
  <c r="I105" i="21" s="1"/>
  <c r="F233" i="21" a="1"/>
  <c r="F233" i="21" s="1"/>
  <c r="I233" i="21" s="1"/>
  <c r="F265" i="21" a="1"/>
  <c r="F265" i="21" s="1"/>
  <c r="I265" i="21" s="1"/>
  <c r="F181" i="21" a="1"/>
  <c r="F181" i="21" s="1"/>
  <c r="I181" i="21" s="1"/>
  <c r="F60" i="21" a="1"/>
  <c r="F60" i="21" s="1"/>
  <c r="I60" i="21" s="1"/>
  <c r="F144" i="21" a="1"/>
  <c r="F144" i="21" s="1"/>
  <c r="I144" i="21" s="1"/>
  <c r="F153" i="21" a="1"/>
  <c r="F153" i="21" s="1"/>
  <c r="I153" i="21" s="1"/>
  <c r="F108" i="21" a="1"/>
  <c r="F108" i="21" s="1"/>
  <c r="I108" i="21" s="1"/>
  <c r="F221" i="21" a="1"/>
  <c r="F221" i="21" s="1"/>
  <c r="I221" i="21" s="1"/>
  <c r="F37" i="21" a="1"/>
  <c r="F37" i="21" s="1"/>
  <c r="I37" i="21" s="1"/>
  <c r="F176" i="21" a="1"/>
  <c r="F176" i="21" s="1"/>
  <c r="I176" i="21" s="1"/>
  <c r="F92" i="21" a="1"/>
  <c r="F92" i="21" s="1"/>
  <c r="I92" i="21" s="1"/>
  <c r="F228" i="21" a="1"/>
  <c r="F228" i="21" s="1"/>
  <c r="I228" i="21" s="1"/>
  <c r="F304" i="21" a="1"/>
  <c r="F304" i="21" s="1"/>
  <c r="I304" i="21" s="1"/>
  <c r="F297" i="21" a="1"/>
  <c r="F297" i="21" s="1"/>
  <c r="I297" i="21" s="1"/>
  <c r="F129" i="21" a="1"/>
  <c r="F129" i="21" s="1"/>
  <c r="I129" i="21" s="1"/>
  <c r="F106" i="21" a="1"/>
  <c r="F106" i="21" s="1"/>
  <c r="I106" i="21" s="1"/>
  <c r="F82" i="21" a="1"/>
  <c r="F82" i="21" s="1"/>
  <c r="I82" i="21" s="1"/>
  <c r="G46" i="21" a="1"/>
  <c r="G46" i="21" s="1"/>
  <c r="E46" i="21" a="1"/>
  <c r="E46" i="21" s="1"/>
  <c r="J107" i="21"/>
  <c r="F286" i="21" a="1"/>
  <c r="F286" i="21" s="1"/>
  <c r="I286" i="21" s="1"/>
  <c r="F62" i="21" a="1"/>
  <c r="F62" i="21" s="1"/>
  <c r="I62" i="21" s="1"/>
  <c r="F126" i="21" a="1"/>
  <c r="F126" i="21" s="1"/>
  <c r="I126" i="21" s="1"/>
  <c r="F242" i="21" a="1"/>
  <c r="F242" i="21" s="1"/>
  <c r="I242" i="21" s="1"/>
  <c r="F50" i="21" a="1"/>
  <c r="F50" i="21" s="1"/>
  <c r="I50" i="21" s="1"/>
  <c r="F302" i="21" a="1"/>
  <c r="F302" i="21" s="1"/>
  <c r="I302" i="21" s="1"/>
  <c r="F38" i="21" a="1"/>
  <c r="F38" i="21" s="1"/>
  <c r="I38" i="21" s="1"/>
  <c r="F294" i="21" a="1"/>
  <c r="F294" i="21" s="1"/>
  <c r="I294" i="21" s="1"/>
  <c r="F210" i="21" a="1"/>
  <c r="F210" i="21" s="1"/>
  <c r="I210" i="21" s="1"/>
  <c r="F190" i="21" a="1"/>
  <c r="F190" i="21" s="1"/>
  <c r="I190" i="21" s="1"/>
  <c r="F98" i="21" a="1"/>
  <c r="F98" i="21" s="1"/>
  <c r="I98" i="21" s="1"/>
  <c r="F178" i="21" a="1"/>
  <c r="F178" i="21" s="1"/>
  <c r="I178" i="21" s="1"/>
  <c r="F206" i="21" a="1"/>
  <c r="F206" i="21" s="1"/>
  <c r="I206" i="21" s="1"/>
  <c r="F150" i="21" a="1"/>
  <c r="F150" i="21" s="1"/>
  <c r="I150" i="21" s="1"/>
  <c r="F134" i="21" a="1"/>
  <c r="F134" i="21" s="1"/>
  <c r="I134" i="21" s="1"/>
  <c r="F26" i="21" a="1"/>
  <c r="F26" i="21" s="1"/>
  <c r="I26" i="21" s="1"/>
  <c r="F230" i="21" a="1"/>
  <c r="F230" i="21" s="1"/>
  <c r="I230" i="21" s="1"/>
  <c r="F234" i="21" a="1"/>
  <c r="F234" i="21" s="1"/>
  <c r="I234" i="21" s="1"/>
  <c r="F238" i="21" a="1"/>
  <c r="F238" i="21" s="1"/>
  <c r="I238" i="21" s="1"/>
  <c r="F78" i="21" a="1"/>
  <c r="F78" i="21" s="1"/>
  <c r="I78" i="21" s="1"/>
  <c r="F110" i="21" a="1"/>
  <c r="F110" i="21" s="1"/>
  <c r="I110" i="21" s="1"/>
  <c r="F146" i="21" a="1"/>
  <c r="F146" i="21" s="1"/>
  <c r="I146" i="21" s="1"/>
  <c r="F102" i="21" a="1"/>
  <c r="F102" i="21" s="1"/>
  <c r="I102" i="21" s="1"/>
  <c r="F122" i="21" a="1"/>
  <c r="F122" i="21" s="1"/>
  <c r="I122" i="21" s="1"/>
  <c r="F130" i="21" a="1"/>
  <c r="F130" i="21" s="1"/>
  <c r="I130" i="21" s="1"/>
  <c r="F226" i="21" a="1"/>
  <c r="F226" i="21" s="1"/>
  <c r="I226" i="21" s="1"/>
  <c r="F270" i="21" a="1"/>
  <c r="F270" i="21" s="1"/>
  <c r="I270" i="21" s="1"/>
  <c r="F282" i="21" a="1"/>
  <c r="F282" i="21" s="1"/>
  <c r="I282" i="21" s="1"/>
  <c r="D46" i="21" a="1"/>
  <c r="D46" i="21" s="1"/>
  <c r="H46" i="21" s="1"/>
  <c r="F162" i="21" a="1"/>
  <c r="F162" i="21" s="1"/>
  <c r="I162" i="21" s="1"/>
  <c r="D18" i="21" a="1"/>
  <c r="D18" i="21" s="1"/>
  <c r="F34" i="21" a="1"/>
  <c r="F34" i="21" s="1"/>
  <c r="I34" i="21" s="1"/>
  <c r="F70" i="21" a="1"/>
  <c r="F70" i="21" s="1"/>
  <c r="I70" i="21" s="1"/>
  <c r="F290" i="21" a="1"/>
  <c r="F290" i="21" s="1"/>
  <c r="I290" i="21" s="1"/>
  <c r="F158" i="21" a="1"/>
  <c r="F158" i="21" s="1"/>
  <c r="I158" i="21" s="1"/>
  <c r="F174" i="21" a="1"/>
  <c r="F174" i="21" s="1"/>
  <c r="I174" i="21" s="1"/>
  <c r="F298" i="21" a="1"/>
  <c r="F298" i="21" s="1"/>
  <c r="I298" i="21" s="1"/>
  <c r="F274" i="21" a="1"/>
  <c r="F274" i="21" s="1"/>
  <c r="I274" i="21" s="1"/>
  <c r="F154" i="21" a="1"/>
  <c r="F154" i="21" s="1"/>
  <c r="I154" i="21" s="1"/>
  <c r="F142" i="21" a="1"/>
  <c r="F142" i="21" s="1"/>
  <c r="I142" i="21" s="1"/>
  <c r="F214" i="21" a="1"/>
  <c r="F214" i="21" s="1"/>
  <c r="I214" i="21" s="1"/>
  <c r="F90" i="21" a="1"/>
  <c r="F90" i="21" s="1"/>
  <c r="I90" i="21" s="1"/>
  <c r="F278" i="21" a="1"/>
  <c r="F278" i="21" s="1"/>
  <c r="I278" i="21" s="1"/>
  <c r="F30" i="21" a="1"/>
  <c r="F30" i="21" s="1"/>
  <c r="I30" i="21" s="1"/>
  <c r="F138" i="21" a="1"/>
  <c r="F138" i="21" s="1"/>
  <c r="I138" i="21" s="1"/>
  <c r="E18" i="21" a="1"/>
  <c r="E18" i="21" s="1"/>
  <c r="F74" i="21" a="1"/>
  <c r="F74" i="21" s="1"/>
  <c r="I74" i="21" s="1"/>
  <c r="F118" i="21" a="1"/>
  <c r="F118" i="21" s="1"/>
  <c r="I118" i="21" s="1"/>
  <c r="F222" i="21" a="1"/>
  <c r="F222" i="21" s="1"/>
  <c r="I222" i="21" s="1"/>
  <c r="F182" i="21" a="1"/>
  <c r="F182" i="21" s="1"/>
  <c r="I182" i="21" s="1"/>
  <c r="F266" i="21" a="1"/>
  <c r="F266" i="21" s="1"/>
  <c r="I266" i="21" s="1"/>
  <c r="F186" i="21" a="1"/>
  <c r="F186" i="21" s="1"/>
  <c r="I186" i="21" s="1"/>
  <c r="F279" i="21" a="1"/>
  <c r="F279" i="21" s="1"/>
  <c r="I279" i="21" s="1"/>
  <c r="F303" i="21" a="1"/>
  <c r="F303" i="21" s="1"/>
  <c r="I303" i="21" s="1"/>
  <c r="F195" i="21" a="1"/>
  <c r="F195" i="21" s="1"/>
  <c r="I195" i="21" s="1"/>
  <c r="E19" i="21" a="1"/>
  <c r="E19" i="21" s="1"/>
  <c r="F59" i="21" a="1"/>
  <c r="F59" i="21" s="1"/>
  <c r="I59" i="21" s="1"/>
  <c r="J211" i="21"/>
  <c r="F159" i="21" a="1"/>
  <c r="F159" i="21" s="1"/>
  <c r="I159" i="21" s="1"/>
  <c r="F39" i="21" a="1"/>
  <c r="F39" i="21" s="1"/>
  <c r="I39" i="21" s="1"/>
  <c r="F15" i="21" a="1"/>
  <c r="F15" i="21" s="1"/>
  <c r="I15" i="21" s="1"/>
  <c r="F175" i="21" a="1"/>
  <c r="F175" i="21" s="1"/>
  <c r="I175" i="21" s="1"/>
  <c r="F255" i="21" a="1"/>
  <c r="F255" i="21" s="1"/>
  <c r="I255" i="21" s="1"/>
  <c r="F67" i="21" a="1"/>
  <c r="F67" i="21" s="1"/>
  <c r="I67" i="21" s="1"/>
  <c r="F55" i="21" a="1"/>
  <c r="F55" i="21" s="1"/>
  <c r="I55" i="21" s="1"/>
  <c r="F179" i="21" a="1"/>
  <c r="F179" i="21" s="1"/>
  <c r="I179" i="21" s="1"/>
  <c r="F99" i="21" a="1"/>
  <c r="F99" i="21" s="1"/>
  <c r="I99" i="21" s="1"/>
  <c r="F147" i="21" a="1"/>
  <c r="F147" i="21" s="1"/>
  <c r="I147" i="21" s="1"/>
  <c r="F271" i="21" a="1"/>
  <c r="F271" i="21" s="1"/>
  <c r="I271" i="21" s="1"/>
  <c r="F31" i="21" a="1"/>
  <c r="F31" i="21" s="1"/>
  <c r="I31" i="21" s="1"/>
  <c r="F183" i="21" a="1"/>
  <c r="F183" i="21" s="1"/>
  <c r="I183" i="21" s="1"/>
  <c r="F115" i="21" a="1"/>
  <c r="F115" i="21" s="1"/>
  <c r="I115" i="21" s="1"/>
  <c r="F203" i="21" a="1"/>
  <c r="F203" i="21" s="1"/>
  <c r="I203" i="21" s="1"/>
  <c r="F283" i="21" a="1"/>
  <c r="F283" i="21" s="1"/>
  <c r="I283" i="21" s="1"/>
  <c r="F231" i="21" a="1"/>
  <c r="F231" i="21" s="1"/>
  <c r="I231" i="21" s="1"/>
  <c r="F91" i="21" a="1"/>
  <c r="F91" i="21" s="1"/>
  <c r="I91" i="21" s="1"/>
  <c r="F235" i="21" a="1"/>
  <c r="F235" i="21" s="1"/>
  <c r="I235" i="21" s="1"/>
  <c r="F103" i="21" a="1"/>
  <c r="F103" i="21" s="1"/>
  <c r="I103" i="21" s="1"/>
  <c r="F123" i="21" a="1"/>
  <c r="F123" i="21" s="1"/>
  <c r="I123" i="21" s="1"/>
  <c r="F199" i="21" a="1"/>
  <c r="F199" i="21" s="1"/>
  <c r="I199" i="21" s="1"/>
  <c r="F3" i="21" a="1"/>
  <c r="F3" i="21" s="1"/>
  <c r="I3" i="21" s="1"/>
  <c r="F291" i="21" a="1"/>
  <c r="F291" i="21" s="1"/>
  <c r="I291" i="21" s="1"/>
  <c r="F227" i="21" a="1"/>
  <c r="F227" i="21" s="1"/>
  <c r="I227" i="21" s="1"/>
  <c r="F139" i="21" a="1"/>
  <c r="F139" i="21" s="1"/>
  <c r="I139" i="21" s="1"/>
  <c r="F247" i="21" a="1"/>
  <c r="F247" i="21" s="1"/>
  <c r="I247" i="21" s="1"/>
  <c r="F75" i="21" a="1"/>
  <c r="F75" i="21" s="1"/>
  <c r="I75" i="21" s="1"/>
  <c r="F11" i="21" a="1"/>
  <c r="F11" i="21" s="1"/>
  <c r="I11" i="21" s="1"/>
  <c r="F223" i="21" a="1"/>
  <c r="F223" i="21" s="1"/>
  <c r="I223" i="21" s="1"/>
  <c r="F47" i="21" a="1"/>
  <c r="F47" i="21" s="1"/>
  <c r="I47" i="21" s="1"/>
  <c r="F43" i="21" a="1"/>
  <c r="F43" i="21" s="1"/>
  <c r="I43" i="21" s="1"/>
  <c r="F151" i="21" a="1"/>
  <c r="F151" i="21" s="1"/>
  <c r="I151" i="21" s="1"/>
  <c r="F79" i="21" a="1"/>
  <c r="F79" i="21" s="1"/>
  <c r="I79" i="21" s="1"/>
  <c r="F187" i="21" a="1"/>
  <c r="F187" i="21" s="1"/>
  <c r="I187" i="21" s="1"/>
  <c r="F155" i="21" a="1"/>
  <c r="F155" i="21" s="1"/>
  <c r="I155" i="21" s="1"/>
  <c r="F87" i="21" a="1"/>
  <c r="F87" i="21" s="1"/>
  <c r="I87" i="21" s="1"/>
  <c r="F295" i="21" a="1"/>
  <c r="F295" i="21" s="1"/>
  <c r="I295" i="21" s="1"/>
  <c r="F35" i="21" a="1"/>
  <c r="F35" i="21" s="1"/>
  <c r="I35" i="21" s="1"/>
  <c r="F239" i="21" a="1"/>
  <c r="F239" i="21" s="1"/>
  <c r="I239" i="21" s="1"/>
  <c r="F51" i="21" a="1"/>
  <c r="F51" i="21" s="1"/>
  <c r="I51" i="21" s="1"/>
  <c r="F131" i="21" a="1"/>
  <c r="F131" i="21" s="1"/>
  <c r="I131" i="21" s="1"/>
  <c r="F95" i="21" a="1"/>
  <c r="F95" i="21" s="1"/>
  <c r="I95" i="21" s="1"/>
  <c r="F191" i="21" a="1"/>
  <c r="F191" i="21" s="1"/>
  <c r="I191" i="21" s="1"/>
  <c r="F243" i="21" a="1"/>
  <c r="F243" i="21" s="1"/>
  <c r="I243" i="21" s="1"/>
  <c r="F127" i="21" a="1"/>
  <c r="F127" i="21" s="1"/>
  <c r="I127" i="21" s="1"/>
  <c r="F7" i="21" a="1"/>
  <c r="F7" i="21" s="1"/>
  <c r="I7" i="21" s="1"/>
  <c r="F263" i="21" a="1"/>
  <c r="F263" i="21" s="1"/>
  <c r="I263" i="21" s="1"/>
  <c r="F71" i="21" a="1"/>
  <c r="F71" i="21" s="1"/>
  <c r="I71" i="21" s="1"/>
  <c r="F135" i="21" a="1"/>
  <c r="F135" i="21" s="1"/>
  <c r="I135" i="21" s="1"/>
  <c r="F27" i="21" a="1"/>
  <c r="F27" i="21" s="1"/>
  <c r="I27" i="21" s="1"/>
  <c r="F167" i="21" a="1"/>
  <c r="F167" i="21" s="1"/>
  <c r="I167" i="21" s="1"/>
  <c r="F287" i="21" a="1"/>
  <c r="F287" i="21" s="1"/>
  <c r="I287" i="21" s="1"/>
  <c r="D111" i="21" a="1"/>
  <c r="D111" i="21" s="1"/>
  <c r="H111" i="21" s="1"/>
  <c r="D19" i="21" a="1"/>
  <c r="D19" i="21" s="1"/>
  <c r="H19" i="21" s="1"/>
  <c r="F275" i="21" a="1"/>
  <c r="F275" i="21" s="1"/>
  <c r="I275" i="21" s="1"/>
  <c r="F215" i="21" a="1"/>
  <c r="F215" i="21" s="1"/>
  <c r="I215" i="21" s="1"/>
  <c r="F119" i="21" a="1"/>
  <c r="F119" i="21" s="1"/>
  <c r="I119" i="21" s="1"/>
  <c r="F171" i="21" a="1"/>
  <c r="F171" i="21" s="1"/>
  <c r="I171" i="21" s="1"/>
  <c r="G111" i="21" a="1"/>
  <c r="G111" i="21" s="1"/>
  <c r="E111" i="21" a="1"/>
  <c r="E111" i="21" s="1"/>
  <c r="F63" i="21" a="1"/>
  <c r="F63" i="21" s="1"/>
  <c r="I63" i="21" s="1"/>
  <c r="F83" i="21" a="1"/>
  <c r="F83" i="21" s="1"/>
  <c r="I83" i="21" s="1"/>
  <c r="F267" i="21" a="1"/>
  <c r="F267" i="21" s="1"/>
  <c r="I267" i="21" s="1"/>
  <c r="F163" i="21" a="1"/>
  <c r="F163" i="21" s="1"/>
  <c r="I163" i="21" s="1"/>
  <c r="F219" i="21" a="1"/>
  <c r="F219" i="21" s="1"/>
  <c r="I219" i="21" s="1"/>
  <c r="F299" i="21" a="1"/>
  <c r="F299" i="21" s="1"/>
  <c r="I299" i="21" s="1"/>
  <c r="F251" i="21" a="1"/>
  <c r="F251" i="21" s="1"/>
  <c r="I251" i="21" s="1"/>
  <c r="F143" i="21" a="1"/>
  <c r="F143" i="21" s="1"/>
  <c r="I143" i="21" s="1"/>
  <c r="F259" i="21" a="1"/>
  <c r="F259" i="21" s="1"/>
  <c r="I259" i="21" s="1"/>
  <c r="F207" i="21" a="1"/>
  <c r="F207" i="21" s="1"/>
  <c r="I207" i="21" s="1"/>
  <c r="H177" i="21" l="1"/>
  <c r="H18" i="21"/>
  <c r="H141" i="21"/>
  <c r="I28" i="21"/>
  <c r="H48" i="21"/>
  <c r="H193" i="21"/>
  <c r="H20" i="21"/>
  <c r="I23" i="21"/>
  <c r="I22" i="21"/>
  <c r="I25" i="21"/>
  <c r="I189" i="21"/>
  <c r="K189" i="21" s="1"/>
  <c r="L189" i="21" s="1"/>
  <c r="I268" i="21"/>
  <c r="K268" i="21" s="1"/>
  <c r="L268" i="21" s="1"/>
  <c r="F14" i="21" a="1"/>
  <c r="F14" i="21" s="1"/>
  <c r="F2" i="21" a="1"/>
  <c r="F2" i="21" s="1"/>
  <c r="I2" i="21" s="1"/>
  <c r="J189" i="21"/>
  <c r="J268" i="21"/>
  <c r="J203" i="21"/>
  <c r="K203" i="21"/>
  <c r="L203" i="21" s="1"/>
  <c r="J72" i="21"/>
  <c r="K72" i="21"/>
  <c r="L72" i="21" s="1"/>
  <c r="J71" i="21"/>
  <c r="K71" i="21"/>
  <c r="L71" i="21" s="1"/>
  <c r="J131" i="21"/>
  <c r="K131" i="21"/>
  <c r="L131" i="21" s="1"/>
  <c r="J4" i="21"/>
  <c r="K4" i="21"/>
  <c r="L4" i="21" s="1"/>
  <c r="J92" i="21"/>
  <c r="K92" i="21"/>
  <c r="L92" i="21" s="1"/>
  <c r="J259" i="21"/>
  <c r="K259" i="21"/>
  <c r="L259" i="21" s="1"/>
  <c r="J214" i="21"/>
  <c r="K214" i="21"/>
  <c r="L214" i="21" s="1"/>
  <c r="J145" i="21"/>
  <c r="K145" i="21"/>
  <c r="L145" i="21" s="1"/>
  <c r="J277" i="21"/>
  <c r="K277" i="21"/>
  <c r="L277" i="21" s="1"/>
  <c r="J168" i="21"/>
  <c r="K168" i="21"/>
  <c r="L168" i="21" s="1"/>
  <c r="J303" i="21"/>
  <c r="K303" i="21"/>
  <c r="L303" i="21" s="1"/>
  <c r="J302" i="21"/>
  <c r="K302" i="21"/>
  <c r="L302" i="21" s="1"/>
  <c r="J297" i="21"/>
  <c r="K297" i="21"/>
  <c r="L297" i="21" s="1"/>
  <c r="J125" i="21"/>
  <c r="K125" i="21"/>
  <c r="L125" i="21" s="1"/>
  <c r="J96" i="21"/>
  <c r="K96" i="21"/>
  <c r="L96" i="21" s="1"/>
  <c r="J237" i="21"/>
  <c r="K237" i="21"/>
  <c r="L237" i="21" s="1"/>
  <c r="J99" i="21"/>
  <c r="K99" i="21"/>
  <c r="L99" i="21" s="1"/>
  <c r="J30" i="21"/>
  <c r="K30" i="21"/>
  <c r="L30" i="21" s="1"/>
  <c r="J34" i="21"/>
  <c r="K34" i="21"/>
  <c r="L34" i="21" s="1"/>
  <c r="J109" i="21"/>
  <c r="K109" i="21"/>
  <c r="L109" i="21" s="1"/>
  <c r="J24" i="21"/>
  <c r="J128" i="21"/>
  <c r="K128" i="21"/>
  <c r="L128" i="21" s="1"/>
  <c r="J119" i="21"/>
  <c r="K119" i="21"/>
  <c r="L119" i="21" s="1"/>
  <c r="J239" i="21"/>
  <c r="K239" i="21"/>
  <c r="L239" i="21" s="1"/>
  <c r="J291" i="21"/>
  <c r="K291" i="21"/>
  <c r="L291" i="21" s="1"/>
  <c r="J39" i="21"/>
  <c r="K39" i="21"/>
  <c r="L39" i="21" s="1"/>
  <c r="J26" i="21"/>
  <c r="J208" i="21"/>
  <c r="K208" i="21"/>
  <c r="L208" i="21" s="1"/>
  <c r="J89" i="21"/>
  <c r="K89" i="21"/>
  <c r="L89" i="21" s="1"/>
  <c r="J5" i="21"/>
  <c r="K5" i="21"/>
  <c r="L5" i="21" s="1"/>
  <c r="J185" i="21"/>
  <c r="K185" i="21"/>
  <c r="L185" i="21" s="1"/>
  <c r="J281" i="21"/>
  <c r="K281" i="21"/>
  <c r="L281" i="21" s="1"/>
  <c r="J235" i="21"/>
  <c r="K235" i="21"/>
  <c r="L235" i="21" s="1"/>
  <c r="J183" i="21"/>
  <c r="K183" i="21"/>
  <c r="L183" i="21" s="1"/>
  <c r="J179" i="21"/>
  <c r="K179" i="21"/>
  <c r="L179" i="21" s="1"/>
  <c r="J279" i="21"/>
  <c r="K279" i="21"/>
  <c r="L279" i="21" s="1"/>
  <c r="J174" i="21"/>
  <c r="K174" i="21"/>
  <c r="L174" i="21" s="1"/>
  <c r="J134" i="21"/>
  <c r="K134" i="21"/>
  <c r="L134" i="21" s="1"/>
  <c r="J210" i="21"/>
  <c r="K210" i="21"/>
  <c r="L210" i="21" s="1"/>
  <c r="J242" i="21"/>
  <c r="K242" i="21"/>
  <c r="L242" i="21" s="1"/>
  <c r="J180" i="21"/>
  <c r="K180" i="21"/>
  <c r="L180" i="21" s="1"/>
  <c r="J296" i="21"/>
  <c r="K296" i="21"/>
  <c r="L296" i="21" s="1"/>
  <c r="J149" i="21"/>
  <c r="K149" i="21"/>
  <c r="L149" i="21" s="1"/>
  <c r="J64" i="21"/>
  <c r="K64" i="21"/>
  <c r="L64" i="21" s="1"/>
  <c r="J169" i="21"/>
  <c r="K169" i="21"/>
  <c r="L169" i="21" s="1"/>
  <c r="J80" i="21"/>
  <c r="K80" i="21"/>
  <c r="L80" i="21" s="1"/>
  <c r="J207" i="21"/>
  <c r="K207" i="21"/>
  <c r="L207" i="21" s="1"/>
  <c r="J163" i="21"/>
  <c r="K163" i="21"/>
  <c r="L163" i="21" s="1"/>
  <c r="J215" i="21"/>
  <c r="K215" i="21"/>
  <c r="L215" i="21" s="1"/>
  <c r="J79" i="21"/>
  <c r="K79" i="21"/>
  <c r="L79" i="21" s="1"/>
  <c r="J11" i="21"/>
  <c r="K11" i="21"/>
  <c r="L11" i="21" s="1"/>
  <c r="J159" i="21"/>
  <c r="K159" i="21"/>
  <c r="L159" i="21" s="1"/>
  <c r="J90" i="21"/>
  <c r="K90" i="21"/>
  <c r="L90" i="21" s="1"/>
  <c r="J122" i="21"/>
  <c r="K122" i="21"/>
  <c r="L122" i="21" s="1"/>
  <c r="J110" i="21"/>
  <c r="K110" i="21"/>
  <c r="L110" i="21" s="1"/>
  <c r="J273" i="21"/>
  <c r="K273" i="21"/>
  <c r="L273" i="21" s="1"/>
  <c r="J192" i="21"/>
  <c r="K192" i="21"/>
  <c r="L192" i="21" s="1"/>
  <c r="J257" i="21"/>
  <c r="K257" i="21"/>
  <c r="L257" i="21" s="1"/>
  <c r="J40" i="21"/>
  <c r="K40" i="21"/>
  <c r="L40" i="21" s="1"/>
  <c r="J57" i="21"/>
  <c r="K57" i="21"/>
  <c r="L57" i="21" s="1"/>
  <c r="J305" i="21"/>
  <c r="K305" i="21"/>
  <c r="L305" i="21" s="1"/>
  <c r="J3" i="21"/>
  <c r="K3" i="21"/>
  <c r="L3" i="21" s="1"/>
  <c r="J31" i="21"/>
  <c r="K31" i="21"/>
  <c r="L31" i="21" s="1"/>
  <c r="J55" i="21"/>
  <c r="K55" i="21"/>
  <c r="L55" i="21" s="1"/>
  <c r="J158" i="21"/>
  <c r="K158" i="21"/>
  <c r="L158" i="21" s="1"/>
  <c r="J162" i="21"/>
  <c r="K162" i="21"/>
  <c r="L162" i="21" s="1"/>
  <c r="J144" i="21"/>
  <c r="K144" i="21"/>
  <c r="L144" i="21" s="1"/>
  <c r="J13" i="21"/>
  <c r="K13" i="21"/>
  <c r="L13" i="21" s="1"/>
  <c r="J253" i="21"/>
  <c r="K253" i="21"/>
  <c r="L253" i="21" s="1"/>
  <c r="J272" i="21"/>
  <c r="K272" i="21"/>
  <c r="L272" i="21" s="1"/>
  <c r="J267" i="21"/>
  <c r="K267" i="21"/>
  <c r="L267" i="21" s="1"/>
  <c r="J127" i="21"/>
  <c r="K127" i="21"/>
  <c r="L127" i="21" s="1"/>
  <c r="J295" i="21"/>
  <c r="K295" i="21"/>
  <c r="L295" i="21" s="1"/>
  <c r="J151" i="21"/>
  <c r="K151" i="21"/>
  <c r="L151" i="21" s="1"/>
  <c r="J91" i="21"/>
  <c r="K91" i="21"/>
  <c r="L91" i="21" s="1"/>
  <c r="J266" i="21"/>
  <c r="K266" i="21"/>
  <c r="L266" i="21" s="1"/>
  <c r="J102" i="21"/>
  <c r="K102" i="21"/>
  <c r="L102" i="21" s="1"/>
  <c r="J82" i="21"/>
  <c r="K82" i="21"/>
  <c r="L82" i="21" s="1"/>
  <c r="J104" i="21"/>
  <c r="K104" i="21"/>
  <c r="L104" i="21" s="1"/>
  <c r="J101" i="21"/>
  <c r="K101" i="21"/>
  <c r="L101" i="21" s="1"/>
  <c r="J136" i="21"/>
  <c r="K136" i="21"/>
  <c r="L136" i="21" s="1"/>
  <c r="J167" i="21"/>
  <c r="K167" i="21"/>
  <c r="L167" i="21" s="1"/>
  <c r="J75" i="21"/>
  <c r="K75" i="21"/>
  <c r="L75" i="21" s="1"/>
  <c r="J199" i="21"/>
  <c r="K199" i="21"/>
  <c r="L199" i="21" s="1"/>
  <c r="J59" i="21"/>
  <c r="K59" i="21"/>
  <c r="L59" i="21" s="1"/>
  <c r="J290" i="21"/>
  <c r="K290" i="21"/>
  <c r="L290" i="21" s="1"/>
  <c r="J78" i="21"/>
  <c r="K78" i="21"/>
  <c r="L78" i="21" s="1"/>
  <c r="J106" i="21"/>
  <c r="K106" i="21"/>
  <c r="L106" i="21" s="1"/>
  <c r="J176" i="21"/>
  <c r="K176" i="21"/>
  <c r="L176" i="21" s="1"/>
  <c r="J60" i="21"/>
  <c r="K60" i="21"/>
  <c r="L60" i="21" s="1"/>
  <c r="J49" i="21"/>
  <c r="K49" i="21"/>
  <c r="L49" i="21" s="1"/>
  <c r="J9" i="21"/>
  <c r="K9" i="21"/>
  <c r="L9" i="21" s="1"/>
  <c r="J85" i="21"/>
  <c r="K85" i="21"/>
  <c r="L85" i="21" s="1"/>
  <c r="J289" i="21"/>
  <c r="K289" i="21"/>
  <c r="L289" i="21" s="1"/>
  <c r="J261" i="21"/>
  <c r="K261" i="21"/>
  <c r="L261" i="21" s="1"/>
  <c r="J105" i="21"/>
  <c r="K105" i="21"/>
  <c r="L105" i="21" s="1"/>
  <c r="J223" i="21"/>
  <c r="K223" i="21"/>
  <c r="L223" i="21" s="1"/>
  <c r="J50" i="21"/>
  <c r="K50" i="21"/>
  <c r="L50" i="21" s="1"/>
  <c r="J247" i="21"/>
  <c r="K247" i="21"/>
  <c r="L247" i="21" s="1"/>
  <c r="J231" i="21"/>
  <c r="K231" i="21"/>
  <c r="L231" i="21" s="1"/>
  <c r="J255" i="21"/>
  <c r="K255" i="21"/>
  <c r="L255" i="21" s="1"/>
  <c r="J182" i="21"/>
  <c r="K182" i="21"/>
  <c r="L182" i="21" s="1"/>
  <c r="J74" i="21"/>
  <c r="K74" i="21"/>
  <c r="L74" i="21" s="1"/>
  <c r="J142" i="21"/>
  <c r="K142" i="21"/>
  <c r="L142" i="21" s="1"/>
  <c r="J70" i="21"/>
  <c r="K70" i="21"/>
  <c r="L70" i="21" s="1"/>
  <c r="J38" i="21"/>
  <c r="K38" i="21"/>
  <c r="L38" i="21" s="1"/>
  <c r="J286" i="21"/>
  <c r="K286" i="21"/>
  <c r="L286" i="21" s="1"/>
  <c r="J181" i="21"/>
  <c r="K181" i="21"/>
  <c r="L181" i="21" s="1"/>
  <c r="J93" i="21"/>
  <c r="K93" i="21"/>
  <c r="L93" i="21" s="1"/>
  <c r="J184" i="21"/>
  <c r="K184" i="21"/>
  <c r="L184" i="21" s="1"/>
  <c r="J124" i="21"/>
  <c r="K124" i="21"/>
  <c r="L124" i="21" s="1"/>
  <c r="J41" i="21"/>
  <c r="K41" i="21"/>
  <c r="L41" i="21" s="1"/>
  <c r="J28" i="21"/>
  <c r="J21" i="21"/>
  <c r="K21" i="21"/>
  <c r="L21" i="21" s="1"/>
  <c r="J226" i="21"/>
  <c r="K226" i="21"/>
  <c r="L226" i="21" s="1"/>
  <c r="J73" i="21"/>
  <c r="K73" i="21"/>
  <c r="L73" i="21" s="1"/>
  <c r="J115" i="21"/>
  <c r="K115" i="21"/>
  <c r="L115" i="21" s="1"/>
  <c r="J263" i="21"/>
  <c r="K263" i="21"/>
  <c r="L263" i="21" s="1"/>
  <c r="J130" i="21"/>
  <c r="K130" i="21"/>
  <c r="L130" i="21" s="1"/>
  <c r="J243" i="21"/>
  <c r="K243" i="21"/>
  <c r="L243" i="21" s="1"/>
  <c r="J43" i="21"/>
  <c r="K43" i="21"/>
  <c r="L43" i="21" s="1"/>
  <c r="J27" i="21"/>
  <c r="J123" i="21"/>
  <c r="K123" i="21"/>
  <c r="L123" i="21" s="1"/>
  <c r="J154" i="21"/>
  <c r="K154" i="21"/>
  <c r="L154" i="21" s="1"/>
  <c r="J282" i="21"/>
  <c r="K282" i="21"/>
  <c r="L282" i="21" s="1"/>
  <c r="J234" i="21"/>
  <c r="K234" i="21"/>
  <c r="L234" i="21" s="1"/>
  <c r="J178" i="21"/>
  <c r="K178" i="21"/>
  <c r="L178" i="21" s="1"/>
  <c r="J22" i="21"/>
  <c r="J37" i="21"/>
  <c r="K37" i="21"/>
  <c r="L37" i="21" s="1"/>
  <c r="J213" i="21"/>
  <c r="K213" i="21"/>
  <c r="L213" i="21" s="1"/>
  <c r="J121" i="21"/>
  <c r="K121" i="21"/>
  <c r="L121" i="21" s="1"/>
  <c r="J200" i="21"/>
  <c r="K200" i="21"/>
  <c r="L200" i="21" s="1"/>
  <c r="J172" i="21"/>
  <c r="K172" i="21"/>
  <c r="L172" i="21" s="1"/>
  <c r="J292" i="21"/>
  <c r="K292" i="21"/>
  <c r="L292" i="21" s="1"/>
  <c r="J274" i="21"/>
  <c r="K274" i="21"/>
  <c r="L274" i="21" s="1"/>
  <c r="J95" i="21"/>
  <c r="K95" i="21"/>
  <c r="L95" i="21" s="1"/>
  <c r="J160" i="21"/>
  <c r="K160" i="21"/>
  <c r="L160" i="21" s="1"/>
  <c r="J143" i="21"/>
  <c r="K143" i="21"/>
  <c r="L143" i="21" s="1"/>
  <c r="J251" i="21"/>
  <c r="K251" i="21"/>
  <c r="L251" i="21" s="1"/>
  <c r="J299" i="21"/>
  <c r="K299" i="21"/>
  <c r="L299" i="21" s="1"/>
  <c r="J135" i="21"/>
  <c r="K135" i="21"/>
  <c r="L135" i="21" s="1"/>
  <c r="J175" i="21"/>
  <c r="K175" i="21"/>
  <c r="L175" i="21" s="1"/>
  <c r="J195" i="21"/>
  <c r="K195" i="21"/>
  <c r="L195" i="21" s="1"/>
  <c r="J230" i="21"/>
  <c r="K230" i="21"/>
  <c r="L230" i="21" s="1"/>
  <c r="J98" i="21"/>
  <c r="K98" i="21"/>
  <c r="L98" i="21" s="1"/>
  <c r="J129" i="21"/>
  <c r="K129" i="21"/>
  <c r="L129" i="21" s="1"/>
  <c r="J77" i="21"/>
  <c r="K77" i="21"/>
  <c r="L77" i="21" s="1"/>
  <c r="J220" i="21"/>
  <c r="K220" i="21"/>
  <c r="L220" i="21" s="1"/>
  <c r="J276" i="21"/>
  <c r="K276" i="21"/>
  <c r="L276" i="21" s="1"/>
  <c r="J260" i="21"/>
  <c r="K260" i="21"/>
  <c r="L260" i="21" s="1"/>
  <c r="J197" i="21"/>
  <c r="K197" i="21"/>
  <c r="L197" i="21" s="1"/>
  <c r="J147" i="21"/>
  <c r="K147" i="21"/>
  <c r="L147" i="21" s="1"/>
  <c r="J53" i="21"/>
  <c r="K53" i="21"/>
  <c r="L53" i="21" s="1"/>
  <c r="J190" i="21"/>
  <c r="K190" i="21"/>
  <c r="L190" i="21" s="1"/>
  <c r="J84" i="21"/>
  <c r="K84" i="21"/>
  <c r="L84" i="21" s="1"/>
  <c r="J87" i="21"/>
  <c r="K87" i="21"/>
  <c r="L87" i="21" s="1"/>
  <c r="J63" i="21"/>
  <c r="K63" i="21"/>
  <c r="L63" i="21" s="1"/>
  <c r="J191" i="21"/>
  <c r="K191" i="21"/>
  <c r="L191" i="21" s="1"/>
  <c r="J219" i="21"/>
  <c r="K219" i="21"/>
  <c r="L219" i="21" s="1"/>
  <c r="J171" i="21"/>
  <c r="K171" i="21"/>
  <c r="L171" i="21" s="1"/>
  <c r="J155" i="21"/>
  <c r="K155" i="21"/>
  <c r="L155" i="21" s="1"/>
  <c r="J15" i="21"/>
  <c r="K15" i="21"/>
  <c r="L15" i="21" s="1"/>
  <c r="J222" i="21"/>
  <c r="K222" i="21"/>
  <c r="L222" i="21" s="1"/>
  <c r="J138" i="21"/>
  <c r="K138" i="21"/>
  <c r="L138" i="21" s="1"/>
  <c r="J209" i="21"/>
  <c r="K209" i="21"/>
  <c r="L209" i="21" s="1"/>
  <c r="J201" i="21"/>
  <c r="K201" i="21"/>
  <c r="L201" i="21" s="1"/>
  <c r="J252" i="21"/>
  <c r="K252" i="21"/>
  <c r="L252" i="21" s="1"/>
  <c r="J221" i="21"/>
  <c r="K221" i="21"/>
  <c r="L221" i="21" s="1"/>
  <c r="J287" i="21"/>
  <c r="K287" i="21"/>
  <c r="L287" i="21" s="1"/>
  <c r="J283" i="21"/>
  <c r="K283" i="21"/>
  <c r="L283" i="21" s="1"/>
  <c r="J271" i="21"/>
  <c r="K271" i="21"/>
  <c r="L271" i="21" s="1"/>
  <c r="J67" i="21"/>
  <c r="K67" i="21"/>
  <c r="L67" i="21" s="1"/>
  <c r="J146" i="21"/>
  <c r="K146" i="21"/>
  <c r="L146" i="21" s="1"/>
  <c r="J238" i="21"/>
  <c r="K238" i="21"/>
  <c r="L238" i="21" s="1"/>
  <c r="J150" i="21"/>
  <c r="K150" i="21"/>
  <c r="L150" i="21" s="1"/>
  <c r="J265" i="21"/>
  <c r="K265" i="21"/>
  <c r="L265" i="21" s="1"/>
  <c r="J216" i="21"/>
  <c r="K216" i="21"/>
  <c r="L216" i="21" s="1"/>
  <c r="J132" i="21"/>
  <c r="K132" i="21"/>
  <c r="L132" i="21" s="1"/>
  <c r="J97" i="21"/>
  <c r="K97" i="21"/>
  <c r="L97" i="21" s="1"/>
  <c r="J133" i="21"/>
  <c r="K133" i="21"/>
  <c r="L133" i="21" s="1"/>
  <c r="J300" i="21"/>
  <c r="K300" i="21"/>
  <c r="L300" i="21" s="1"/>
  <c r="J8" i="21"/>
  <c r="K8" i="21"/>
  <c r="L8" i="21" s="1"/>
  <c r="J44" i="21"/>
  <c r="K44" i="21"/>
  <c r="L44" i="21" s="1"/>
  <c r="J81" i="21"/>
  <c r="K81" i="21"/>
  <c r="L81" i="21" s="1"/>
  <c r="J248" i="21"/>
  <c r="K248" i="21"/>
  <c r="L248" i="21" s="1"/>
  <c r="J68" i="21"/>
  <c r="K68" i="21"/>
  <c r="L68" i="21" s="1"/>
  <c r="J83" i="21"/>
  <c r="K83" i="21"/>
  <c r="L83" i="21" s="1"/>
  <c r="J275" i="21"/>
  <c r="K275" i="21"/>
  <c r="L275" i="21" s="1"/>
  <c r="J7" i="21"/>
  <c r="K7" i="21"/>
  <c r="L7" i="21" s="1"/>
  <c r="J35" i="21"/>
  <c r="K35" i="21"/>
  <c r="L35" i="21" s="1"/>
  <c r="J187" i="21"/>
  <c r="K187" i="21"/>
  <c r="L187" i="21" s="1"/>
  <c r="J139" i="21"/>
  <c r="K139" i="21"/>
  <c r="L139" i="21" s="1"/>
  <c r="J103" i="21"/>
  <c r="K103" i="21"/>
  <c r="L103" i="21" s="1"/>
  <c r="J186" i="21"/>
  <c r="K186" i="21"/>
  <c r="L186" i="21" s="1"/>
  <c r="J278" i="21"/>
  <c r="K278" i="21"/>
  <c r="L278" i="21" s="1"/>
  <c r="J298" i="21"/>
  <c r="K298" i="21"/>
  <c r="L298" i="21" s="1"/>
  <c r="J126" i="21"/>
  <c r="K126" i="21"/>
  <c r="L126" i="21" s="1"/>
  <c r="J304" i="21"/>
  <c r="K304" i="21"/>
  <c r="L304" i="21" s="1"/>
  <c r="J284" i="21"/>
  <c r="K284" i="21"/>
  <c r="L284" i="21" s="1"/>
  <c r="J45" i="21"/>
  <c r="K45" i="21"/>
  <c r="L45" i="21" s="1"/>
  <c r="J76" i="21"/>
  <c r="K76" i="21"/>
  <c r="L76" i="21" s="1"/>
  <c r="J152" i="21"/>
  <c r="K152" i="21"/>
  <c r="L152" i="21" s="1"/>
  <c r="J196" i="21"/>
  <c r="K196" i="21"/>
  <c r="L196" i="21" s="1"/>
  <c r="J52" i="21"/>
  <c r="K52" i="21"/>
  <c r="L52" i="21" s="1"/>
  <c r="J156" i="21"/>
  <c r="K156" i="21"/>
  <c r="L156" i="21" s="1"/>
  <c r="J188" i="21"/>
  <c r="K188" i="21"/>
  <c r="L188" i="21" s="1"/>
  <c r="J61" i="21"/>
  <c r="K61" i="21"/>
  <c r="L61" i="21" s="1"/>
  <c r="J204" i="21"/>
  <c r="K204" i="21"/>
  <c r="L204" i="21" s="1"/>
  <c r="J51" i="21"/>
  <c r="K51" i="21"/>
  <c r="L51" i="21" s="1"/>
  <c r="J47" i="21"/>
  <c r="K47" i="21"/>
  <c r="L47" i="21" s="1"/>
  <c r="J227" i="21"/>
  <c r="K227" i="21"/>
  <c r="L227" i="21" s="1"/>
  <c r="J23" i="21"/>
  <c r="J118" i="21"/>
  <c r="K118" i="21"/>
  <c r="L118" i="21" s="1"/>
  <c r="J270" i="21"/>
  <c r="K270" i="21"/>
  <c r="L270" i="21" s="1"/>
  <c r="J206" i="21"/>
  <c r="K206" i="21"/>
  <c r="L206" i="21" s="1"/>
  <c r="J294" i="21"/>
  <c r="K294" i="21"/>
  <c r="L294" i="21" s="1"/>
  <c r="J228" i="21"/>
  <c r="K228" i="21"/>
  <c r="L228" i="21" s="1"/>
  <c r="J108" i="21"/>
  <c r="K108" i="21"/>
  <c r="L108" i="21" s="1"/>
  <c r="J233" i="21"/>
  <c r="K233" i="21"/>
  <c r="L233" i="21" s="1"/>
  <c r="J269" i="21"/>
  <c r="K269" i="21"/>
  <c r="L269" i="21" s="1"/>
  <c r="J256" i="21"/>
  <c r="K256" i="21"/>
  <c r="L256" i="21" s="1"/>
  <c r="J88" i="21"/>
  <c r="K88" i="21"/>
  <c r="L88" i="21" s="1"/>
  <c r="J293" i="21"/>
  <c r="K293" i="21"/>
  <c r="L293" i="21" s="1"/>
  <c r="J161" i="21"/>
  <c r="K161" i="21"/>
  <c r="L161" i="21" s="1"/>
  <c r="J164" i="21"/>
  <c r="K164" i="21"/>
  <c r="L164" i="21" s="1"/>
  <c r="J137" i="21"/>
  <c r="K137" i="21"/>
  <c r="L137" i="21" s="1"/>
  <c r="J120" i="21"/>
  <c r="K120" i="21"/>
  <c r="L120" i="21" s="1"/>
  <c r="J36" i="21"/>
  <c r="K36" i="21"/>
  <c r="L36" i="21" s="1"/>
  <c r="J264" i="21"/>
  <c r="K264" i="21"/>
  <c r="L264" i="21" s="1"/>
  <c r="J16" i="21"/>
  <c r="K16" i="21"/>
  <c r="L16" i="21" s="1"/>
  <c r="J173" i="21"/>
  <c r="K173" i="21"/>
  <c r="L173" i="21" s="1"/>
  <c r="J241" i="21"/>
  <c r="K241" i="21"/>
  <c r="L241" i="21" s="1"/>
  <c r="J62" i="21"/>
  <c r="K62" i="21"/>
  <c r="L62" i="21" s="1"/>
  <c r="J153" i="21"/>
  <c r="K153" i="21"/>
  <c r="L153" i="21" s="1"/>
  <c r="J69" i="21"/>
  <c r="K69" i="21"/>
  <c r="L69" i="21" s="1"/>
  <c r="J245" i="21"/>
  <c r="K245" i="21"/>
  <c r="L245" i="21" s="1"/>
  <c r="J205" i="21"/>
  <c r="K205" i="21"/>
  <c r="L205" i="21" s="1"/>
  <c r="J17" i="21"/>
  <c r="K17" i="21"/>
  <c r="L17" i="21" s="1"/>
  <c r="J280" i="21"/>
  <c r="K280" i="21"/>
  <c r="L280" i="21" s="1"/>
  <c r="J240" i="21"/>
  <c r="K240" i="21"/>
  <c r="L240" i="21" s="1"/>
  <c r="J157" i="21"/>
  <c r="K157" i="21"/>
  <c r="L157" i="21" s="1"/>
  <c r="J217" i="21"/>
  <c r="K217" i="21"/>
  <c r="L217" i="21" s="1"/>
  <c r="J33" i="21"/>
  <c r="K33" i="21"/>
  <c r="L33" i="21" s="1"/>
  <c r="J212" i="21"/>
  <c r="K212" i="21"/>
  <c r="L212" i="21" s="1"/>
  <c r="J229" i="21"/>
  <c r="K229" i="21"/>
  <c r="L229" i="21" s="1"/>
  <c r="J301" i="21"/>
  <c r="K301" i="21"/>
  <c r="L301" i="21" s="1"/>
  <c r="J117" i="21"/>
  <c r="K117" i="21"/>
  <c r="L117" i="21" s="1"/>
  <c r="J285" i="21"/>
  <c r="K285" i="21"/>
  <c r="L285" i="21" s="1"/>
  <c r="J224" i="21"/>
  <c r="K224" i="21"/>
  <c r="L224" i="21" s="1"/>
  <c r="J32" i="21"/>
  <c r="K32" i="21"/>
  <c r="L32" i="21" s="1"/>
  <c r="J249" i="21"/>
  <c r="K249" i="21"/>
  <c r="L249" i="21" s="1"/>
  <c r="J116" i="21"/>
  <c r="K116" i="21"/>
  <c r="L116" i="21" s="1"/>
  <c r="J236" i="21"/>
  <c r="K236" i="21"/>
  <c r="L236" i="21" s="1"/>
  <c r="J232" i="21"/>
  <c r="K232" i="21"/>
  <c r="L232" i="21" s="1"/>
  <c r="J56" i="21"/>
  <c r="K56" i="21"/>
  <c r="L56" i="21" s="1"/>
  <c r="J165" i="21"/>
  <c r="K165" i="21"/>
  <c r="L165" i="21" s="1"/>
  <c r="F177" i="21" a="1"/>
  <c r="F177" i="21" s="1"/>
  <c r="F225" i="21" a="1"/>
  <c r="F225" i="21" s="1"/>
  <c r="I225" i="21" s="1"/>
  <c r="F29" i="21" a="1"/>
  <c r="F29" i="21" s="1"/>
  <c r="I29" i="21" s="1"/>
  <c r="F112" i="21" a="1"/>
  <c r="F112" i="21" s="1"/>
  <c r="I112" i="21" s="1"/>
  <c r="F193" i="21" a="1"/>
  <c r="F193" i="21" s="1"/>
  <c r="I193" i="21" s="1"/>
  <c r="F141" i="21" a="1"/>
  <c r="F141" i="21" s="1"/>
  <c r="I141" i="21" s="1"/>
  <c r="F48" i="21" a="1"/>
  <c r="F48" i="21" s="1"/>
  <c r="I48" i="21" s="1"/>
  <c r="F46" i="21" a="1"/>
  <c r="F46" i="21" s="1"/>
  <c r="I46" i="21" s="1"/>
  <c r="F18" i="21" a="1"/>
  <c r="F18" i="21" s="1"/>
  <c r="I18" i="21" s="1"/>
  <c r="F111" i="21" a="1"/>
  <c r="F111" i="21" s="1"/>
  <c r="I111" i="21" s="1"/>
  <c r="F20" i="21" a="1"/>
  <c r="F20" i="21" s="1"/>
  <c r="I20" i="21" s="1"/>
  <c r="F19" i="21" a="1"/>
  <c r="F19" i="21" s="1"/>
  <c r="I19" i="21" s="1"/>
  <c r="F10" i="21" a="1"/>
  <c r="F10" i="21" s="1"/>
  <c r="I10" i="21" s="1"/>
  <c r="J25" i="21"/>
  <c r="F6" i="21" a="1"/>
  <c r="F6" i="21" s="1"/>
  <c r="I6" i="21" s="1"/>
  <c r="I177" i="21" l="1"/>
  <c r="K177" i="21" s="1"/>
  <c r="L177" i="21" s="1"/>
  <c r="J14" i="21"/>
  <c r="I14" i="21"/>
  <c r="J177" i="21"/>
  <c r="J18" i="21"/>
  <c r="J193" i="21"/>
  <c r="K193" i="21"/>
  <c r="L193" i="21" s="1"/>
  <c r="J10" i="21"/>
  <c r="J112" i="21"/>
  <c r="K112" i="21"/>
  <c r="L112" i="21" s="1"/>
  <c r="J2" i="21"/>
  <c r="J29" i="21"/>
  <c r="J19" i="21"/>
  <c r="J141" i="21"/>
  <c r="K141" i="21"/>
  <c r="L141" i="21" s="1"/>
  <c r="J225" i="21"/>
  <c r="K225" i="21"/>
  <c r="L225" i="21" s="1"/>
  <c r="J20" i="21"/>
  <c r="J48" i="21"/>
  <c r="K48" i="21"/>
  <c r="L48" i="21" s="1"/>
  <c r="J111" i="21"/>
  <c r="K111" i="21"/>
  <c r="L111" i="21" s="1"/>
  <c r="J6" i="21"/>
  <c r="J46" i="21"/>
  <c r="K46" i="21"/>
  <c r="L46" i="21" s="1"/>
  <c r="K27" i="21" l="1"/>
  <c r="K28" i="21"/>
  <c r="K26" i="21"/>
  <c r="K24" i="21"/>
  <c r="K23" i="21"/>
  <c r="K22" i="21"/>
  <c r="K18" i="21"/>
  <c r="K10" i="21"/>
  <c r="K19" i="21"/>
  <c r="K6" i="21"/>
  <c r="K29" i="21"/>
  <c r="K2" i="21"/>
  <c r="K20" i="21"/>
  <c r="K14" i="21"/>
  <c r="K25" i="21"/>
  <c r="L27" i="21" l="1"/>
  <c r="L28" i="21"/>
  <c r="L26" i="21"/>
  <c r="L24" i="21"/>
  <c r="L23" i="21"/>
  <c r="L22" i="21"/>
  <c r="L18" i="21"/>
  <c r="L19" i="21"/>
  <c r="L29" i="21"/>
  <c r="L6" i="21"/>
  <c r="L25" i="21"/>
  <c r="L14" i="21"/>
  <c r="L20" i="21"/>
  <c r="L2" i="21"/>
  <c r="L10" i="21"/>
  <c r="G5" i="18" l="1"/>
  <c r="T11" i="21"/>
  <c r="R3" i="21"/>
  <c r="T2" i="21"/>
  <c r="S2" i="21"/>
  <c r="R4" i="21"/>
  <c r="S4" i="21"/>
  <c r="S3" i="21"/>
  <c r="R5" i="21"/>
  <c r="R6" i="21"/>
  <c r="T3" i="21"/>
  <c r="S5" i="21"/>
  <c r="R7" i="21"/>
  <c r="T4" i="21"/>
  <c r="S6" i="21"/>
  <c r="R8" i="21"/>
  <c r="T5" i="21"/>
  <c r="S7" i="21"/>
  <c r="R9" i="21"/>
  <c r="T6" i="21"/>
  <c r="S8" i="21"/>
  <c r="R10" i="21"/>
  <c r="T7" i="21"/>
  <c r="S9" i="21"/>
  <c r="R11" i="21"/>
  <c r="T8" i="21"/>
  <c r="S10" i="21"/>
  <c r="T9" i="21"/>
  <c r="S11" i="21"/>
  <c r="T10" i="21"/>
  <c r="R2" i="21"/>
  <c r="Q2" i="21"/>
  <c r="B2" i="24" s="1"/>
  <c r="Q7" i="21"/>
  <c r="P9" i="21"/>
  <c r="O11" i="21"/>
  <c r="O3" i="21"/>
  <c r="P2" i="21"/>
  <c r="O6" i="21"/>
  <c r="P5" i="21"/>
  <c r="P6" i="21"/>
  <c r="P7" i="21"/>
  <c r="P8" i="21"/>
  <c r="Q8" i="21"/>
  <c r="P10" i="21"/>
  <c r="Q11" i="21"/>
  <c r="O5" i="21"/>
  <c r="Q4" i="21"/>
  <c r="Q9" i="21"/>
  <c r="P11" i="21"/>
  <c r="Q3" i="21"/>
  <c r="Q5" i="21"/>
  <c r="Q6" i="21"/>
  <c r="Q10" i="21"/>
  <c r="O2" i="21"/>
  <c r="O4" i="21"/>
  <c r="P3" i="21"/>
  <c r="P4" i="21"/>
  <c r="O7" i="21"/>
  <c r="O8" i="21"/>
  <c r="O9" i="21"/>
  <c r="O10" i="21"/>
  <c r="E19" i="18" l="1"/>
  <c r="C11" i="24"/>
  <c r="F13" i="18"/>
  <c r="E5" i="24"/>
  <c r="E10" i="18"/>
  <c r="C2" i="24"/>
  <c r="B10" i="18"/>
  <c r="A2" i="24"/>
  <c r="C17" i="18"/>
  <c r="B9" i="24"/>
  <c r="E17" i="18"/>
  <c r="C9" i="24"/>
  <c r="C12" i="18"/>
  <c r="B4" i="24"/>
  <c r="C19" i="18"/>
  <c r="B11" i="24"/>
  <c r="D13" i="18"/>
  <c r="D5" i="24"/>
  <c r="B18" i="18"/>
  <c r="A10" i="24"/>
  <c r="E11" i="18"/>
  <c r="C3" i="24"/>
  <c r="D10" i="18"/>
  <c r="D2" i="24"/>
  <c r="D17" i="18"/>
  <c r="D9" i="24"/>
  <c r="F18" i="18"/>
  <c r="E10" i="24"/>
  <c r="D12" i="18"/>
  <c r="D4" i="24"/>
  <c r="B15" i="18"/>
  <c r="A7" i="24"/>
  <c r="C14" i="18"/>
  <c r="B6" i="24"/>
  <c r="B14" i="18"/>
  <c r="A6" i="24"/>
  <c r="F17" i="18"/>
  <c r="E9" i="24"/>
  <c r="D16" i="18"/>
  <c r="D8" i="24"/>
  <c r="F10" i="18"/>
  <c r="D5" i="18" s="1"/>
  <c r="E2" i="24"/>
  <c r="B19" i="18"/>
  <c r="A11" i="24"/>
  <c r="D15" i="18"/>
  <c r="D7" i="24"/>
  <c r="F15" i="18"/>
  <c r="E7" i="24"/>
  <c r="D18" i="18"/>
  <c r="D10" i="24"/>
  <c r="D14" i="18"/>
  <c r="D6" i="24"/>
  <c r="B12" i="18"/>
  <c r="A4" i="24"/>
  <c r="C15" i="18"/>
  <c r="B7" i="24"/>
  <c r="E16" i="18"/>
  <c r="C8" i="24"/>
  <c r="B11" i="18"/>
  <c r="A3" i="24"/>
  <c r="F14" i="18"/>
  <c r="E6" i="24"/>
  <c r="C16" i="18"/>
  <c r="B8" i="24"/>
  <c r="E12" i="18"/>
  <c r="C4" i="24"/>
  <c r="B16" i="18"/>
  <c r="A8" i="24"/>
  <c r="E15" i="18"/>
  <c r="C7" i="24"/>
  <c r="C18" i="18"/>
  <c r="B10" i="24"/>
  <c r="C13" i="18"/>
  <c r="B5" i="24"/>
  <c r="B13" i="18"/>
  <c r="A5" i="24"/>
  <c r="E18" i="18"/>
  <c r="C10" i="24"/>
  <c r="E14" i="18"/>
  <c r="C6" i="24"/>
  <c r="D11" i="18"/>
  <c r="D3" i="24"/>
  <c r="D19" i="18"/>
  <c r="D11" i="24"/>
  <c r="E13" i="18"/>
  <c r="C5" i="24"/>
  <c r="F11" i="18"/>
  <c r="E3" i="24"/>
  <c r="B17" i="18"/>
  <c r="A9" i="24"/>
  <c r="C11" i="18"/>
  <c r="B3" i="24"/>
  <c r="F16" i="18"/>
  <c r="E8" i="24"/>
  <c r="F12" i="18"/>
  <c r="E4" i="24"/>
  <c r="F19" i="18"/>
  <c r="E11" i="24"/>
  <c r="C10" i="18"/>
  <c r="L2" i="24" l="1" a="1"/>
  <c r="L2" i="24" s="1"/>
  <c r="Q4" i="24"/>
  <c r="B45" i="18" s="1"/>
  <c r="Q5" i="24"/>
  <c r="G19" i="24"/>
  <c r="K47" i="18" s="1"/>
  <c r="G20" i="24"/>
  <c r="K48" i="18" s="1"/>
  <c r="G17" i="24"/>
  <c r="K45" i="18" s="1"/>
  <c r="G16" i="24"/>
  <c r="K44" i="18" s="1"/>
  <c r="G21" i="24"/>
  <c r="G18" i="24"/>
  <c r="K46" i="18" s="1"/>
  <c r="G15" i="24"/>
  <c r="F2" i="24" a="1"/>
  <c r="F2" i="24" s="1"/>
  <c r="Q3" i="24"/>
  <c r="B44" i="18" s="1"/>
  <c r="A5" i="18"/>
  <c r="A7" i="18" s="1"/>
  <c r="J2" i="24" a="1"/>
  <c r="J2" i="24" s="1"/>
  <c r="Q2" i="24"/>
  <c r="F17" i="24"/>
  <c r="J45" i="18" s="1"/>
  <c r="F15" i="24"/>
  <c r="J43" i="18" s="1"/>
  <c r="F20" i="24"/>
  <c r="J48" i="18" s="1"/>
  <c r="N2" i="24" a="1"/>
  <c r="N2" i="24" s="1"/>
  <c r="F16" i="24"/>
  <c r="J44" i="18" s="1"/>
  <c r="F21" i="24"/>
  <c r="J49" i="18" s="1"/>
  <c r="F19" i="24"/>
  <c r="J47" i="18" s="1"/>
  <c r="F18" i="24"/>
  <c r="J46" i="18" s="1"/>
  <c r="H2" i="24" a="1"/>
  <c r="H2" i="24" s="1"/>
  <c r="E21" i="24"/>
  <c r="I49" i="18" s="1"/>
  <c r="E17" i="24"/>
  <c r="I45" i="18" s="1"/>
  <c r="E15" i="24"/>
  <c r="I43" i="18" s="1"/>
  <c r="E20" i="24"/>
  <c r="I48" i="18" s="1"/>
  <c r="E16" i="24"/>
  <c r="I44" i="18" s="1"/>
  <c r="E19" i="24"/>
  <c r="I47" i="18" s="1"/>
  <c r="E18" i="24"/>
  <c r="I46" i="18" s="1"/>
  <c r="K43" i="18" l="1"/>
  <c r="L48" i="18" s="1"/>
  <c r="J15" i="24"/>
  <c r="K49" i="18"/>
  <c r="B43" i="18"/>
  <c r="R2" i="24"/>
  <c r="C43" i="18" s="1"/>
  <c r="R4" i="24"/>
  <c r="C45" i="18" s="1"/>
  <c r="B46" i="18"/>
  <c r="R5" i="24"/>
  <c r="C46" i="18" s="1"/>
  <c r="R3" i="24"/>
  <c r="C44" i="18" s="1"/>
  <c r="L45" i="18" l="1"/>
  <c r="L47" i="18"/>
  <c r="L44" i="18"/>
  <c r="L49" i="18"/>
  <c r="A48" i="18"/>
  <c r="L46" i="18"/>
  <c r="L43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7C3888-056F-47DE-92FC-D975C91F7D0F}" keepAlive="1" name="Query - Table9" description="Connection to the 'Table9' query in the workbook." type="5" refreshedVersion="0" background="1" saveData="1">
    <dbPr connection="Provider=Microsoft.Mashup.OleDb.1;Data Source=$Workbook$;Location=Table9;Extended Properties=&quot;&quot;" command="SELECT * FROM [Table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<sst xmlns="http://schemas.openxmlformats.org/spreadsheetml/2006/main" count="955" uniqueCount="391">
  <si>
    <t>Planet #</t>
  </si>
  <si>
    <t>Ore 1</t>
  </si>
  <si>
    <t>Ore 2</t>
  </si>
  <si>
    <t>Ore 3</t>
  </si>
  <si>
    <t>C</t>
  </si>
  <si>
    <t>Fe</t>
  </si>
  <si>
    <t>Pb</t>
  </si>
  <si>
    <t>Si</t>
  </si>
  <si>
    <t>Al</t>
  </si>
  <si>
    <t>Ag</t>
  </si>
  <si>
    <t>Au</t>
  </si>
  <si>
    <t>D</t>
  </si>
  <si>
    <t>Pt</t>
  </si>
  <si>
    <t>Ti</t>
  </si>
  <si>
    <t>Ir</t>
  </si>
  <si>
    <t>Pd</t>
  </si>
  <si>
    <t>Os</t>
  </si>
  <si>
    <t>Rh</t>
  </si>
  <si>
    <t>In</t>
  </si>
  <si>
    <t>Qd</t>
  </si>
  <si>
    <t>Sc</t>
  </si>
  <si>
    <t>U</t>
  </si>
  <si>
    <t>Vb</t>
  </si>
  <si>
    <t>Ae</t>
  </si>
  <si>
    <t>Vi</t>
  </si>
  <si>
    <t>Xy</t>
  </si>
  <si>
    <t>Qo</t>
  </si>
  <si>
    <t>Lu</t>
  </si>
  <si>
    <t>Wr</t>
  </si>
  <si>
    <t>Aq</t>
  </si>
  <si>
    <t>Balor</t>
  </si>
  <si>
    <t>Drasta</t>
  </si>
  <si>
    <t>Anadius</t>
  </si>
  <si>
    <t>Dholen</t>
  </si>
  <si>
    <t>Verr</t>
  </si>
  <si>
    <t>Newton</t>
  </si>
  <si>
    <t>Widow</t>
  </si>
  <si>
    <t>Acheron</t>
  </si>
  <si>
    <t>Yangtze</t>
  </si>
  <si>
    <t>Solveig</t>
  </si>
  <si>
    <t>Imir</t>
  </si>
  <si>
    <t>Relic</t>
  </si>
  <si>
    <t>Nith</t>
  </si>
  <si>
    <t>Batalla</t>
  </si>
  <si>
    <t>Micah</t>
  </si>
  <si>
    <t>Pranas</t>
  </si>
  <si>
    <t>Castellus</t>
  </si>
  <si>
    <t>Gorgon</t>
  </si>
  <si>
    <t>Parnitha</t>
  </si>
  <si>
    <t>Orisoni</t>
  </si>
  <si>
    <t>Theseus</t>
  </si>
  <si>
    <t>Zelene</t>
  </si>
  <si>
    <t>Han</t>
  </si>
  <si>
    <t>Strennus</t>
  </si>
  <si>
    <t>Osun</t>
  </si>
  <si>
    <t>Ploitari</t>
  </si>
  <si>
    <t>Elysta</t>
  </si>
  <si>
    <t>Tikkun</t>
  </si>
  <si>
    <t>Satent</t>
  </si>
  <si>
    <t>Urla Rast</t>
  </si>
  <si>
    <t>Vular</t>
  </si>
  <si>
    <t>Nibiru</t>
  </si>
  <si>
    <t>Xena</t>
  </si>
  <si>
    <t>Rupert</t>
  </si>
  <si>
    <t>Pax</t>
  </si>
  <si>
    <t>Ivyra</t>
  </si>
  <si>
    <t>Utritis</t>
  </si>
  <si>
    <t>Dosie</t>
  </si>
  <si>
    <t>Zulu</t>
  </si>
  <si>
    <t>Unicae</t>
  </si>
  <si>
    <t>Dune</t>
  </si>
  <si>
    <t>Naraka</t>
  </si>
  <si>
    <t>Daedalus</t>
  </si>
  <si>
    <t>Clovis</t>
  </si>
  <si>
    <t>Zero</t>
  </si>
  <si>
    <t>Sotomi</t>
  </si>
  <si>
    <t>Remidian</t>
  </si>
  <si>
    <t>Muse</t>
  </si>
  <si>
    <t>Arabis</t>
  </si>
  <si>
    <t>Vesna</t>
  </si>
  <si>
    <t>Chandra</t>
  </si>
  <si>
    <t>Vega</t>
  </si>
  <si>
    <t>Crius</t>
  </si>
  <si>
    <t>Singhana</t>
  </si>
  <si>
    <t>Zumbia</t>
  </si>
  <si>
    <t>Elysium</t>
  </si>
  <si>
    <t>Nyota</t>
  </si>
  <si>
    <t>Doral</t>
  </si>
  <si>
    <t>Nikara</t>
  </si>
  <si>
    <t>Limbo</t>
  </si>
  <si>
    <t>Bob</t>
  </si>
  <si>
    <t>Midas</t>
  </si>
  <si>
    <t>Antigone</t>
  </si>
  <si>
    <t>Hecate</t>
  </si>
  <si>
    <t>Sterop</t>
  </si>
  <si>
    <t>Lavinia</t>
  </si>
  <si>
    <t>Ren</t>
  </si>
  <si>
    <t>Gorgons</t>
  </si>
  <si>
    <t>Pontus</t>
  </si>
  <si>
    <t>Leto</t>
  </si>
  <si>
    <t>Laconia</t>
  </si>
  <si>
    <t>Awohali</t>
  </si>
  <si>
    <t>Pegasi</t>
  </si>
  <si>
    <t>Ore</t>
  </si>
  <si>
    <t>Stars</t>
  </si>
  <si>
    <t>Copper</t>
  </si>
  <si>
    <t>Iron</t>
  </si>
  <si>
    <t>Lead</t>
  </si>
  <si>
    <t>Silicon</t>
  </si>
  <si>
    <t>Aluminium</t>
  </si>
  <si>
    <t>Silver</t>
  </si>
  <si>
    <t>Gold</t>
  </si>
  <si>
    <t>Diamond</t>
  </si>
  <si>
    <t>Platinum</t>
  </si>
  <si>
    <t>Titanium</t>
  </si>
  <si>
    <t>Iridium</t>
  </si>
  <si>
    <t>Palladium</t>
  </si>
  <si>
    <t>Osmium</t>
  </si>
  <si>
    <t>Rhodium</t>
  </si>
  <si>
    <t>Inerton</t>
  </si>
  <si>
    <t>Quadium</t>
  </si>
  <si>
    <t>Scrith</t>
  </si>
  <si>
    <t>Uru</t>
  </si>
  <si>
    <t>Vibranium</t>
  </si>
  <si>
    <t>Aether</t>
  </si>
  <si>
    <t>Viterium</t>
  </si>
  <si>
    <t>Xynium</t>
  </si>
  <si>
    <t>Quolium</t>
  </si>
  <si>
    <t>Luterium</t>
  </si>
  <si>
    <t>Wraith</t>
  </si>
  <si>
    <t>Aqualite</t>
  </si>
  <si>
    <t>Symbol</t>
  </si>
  <si>
    <t>Unlock Price</t>
  </si>
  <si>
    <t>Distance</t>
  </si>
  <si>
    <t>Typhon</t>
  </si>
  <si>
    <t>Surtur</t>
  </si>
  <si>
    <t>Opalite</t>
  </si>
  <si>
    <t>Op</t>
  </si>
  <si>
    <t>Vesta</t>
  </si>
  <si>
    <t>Ore 1 Yield</t>
  </si>
  <si>
    <t>Ore 2 Yield</t>
  </si>
  <si>
    <t>Ore 3 Yield</t>
  </si>
  <si>
    <t>Multiplier</t>
  </si>
  <si>
    <t>Base Amount</t>
  </si>
  <si>
    <t>Adjusted Amount</t>
  </si>
  <si>
    <t>Total Worth</t>
  </si>
  <si>
    <t>Ore 1 Worth</t>
  </si>
  <si>
    <t>Ore 2 Worth</t>
  </si>
  <si>
    <t>Ore 3 Worth</t>
  </si>
  <si>
    <t>Level</t>
  </si>
  <si>
    <t>Mining Speed</t>
  </si>
  <si>
    <t>Ship Speed</t>
  </si>
  <si>
    <t>Cargo Amount</t>
  </si>
  <si>
    <t>Upgrade Price (per Level)</t>
  </si>
  <si>
    <t>Telescope</t>
  </si>
  <si>
    <t>Name</t>
  </si>
  <si>
    <t>Ship Level</t>
  </si>
  <si>
    <t>Cargo Level</t>
  </si>
  <si>
    <t>Mining Rate</t>
  </si>
  <si>
    <t>Cargo</t>
  </si>
  <si>
    <t>Mining Upgrade Cost</t>
  </si>
  <si>
    <t>Ship Upgrade Cost</t>
  </si>
  <si>
    <t>Cargo Upgrade Cost</t>
  </si>
  <si>
    <t>Efficiency</t>
  </si>
  <si>
    <t>Mining Level</t>
  </si>
  <si>
    <t>Total Time</t>
  </si>
  <si>
    <t>Deposit</t>
  </si>
  <si>
    <t>Next Mining Rate</t>
  </si>
  <si>
    <t>Earnings/Sec</t>
  </si>
  <si>
    <t>Unlocked</t>
  </si>
  <si>
    <t>Unlock Cost</t>
  </si>
  <si>
    <t>Mining Rate Cost</t>
  </si>
  <si>
    <t>Ship Speed Cost</t>
  </si>
  <si>
    <t>Planets Distance</t>
  </si>
  <si>
    <t>Validation</t>
  </si>
  <si>
    <t>Cargo Rate Cost</t>
  </si>
  <si>
    <t>Validate</t>
  </si>
  <si>
    <t>Upgrade Mining Cost</t>
  </si>
  <si>
    <t>ROI</t>
  </si>
  <si>
    <t>Current Deposit</t>
  </si>
  <si>
    <t>Future Deposit</t>
  </si>
  <si>
    <t>Speed Level</t>
  </si>
  <si>
    <t>Next Ship Speed</t>
  </si>
  <si>
    <t>Upgrade Ship Speed</t>
  </si>
  <si>
    <t>Next Cargo Amount</t>
  </si>
  <si>
    <t>Ship Speed Unlocked</t>
  </si>
  <si>
    <t>Mining Rate Unlocked</t>
  </si>
  <si>
    <t>Breakeven</t>
  </si>
  <si>
    <t>Unlock Planet Amount</t>
  </si>
  <si>
    <t>Mining ROI/hr</t>
  </si>
  <si>
    <t>Mining Breakeven (sec)</t>
  </si>
  <si>
    <t>Speed ROI/hr</t>
  </si>
  <si>
    <t>Speed Breakeven (sec)</t>
  </si>
  <si>
    <t>Cargo ROI/hr</t>
  </si>
  <si>
    <t>Cargo Breakeven (sec)</t>
  </si>
  <si>
    <t>Unlock ROI/hr</t>
  </si>
  <si>
    <t>Unlock Breakeven (sec)</t>
  </si>
  <si>
    <t>Possible to Unlock</t>
  </si>
  <si>
    <t>Mining ROI Score</t>
  </si>
  <si>
    <t>Mining BE Score</t>
  </si>
  <si>
    <t>Speed ROI Score</t>
  </si>
  <si>
    <t>Speed BE Score</t>
  </si>
  <si>
    <t>Cargo ROI Score</t>
  </si>
  <si>
    <t>Cargo BE Score</t>
  </si>
  <si>
    <t>Unlock ROI Score</t>
  </si>
  <si>
    <t>Unlock BE Score</t>
  </si>
  <si>
    <t>Future Efficiency</t>
  </si>
  <si>
    <t>Deposit Increase</t>
  </si>
  <si>
    <t>Current Efficiency</t>
  </si>
  <si>
    <t>Planet Worth</t>
  </si>
  <si>
    <t>Cargo Amount Unlocked</t>
  </si>
  <si>
    <t>Base Efficiency</t>
  </si>
  <si>
    <t>Base Earnings</t>
  </si>
  <si>
    <t>PLANET UPGRADE DASHBOARD</t>
  </si>
  <si>
    <t>Rank-based ROI and breakeven recommendations | Higher hybrid score is better</t>
  </si>
  <si>
    <t>BEST UPGRADE</t>
  </si>
  <si>
    <t>BEST SCORE</t>
  </si>
  <si>
    <t>VALID CANDIDATES</t>
  </si>
  <si>
    <t>CURRENT TELESCOPE</t>
  </si>
  <si>
    <t>TOP RECOMMENDATIONS</t>
  </si>
  <si>
    <t>Rank</t>
  </si>
  <si>
    <t>Planet</t>
  </si>
  <si>
    <t>Upgrade</t>
  </si>
  <si>
    <t>Hybrid</t>
  </si>
  <si>
    <t>Breakeven (sec)</t>
  </si>
  <si>
    <t>Upgrade Type</t>
  </si>
  <si>
    <t>Mining</t>
  </si>
  <si>
    <t>Speed</t>
  </si>
  <si>
    <t>Unlock</t>
  </si>
  <si>
    <t>Deposit Amount</t>
  </si>
  <si>
    <t>New Time</t>
  </si>
  <si>
    <t>ROI Score</t>
  </si>
  <si>
    <t>BE Score</t>
  </si>
  <si>
    <t>Hybrid Score</t>
  </si>
  <si>
    <t>Ranking</t>
  </si>
  <si>
    <t>Tie Breaker</t>
  </si>
  <si>
    <t>Longevity Score</t>
  </si>
  <si>
    <t>Grade</t>
  </si>
  <si>
    <t>Type</t>
  </si>
  <si>
    <t>Time</t>
  </si>
  <si>
    <t>Seconds</t>
  </si>
  <si>
    <t>Minutes</t>
  </si>
  <si>
    <t>Hours</t>
  </si>
  <si>
    <t>Days</t>
  </si>
  <si>
    <t>Weeks</t>
  </si>
  <si>
    <t>Months</t>
  </si>
  <si>
    <t>Years</t>
  </si>
  <si>
    <t>Level of Importance</t>
  </si>
  <si>
    <t>↓</t>
  </si>
  <si>
    <t>ROI Timeframe</t>
  </si>
  <si>
    <t>Breakeven Timeframe</t>
  </si>
  <si>
    <t>ROI/hr.</t>
  </si>
  <si>
    <t>Test Case</t>
  </si>
  <si>
    <t>Expected Result</t>
  </si>
  <si>
    <t>Actual Result</t>
  </si>
  <si>
    <t>Status</t>
  </si>
  <si>
    <t>Label</t>
  </si>
  <si>
    <t>ROI/hr</t>
  </si>
  <si>
    <t>Mining X</t>
  </si>
  <si>
    <t>Mining Y</t>
  </si>
  <si>
    <t>Speed X</t>
  </si>
  <si>
    <t>Speed Y</t>
  </si>
  <si>
    <t>Cargo X</t>
  </si>
  <si>
    <t>Cargo Y</t>
  </si>
  <si>
    <t>Unlock X</t>
  </si>
  <si>
    <t>Unlock Y</t>
  </si>
  <si>
    <t>Top X</t>
  </si>
  <si>
    <t>Top Y</t>
  </si>
  <si>
    <t>Candidate Count</t>
  </si>
  <si>
    <t>Share</t>
  </si>
  <si>
    <t>Scenario</t>
  </si>
  <si>
    <t>Ore Value Factor</t>
  </si>
  <si>
    <t>Upgrade Cost Factor</t>
  </si>
  <si>
    <t>Travel Time Factor</t>
  </si>
  <si>
    <t>Adjusted ROI/hr</t>
  </si>
  <si>
    <t>Adjusted Breakeven (sec)</t>
  </si>
  <si>
    <t>Winner</t>
  </si>
  <si>
    <t>Base</t>
  </si>
  <si>
    <t>Ore value -10%</t>
  </si>
  <si>
    <t>Ore value +10%</t>
  </si>
  <si>
    <t>Upgrade cost -10%</t>
  </si>
  <si>
    <t>Upgrade cost +10%</t>
  </si>
  <si>
    <t>Travel time -10%</t>
  </si>
  <si>
    <t>Travel time +10%</t>
  </si>
  <si>
    <t>Sensitivity Result</t>
  </si>
  <si>
    <t>Value</t>
  </si>
  <si>
    <t>Winner retained</t>
  </si>
  <si>
    <t>VISUAL TRADE-OFF — ROI VS BREAKEVEN</t>
  </si>
  <si>
    <t>ELIGIBLE CANDIDATE COVERAGE</t>
  </si>
  <si>
    <t>±10% SENSITIVITY ANALYSIS</t>
  </si>
  <si>
    <t>Candidates</t>
  </si>
  <si>
    <t>Adj. ROI/hr</t>
  </si>
  <si>
    <t>Adj. BE sec</t>
  </si>
  <si>
    <t>Outcome</t>
  </si>
  <si>
    <t>One-at-a-time sensitivity applies each factor uniformly to the current eligible set: ROI scales with ore value ÷ cost; breakeven scales with cost ÷ ore value × travel time. Because these changes are uniform, rank order is expected to remain stable; use the live model for non-uniform planet-specific scenarios.</t>
  </si>
  <si>
    <t>MODEL GUIDE — ASSUMPTIONS, DEFINITIONS &amp; DATA LINEAGE</t>
  </si>
  <si>
    <t>Reference for reviewers and users | Live links point to the workbook’s editable controls and calculation layers</t>
  </si>
  <si>
    <t>STORY IN BRIEF</t>
  </si>
  <si>
    <t>ASSUMPTIONS &amp; EDITABLE CONTROLS</t>
  </si>
  <si>
    <t>Input / assumption</t>
  </si>
  <si>
    <t>Current value</t>
  </si>
  <si>
    <t>Edit location</t>
  </si>
  <si>
    <t>Effect</t>
  </si>
  <si>
    <t>ROI weight</t>
  </si>
  <si>
    <t>Planet Efficiency!N16</t>
  </si>
  <si>
    <t>Share of Hybrid Score assigned to ROI rank.</t>
  </si>
  <si>
    <t>Breakeven weight</t>
  </si>
  <si>
    <t>Planet Efficiency!O16</t>
  </si>
  <si>
    <t>Share of Hybrid Score assigned to payback rank.</t>
  </si>
  <si>
    <t>Current telescope</t>
  </si>
  <si>
    <t>Dashboard!J5</t>
  </si>
  <si>
    <t>Limits which planets and upgrades are currently eligible.</t>
  </si>
  <si>
    <t>ROI display timeframe</t>
  </si>
  <si>
    <t>Dashboard!J15</t>
  </si>
  <si>
    <t>Changes dashboard display units; source ROI remains per hour.</t>
  </si>
  <si>
    <t>Breakeven display timeframe</t>
  </si>
  <si>
    <t>Dashboard!J16</t>
  </si>
  <si>
    <t>Changes dashboard display units; source breakeven remains seconds.</t>
  </si>
  <si>
    <t>Sensitivity range</t>
  </si>
  <si>
    <t>±10%</t>
  </si>
  <si>
    <t>Dashboard!H43:L49</t>
  </si>
  <si>
    <t>One-at-a-time, uniform ore value, cost, and travel-time changes.</t>
  </si>
  <si>
    <t>DATA DICTIONARY</t>
  </si>
  <si>
    <t>Term</t>
  </si>
  <si>
    <t>Unit</t>
  </si>
  <si>
    <t>Definition</t>
  </si>
  <si>
    <t>Core formula / rule</t>
  </si>
  <si>
    <t>Primary source</t>
  </si>
  <si>
    <t>return per hour</t>
  </si>
  <si>
    <t>Incremental value generated per hour relative to upgrade cost.</t>
  </si>
  <si>
    <t>Deposit increase × planet worth × 3,600 ÷ upgrade cost</t>
  </si>
  <si>
    <t>Mining ROI / Speed ROI / Cargo ROI / Unlock Planet ROI</t>
  </si>
  <si>
    <t>seconds</t>
  </si>
  <si>
    <t>Time required for incremental earnings to recover upgrade cost.</t>
  </si>
  <si>
    <t>Upgrade cost ÷ incremental earnings per second</t>
  </si>
  <si>
    <t>ROI calculation sheets</t>
  </si>
  <si>
    <t>percentage</t>
  </si>
  <si>
    <t>Current deposit production relative to the active mining/travel/cargo constraint.</t>
  </si>
  <si>
    <t>Current output ÷ constrained capacity</t>
  </si>
  <si>
    <t>Progress Tracker</t>
  </si>
  <si>
    <t>units per minute</t>
  </si>
  <si>
    <t>Collectible ore constrained by mining rate, cargo, and travel cycle.</t>
  </si>
  <si>
    <t>Minimum effective operating constraint</t>
  </si>
  <si>
    <t>Progress Tracker and ROI sheets</t>
  </si>
  <si>
    <t>game distance units</t>
  </si>
  <si>
    <t>Planet distance used in travel-time calculations.</t>
  </si>
  <si>
    <t>Planet-specific lookup</t>
  </si>
  <si>
    <t>Planets</t>
  </si>
  <si>
    <t>Upgrade cost</t>
  </si>
  <si>
    <t>currency / game value</t>
  </si>
  <si>
    <t>Cost of the next Mining, Speed, Cargo, or Unlock level.</t>
  </si>
  <si>
    <t>Progression cost × planet economics</t>
  </si>
  <si>
    <t>Planet Economy and Upgrade Progression</t>
  </si>
  <si>
    <t>0–100%</t>
  </si>
  <si>
    <t>Percentile-style rank score; higher ROI receives a higher score.</t>
  </si>
  <si>
    <t>Rank-based score across eligible alternatives</t>
  </si>
  <si>
    <t>Hybrid Cal</t>
  </si>
  <si>
    <t>Percentile-style rank score; faster payback receives a higher score.</t>
  </si>
  <si>
    <t>Inverse rank-based score across eligible alternatives</t>
  </si>
  <si>
    <t>Weighted decision score used for the main ranking.</t>
  </si>
  <si>
    <t>ROI weight × ROI Score + BE weight × BE Score</t>
  </si>
  <si>
    <t>Planet Efficiency</t>
  </si>
  <si>
    <t>Remaining capacity used only as a final tie-breaker.</t>
  </si>
  <si>
    <t>MAX(0, MIN(1, 1 − future efficiency))</t>
  </si>
  <si>
    <t>DATA LINEAGE</t>
  </si>
  <si>
    <t>Stage</t>
  </si>
  <si>
    <t>Source layer</t>
  </si>
  <si>
    <t>Output layer</t>
  </si>
  <si>
    <t>Purpose</t>
  </si>
  <si>
    <t>1. Inputs</t>
  </si>
  <si>
    <t>Progress Tracker, Planets, Ore Values</t>
  </si>
  <si>
    <t>Planet Value / Planet Economy</t>
  </si>
  <si>
    <t>Capture levels, telescope, distances, ore values, and costs.</t>
  </si>
  <si>
    <t>2. Upgrade logic</t>
  </si>
  <si>
    <t>Upgrade Progression + input layers</t>
  </si>
  <si>
    <t>Mining / Speed / Cargo / Unlock ROI</t>
  </si>
  <si>
    <t>Calculate next-state efficiency, ROI, and breakeven.</t>
  </si>
  <si>
    <t>3. Standardization</t>
  </si>
  <si>
    <t>Four ROI sheets</t>
  </si>
  <si>
    <t>Convert valid metrics into comparable rank scores.</t>
  </si>
  <si>
    <t>4. Consolidation</t>
  </si>
  <si>
    <t>Normalize 304 alternatives and apply weights/tie-breakers.</t>
  </si>
  <si>
    <t>5. Quality assurance</t>
  </si>
  <si>
    <t>Scenario Validation + validation columns</t>
  </si>
  <si>
    <t>PASS/FAIL evidence</t>
  </si>
  <si>
    <t>Confirm scenario inputs and lookup consistency.</t>
  </si>
  <si>
    <t>6. Decision output</t>
  </si>
  <si>
    <t>Planet Efficiency top 10</t>
  </si>
  <si>
    <t>Dashboard</t>
  </si>
  <si>
    <t>Present recommendation, charts, coverage, and sensitivity.</t>
  </si>
  <si>
    <t>The model evaluates 304 Mining, Speed, Cargo, and Unlock alternatives across 76 planets, then ranks only candidates with valid ROI and breakeven results. ROI and breakeven weights are user-controlled on the Dashboard, and their current live values are shown in the assumptions table below; the bounded Longevity Score is used only as a final tie-breaker. The dashboard converts this calculation chain into a recommended action, trade-off chart, eligibility summary, and one-at-a-time sensitivity test.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</si>
</sst>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Yes&quot;;;&quot;No&quot;"/>
    <numFmt numFmtId="166" formatCode="&quot;Yes&quot;;\ ;&quot;No&quot;"/>
    <numFmt numFmtId="167" formatCode="0.00000000"/>
    <numFmt numFmtId="168" formatCode="0.000"/>
    <numFmt numFmtId="169" formatCode="0.0%"/>
    <numFmt numFmtId="170" formatCode="0.00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Calibri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Cambria"/>
      <family val="1"/>
    </font>
    <font>
      <b/>
      <sz val="11"/>
      <color theme="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b/>
      <sz val="18"/>
      <color rgb="FFFFFFFF"/>
      <name val="Aptos"/>
      <family val="2"/>
    </font>
    <font>
      <sz val="11"/>
      <color theme="1"/>
      <name val="Aptos"/>
      <family val="2"/>
    </font>
    <font>
      <b/>
      <sz val="11"/>
      <color rgb="FFFFFFFF"/>
      <name val="Aptos"/>
      <family val="2"/>
    </font>
    <font>
      <b/>
      <sz val="11"/>
      <color theme="1"/>
      <name val="Aptos"/>
      <family val="2"/>
    </font>
    <font>
      <i/>
      <sz val="11"/>
      <color rgb="FF666666"/>
      <name val="Aptos"/>
      <family val="2"/>
    </font>
    <font>
      <sz val="11"/>
      <color rgb="FF243746"/>
      <name val="Aptos"/>
      <family val="2"/>
    </font>
    <font>
      <i/>
      <sz val="10"/>
      <color rgb="FF666666"/>
      <name val="Aptos"/>
      <family val="2"/>
    </font>
    <font>
      <b/>
      <sz val="20"/>
      <color theme="1"/>
      <name val="Aptos"/>
      <family val="2"/>
    </font>
    <font>
      <b/>
      <sz val="12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2CC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17324D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F8FBFD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4">
    <xf numFmtId="0" fontId="0" fillId="0" borderId="0" xfId="0"/>
    <xf numFmtId="0" fontId="2" fillId="0" borderId="0" xfId="0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9" fontId="0" fillId="0" borderId="0" xfId="1" applyFont="1"/>
    <xf numFmtId="0" fontId="5" fillId="0" borderId="0" xfId="0" applyFont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44" fontId="5" fillId="0" borderId="0" xfId="2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1" fontId="0" fillId="0" borderId="0" xfId="0" applyNumberFormat="1"/>
    <xf numFmtId="44" fontId="5" fillId="0" borderId="0" xfId="0" applyNumberFormat="1" applyFont="1" applyAlignment="1">
      <alignment horizontal="center" vertical="center"/>
    </xf>
    <xf numFmtId="11" fontId="2" fillId="0" borderId="0" xfId="2" applyNumberFormat="1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43" fontId="4" fillId="0" borderId="0" xfId="3" applyFont="1" applyAlignment="1">
      <alignment horizontal="center" vertical="center" wrapText="1"/>
    </xf>
    <xf numFmtId="43" fontId="0" fillId="0" borderId="0" xfId="3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3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44" fontId="6" fillId="2" borderId="2" xfId="2" applyFont="1" applyFill="1" applyBorder="1" applyAlignment="1">
      <alignment horizontal="center" vertical="center"/>
    </xf>
    <xf numFmtId="44" fontId="0" fillId="0" borderId="2" xfId="2" applyFont="1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44" fontId="0" fillId="0" borderId="3" xfId="2" applyFont="1" applyBorder="1" applyAlignment="1">
      <alignment horizontal="center" vertical="center"/>
    </xf>
    <xf numFmtId="44" fontId="0" fillId="0" borderId="0" xfId="2" applyFont="1"/>
    <xf numFmtId="10" fontId="6" fillId="2" borderId="2" xfId="1" applyNumberFormat="1" applyFont="1" applyFill="1" applyBorder="1" applyAlignment="1">
      <alignment horizontal="center" vertical="center"/>
    </xf>
    <xf numFmtId="10" fontId="0" fillId="0" borderId="0" xfId="1" applyNumberFormat="1" applyFont="1"/>
    <xf numFmtId="2" fontId="0" fillId="0" borderId="0" xfId="0" applyNumberFormat="1"/>
    <xf numFmtId="10" fontId="0" fillId="0" borderId="2" xfId="1" applyNumberFormat="1" applyFon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6" fillId="2" borderId="2" xfId="3" applyNumberFormat="1" applyFont="1" applyFill="1" applyBorder="1" applyAlignment="1">
      <alignment horizontal="center" vertical="center"/>
    </xf>
    <xf numFmtId="2" fontId="0" fillId="0" borderId="2" xfId="3" applyNumberFormat="1" applyFont="1" applyBorder="1" applyAlignment="1">
      <alignment horizontal="center" vertical="center"/>
    </xf>
    <xf numFmtId="2" fontId="0" fillId="0" borderId="0" xfId="3" applyNumberFormat="1" applyFont="1"/>
    <xf numFmtId="2" fontId="0" fillId="0" borderId="0" xfId="1" applyNumberFormat="1" applyFont="1" applyAlignment="1">
      <alignment horizontal="center" vertical="center"/>
    </xf>
    <xf numFmtId="1" fontId="6" fillId="2" borderId="2" xfId="3" applyNumberFormat="1" applyFont="1" applyFill="1" applyBorder="1" applyAlignment="1">
      <alignment horizontal="center" vertical="center"/>
    </xf>
    <xf numFmtId="1" fontId="0" fillId="0" borderId="0" xfId="3" applyNumberFormat="1" applyFont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166" fontId="0" fillId="0" borderId="0" xfId="1" applyNumberFormat="1" applyFon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2" borderId="2" xfId="1" applyNumberFormat="1" applyFont="1" applyFill="1" applyBorder="1" applyAlignment="1">
      <alignment horizontal="center" vertical="center"/>
    </xf>
    <xf numFmtId="0" fontId="0" fillId="0" borderId="0" xfId="2" applyNumberFormat="1" applyFont="1" applyAlignment="1">
      <alignment horizontal="center" vertical="center"/>
    </xf>
    <xf numFmtId="0" fontId="0" fillId="0" borderId="0" xfId="1" applyNumberFormat="1" applyFont="1"/>
    <xf numFmtId="1" fontId="0" fillId="0" borderId="2" xfId="3" applyNumberFormat="1" applyFont="1" applyBorder="1" applyAlignment="1">
      <alignment horizontal="center" vertical="center"/>
    </xf>
    <xf numFmtId="1" fontId="0" fillId="0" borderId="0" xfId="3" applyNumberFormat="1" applyFont="1" applyBorder="1" applyAlignment="1">
      <alignment horizontal="center" vertical="center"/>
    </xf>
    <xf numFmtId="2" fontId="6" fillId="2" borderId="2" xfId="2" applyNumberFormat="1" applyFont="1" applyFill="1" applyBorder="1" applyAlignment="1">
      <alignment horizontal="center" vertical="center"/>
    </xf>
    <xf numFmtId="2" fontId="0" fillId="0" borderId="0" xfId="2" applyNumberFormat="1" applyFont="1" applyBorder="1" applyAlignment="1">
      <alignment horizontal="center" vertical="center"/>
    </xf>
    <xf numFmtId="44" fontId="0" fillId="0" borderId="0" xfId="2" applyFont="1" applyBorder="1" applyAlignment="1">
      <alignment horizontal="center" vertical="center"/>
    </xf>
    <xf numFmtId="2" fontId="0" fillId="0" borderId="0" xfId="3" applyNumberFormat="1" applyFont="1" applyBorder="1" applyAlignment="1">
      <alignment horizontal="center" vertical="center"/>
    </xf>
    <xf numFmtId="167" fontId="6" fillId="2" borderId="2" xfId="3" applyNumberFormat="1" applyFont="1" applyFill="1" applyBorder="1" applyAlignment="1">
      <alignment horizontal="center" vertical="center"/>
    </xf>
    <xf numFmtId="167" fontId="0" fillId="0" borderId="0" xfId="0" applyNumberFormat="1"/>
    <xf numFmtId="0" fontId="0" fillId="0" borderId="0" xfId="0" applyAlignment="1">
      <alignment vertical="center" wrapText="1"/>
    </xf>
    <xf numFmtId="168" fontId="0" fillId="0" borderId="0" xfId="0" applyNumberFormat="1" applyAlignment="1">
      <alignment vertical="center" wrapText="1"/>
    </xf>
    <xf numFmtId="0" fontId="0" fillId="4" borderId="0" xfId="0" applyFill="1" applyAlignment="1">
      <alignment horizontal="center" vertical="center"/>
    </xf>
    <xf numFmtId="169" fontId="0" fillId="0" borderId="0" xfId="0" applyNumberFormat="1"/>
    <xf numFmtId="0" fontId="6" fillId="2" borderId="4" xfId="0" applyFont="1" applyFill="1" applyBorder="1" applyAlignment="1">
      <alignment horizontal="center" vertical="center"/>
    </xf>
    <xf numFmtId="168" fontId="0" fillId="0" borderId="2" xfId="3" applyNumberFormat="1" applyFont="1" applyBorder="1" applyAlignment="1">
      <alignment horizontal="center" vertical="center"/>
    </xf>
    <xf numFmtId="168" fontId="0" fillId="0" borderId="0" xfId="3" applyNumberFormat="1" applyFont="1" applyBorder="1" applyAlignment="1">
      <alignment horizontal="center" vertical="center"/>
    </xf>
    <xf numFmtId="168" fontId="0" fillId="0" borderId="2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vertical="center" wrapText="1"/>
    </xf>
    <xf numFmtId="2" fontId="0" fillId="0" borderId="0" xfId="0" applyNumberFormat="1" applyAlignment="1">
      <alignment vertical="center" wrapText="1"/>
    </xf>
    <xf numFmtId="10" fontId="4" fillId="0" borderId="0" xfId="1" applyNumberFormat="1" applyFont="1" applyAlignment="1">
      <alignment vertical="center" wrapText="1"/>
    </xf>
    <xf numFmtId="170" fontId="0" fillId="0" borderId="0" xfId="0" applyNumberFormat="1"/>
    <xf numFmtId="4" fontId="0" fillId="0" borderId="0" xfId="0" applyNumberFormat="1"/>
    <xf numFmtId="169" fontId="0" fillId="0" borderId="0" xfId="1" applyNumberFormat="1" applyFont="1" applyAlignment="1">
      <alignment vertical="center" wrapText="1"/>
    </xf>
    <xf numFmtId="0" fontId="7" fillId="10" borderId="2" xfId="0" applyFont="1" applyFill="1" applyBorder="1" applyAlignment="1">
      <alignment horizontal="center" vertical="center"/>
    </xf>
    <xf numFmtId="0" fontId="4" fillId="0" borderId="0" xfId="0" applyFont="1"/>
    <xf numFmtId="9" fontId="0" fillId="0" borderId="0" xfId="0" applyNumberFormat="1"/>
    <xf numFmtId="0" fontId="10" fillId="0" borderId="0" xfId="0" applyFont="1"/>
    <xf numFmtId="0" fontId="11" fillId="10" borderId="0" xfId="0" applyFont="1" applyFill="1" applyAlignment="1">
      <alignment horizontal="center"/>
    </xf>
    <xf numFmtId="0" fontId="10" fillId="13" borderId="0" xfId="0" applyFont="1" applyFill="1"/>
    <xf numFmtId="9" fontId="10" fillId="13" borderId="0" xfId="0" applyNumberFormat="1" applyFont="1" applyFill="1"/>
    <xf numFmtId="0" fontId="10" fillId="13" borderId="0" xfId="0" applyFont="1" applyFill="1" applyAlignment="1">
      <alignment wrapText="1"/>
    </xf>
    <xf numFmtId="0" fontId="12" fillId="8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" fontId="10" fillId="0" borderId="0" xfId="0" applyNumberFormat="1" applyFont="1" applyAlignment="1">
      <alignment horizontal="right"/>
    </xf>
    <xf numFmtId="10" fontId="12" fillId="0" borderId="0" xfId="1" applyNumberFormat="1" applyFont="1" applyAlignment="1">
      <alignment horizontal="right"/>
    </xf>
    <xf numFmtId="9" fontId="10" fillId="0" borderId="0" xfId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10" fillId="0" borderId="0" xfId="0" applyNumberFormat="1" applyFont="1"/>
    <xf numFmtId="169" fontId="10" fillId="0" borderId="0" xfId="0" applyNumberFormat="1" applyFont="1"/>
    <xf numFmtId="4" fontId="10" fillId="0" borderId="0" xfId="0" applyNumberFormat="1" applyFont="1"/>
    <xf numFmtId="0" fontId="11" fillId="10" borderId="0" xfId="0" applyFont="1" applyFill="1"/>
    <xf numFmtId="0" fontId="12" fillId="0" borderId="0" xfId="0" applyFont="1"/>
    <xf numFmtId="0" fontId="11" fillId="9" borderId="0" xfId="0" applyFont="1" applyFill="1"/>
    <xf numFmtId="0" fontId="14" fillId="7" borderId="0" xfId="0" applyFont="1" applyFill="1" applyAlignment="1">
      <alignment wrapText="1"/>
    </xf>
    <xf numFmtId="0" fontId="14" fillId="12" borderId="0" xfId="0" applyFont="1" applyFill="1" applyAlignment="1">
      <alignment wrapText="1"/>
    </xf>
    <xf numFmtId="0" fontId="9" fillId="5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1" fillId="6" borderId="0" xfId="0" applyFont="1" applyFill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" fontId="16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3" fillId="11" borderId="0" xfId="0" applyFont="1" applyFill="1" applyAlignment="1">
      <alignment wrapText="1"/>
    </xf>
    <xf numFmtId="0" fontId="16" fillId="7" borderId="0" xfId="0" applyFont="1" applyFill="1" applyAlignment="1">
      <alignment horizontal="center" vertical="center"/>
    </xf>
    <xf numFmtId="10" fontId="16" fillId="7" borderId="0" xfId="1" applyNumberFormat="1" applyFont="1" applyFill="1" applyAlignment="1">
      <alignment horizontal="center" vertical="center"/>
    </xf>
    <xf numFmtId="1" fontId="16" fillId="7" borderId="0" xfId="0" applyNumberFormat="1" applyFont="1" applyFill="1" applyAlignment="1">
      <alignment horizontal="center" vertical="center"/>
    </xf>
    <xf numFmtId="1" fontId="10" fillId="0" borderId="6" xfId="0" applyNumberFormat="1" applyFont="1" applyBorder="1" applyAlignment="1">
      <alignment horizontal="center" vertical="center"/>
    </xf>
    <xf numFmtId="1" fontId="10" fillId="0" borderId="7" xfId="0" applyNumberFormat="1" applyFont="1" applyBorder="1" applyAlignment="1">
      <alignment horizontal="center" vertical="center"/>
    </xf>
    <xf numFmtId="1" fontId="10" fillId="0" borderId="8" xfId="0" applyNumberFormat="1" applyFont="1" applyBorder="1" applyAlignment="1">
      <alignment horizontal="center" vertical="center"/>
    </xf>
    <xf numFmtId="0" fontId="9" fillId="10" borderId="0" xfId="0" applyFont="1" applyFill="1"/>
    <xf numFmtId="0" fontId="13" fillId="0" borderId="0" xfId="0" applyFont="1"/>
    <xf numFmtId="0" fontId="14" fillId="11" borderId="0" xfId="0" applyFont="1" applyFill="1" applyAlignment="1">
      <alignment wrapText="1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2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</border>
    </dxf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&quot;Yes&quot;;\ ;&quot;No&quot;"/>
      <alignment horizontal="center" vertical="center" textRotation="0" wrapText="0" indent="0" justifyLastLine="0" shrinkToFit="0" readingOrder="0"/>
    </dxf>
    <dxf>
      <numFmt numFmtId="166" formatCode="&quot;Yes&quot;;\ ;&quot;No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numFmt numFmtId="168" formatCode="0.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0.000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</dxf>
    <dxf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_);_(&quot;$&quot;* \(#,##0\);_(&quot;$&quot;* &quot;-&quot;??_);_(@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alignment horizontal="center" textRotation="0" indent="0" justifyLastLine="0" shrinkToFit="0" readingOrder="0"/>
    </dxf>
    <dxf>
      <numFmt numFmtId="1" formatCode="0"/>
      <alignment horizontal="center" textRotation="0" indent="0" justifyLastLine="0" shrinkToFit="0" readingOrder="0"/>
    </dxf>
    <dxf>
      <numFmt numFmtId="2" formatCode="0.00"/>
      <alignment horizontal="center" textRotation="0" indent="0" justifyLastLine="0" shrinkToFit="0" readingOrder="0"/>
    </dxf>
    <dxf>
      <numFmt numFmtId="2" formatCode="0.0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numFmt numFmtId="34" formatCode="_(&quot;$&quot;* #,##0.00_);_(&quot;$&quot;* \(#,##0.00\);_(&quot;$&quot;* &quot;-&quot;??_);_(@_)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numFmt numFmtId="34" formatCode="_(&quot;$&quot;* #,##0.00_);_(&quot;$&quot;* \(#,##0.00\);_(&quot;$&quot;* &quot;-&quot;??_);_(@_)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5" formatCode="0.00E+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6" formatCode="&quot;Yes&quot;;\ ;&quot;No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&quot;Yes&quot;;\ ;&quot;No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&quot;Yes&quot;;\ ;&quot;No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general" vertical="center" textRotation="0" wrapText="1" indent="0" justifyLastLine="0" shrinkToFit="0" readingOrder="0"/>
    </dxf>
    <dxf>
      <font>
        <b/>
      </font>
      <numFmt numFmtId="14" formatCode="0.00%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0.0%"/>
      <alignment horizontal="general" vertical="center" textRotation="0" wrapText="1" indent="0" justifyLastLine="0" shrinkToFit="0" readingOrder="0"/>
    </dxf>
    <dxf>
      <numFmt numFmtId="14" formatCode="0.00%"/>
      <alignment horizontal="general" vertical="center" textRotation="0" wrapText="1" indent="0" justifyLastLine="0" shrinkToFit="0" readingOrder="0"/>
    </dxf>
    <dxf>
      <numFmt numFmtId="14" formatCode="0.00%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168" formatCode="0.000"/>
      <alignment horizontal="center" vertical="center" textRotation="0" wrapText="1" indent="0" justifyLastLine="0" shrinkToFit="0" readingOrder="0"/>
    </dxf>
    <dxf>
      <numFmt numFmtId="168" formatCode="0.000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170" formatCode="0.00000"/>
    </dxf>
    <dxf>
      <numFmt numFmtId="170" formatCode="0.00000"/>
    </dxf>
    <dxf>
      <font>
        <b/>
      </font>
    </dxf>
    <dxf>
      <numFmt numFmtId="0" formatCode="General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 patternType="solid">
          <fgColor indexed="64"/>
          <bgColor rgb="FFF4CCCC"/>
        </patternFill>
      </fill>
    </dxf>
    <dxf>
      <font>
        <color rgb="FF276221"/>
      </font>
      <fill>
        <patternFill patternType="solid">
          <fgColor indexed="64"/>
          <bgColor rgb="FFD9EAD3"/>
        </patternFill>
      </fill>
    </dxf>
    <dxf>
      <font>
        <color rgb="FF276221"/>
      </font>
      <fill>
        <patternFill patternType="solid">
          <fgColor indexed="64"/>
          <bgColor rgb="FFD9EA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Recommendations: ROI vs Breakeven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Mining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2F75B5"/>
              </a:solidFill>
              <a:ln w="9525">
                <a:solidFill>
                  <a:srgbClr val="2F75B5"/>
                </a:solidFill>
                <a:prstDash val="solid"/>
              </a:ln>
              <a:effectLst/>
            </c:spPr>
          </c:marker>
          <c:xVal>
            <c:numRef>
              <c:f>'Analysis Support'!$F$2:$F$11</c:f>
              <c:numCache>
                <c:formatCode>General</c:formatCode>
                <c:ptCount val="10"/>
                <c:pt idx="0">
                  <c:v>247.59375729872198</c:v>
                </c:pt>
                <c:pt idx="1">
                  <c:v>7740.4523544679196</c:v>
                </c:pt>
                <c:pt idx="2">
                  <c:v>7742.6795026073041</c:v>
                </c:pt>
                <c:pt idx="3">
                  <c:v>3817.8881081098252</c:v>
                </c:pt>
                <c:pt idx="4">
                  <c:v>9135.9927470535076</c:v>
                </c:pt>
                <c:pt idx="5">
                  <c:v>9601.4492753623163</c:v>
                </c:pt>
              </c:numCache>
            </c:numRef>
          </c:xVal>
          <c:yVal>
            <c:numRef>
              <c:f>'Analysis Support'!$G$2:$G$11</c:f>
              <c:numCache>
                <c:formatCode>General</c:formatCode>
                <c:ptCount val="10"/>
                <c:pt idx="0">
                  <c:v>123.42047662379188</c:v>
                </c:pt>
                <c:pt idx="1">
                  <c:v>27.905345851695756</c:v>
                </c:pt>
                <c:pt idx="2">
                  <c:v>27.897319000129524</c:v>
                </c:pt>
                <c:pt idx="3">
                  <c:v>9.2779089762692735</c:v>
                </c:pt>
                <c:pt idx="4">
                  <c:v>23.642750818695983</c:v>
                </c:pt>
                <c:pt idx="5">
                  <c:v>22.496603773584916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48-44F5-B849-CB15ADEA1D5F}"/>
            </c:ext>
          </c:extLst>
        </c:ser>
        <c:ser>
          <c:idx val="2"/>
          <c:order val="1"/>
          <c:tx>
            <c:v>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ED7D31"/>
              </a:solidFill>
              <a:ln w="9525">
                <a:solidFill>
                  <a:srgbClr val="ED7D31"/>
                </a:solidFill>
                <a:prstDash val="solid"/>
              </a:ln>
              <a:effectLst/>
            </c:spPr>
          </c:marker>
          <c:xVal>
            <c:numRef>
              <c:f>'Analysis Support'!$H$2:$H$11</c:f>
              <c:numCache>
                <c:formatCode>General</c:formatCode>
                <c:ptCount val="10"/>
                <c:pt idx="0">
                  <c:v>2116.4127085811929</c:v>
                </c:pt>
              </c:numCache>
            </c:numRef>
          </c:xVal>
          <c:yVal>
            <c:numRef>
              <c:f>'Analysis Support'!$I$2:$I$11</c:f>
              <c:numCache>
                <c:formatCode>General</c:formatCode>
                <c:ptCount val="10"/>
                <c:pt idx="0">
                  <c:v>25.344773154362386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48-44F5-B849-CB15ADEA1D5F}"/>
            </c:ext>
          </c:extLst>
        </c:ser>
        <c:ser>
          <c:idx val="3"/>
          <c:order val="2"/>
          <c:tx>
            <c:v>Cargo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2A9D8F"/>
              </a:solidFill>
              <a:ln w="9525">
                <a:solidFill>
                  <a:srgbClr val="2A9D8F"/>
                </a:solidFill>
                <a:prstDash val="solid"/>
              </a:ln>
              <a:effectLst/>
            </c:spPr>
          </c:marker>
          <c:xVal>
            <c:numRef>
              <c:f>'Analysis Support'!$J$2:$J$11</c:f>
              <c:numCache>
                <c:formatCode>General</c:formatCode>
                <c:ptCount val="10"/>
                <c:pt idx="0">
                  <c:v>2116.4127085811929</c:v>
                </c:pt>
              </c:numCache>
            </c:numRef>
          </c:xVal>
          <c:yVal>
            <c:numRef>
              <c:f>'Analysis Support'!$K$2:$K$11</c:f>
              <c:numCache>
                <c:formatCode>General</c:formatCode>
                <c:ptCount val="10"/>
                <c:pt idx="0">
                  <c:v>25.344773154362386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48-44F5-B849-CB15ADEA1D5F}"/>
            </c:ext>
          </c:extLst>
        </c:ser>
        <c:ser>
          <c:idx val="4"/>
          <c:order val="3"/>
          <c:tx>
            <c:v>Unlock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7F7F7F"/>
              </a:solidFill>
              <a:ln w="9525">
                <a:solidFill>
                  <a:srgbClr val="7F7F7F"/>
                </a:solidFill>
                <a:prstDash val="solid"/>
              </a:ln>
              <a:effectLst/>
            </c:spPr>
          </c:marker>
          <c:xVal>
            <c:numRef>
              <c:f>'Analysis Support'!$L$2:$L$11</c:f>
            </c:numRef>
          </c:xVal>
          <c:yVal>
            <c:numRef>
              <c:f>'Analysis Support'!$M$2:$M$11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48-44F5-B849-CB15ADEA1D5F}"/>
            </c:ext>
          </c:extLst>
        </c:ser>
        <c:ser>
          <c:idx val="5"/>
          <c:order val="4"/>
          <c:tx>
            <c:v>Top option: Newton — Cargo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3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'Analysis Support'!$N$2:$N$11</c:f>
              <c:numCache>
                <c:formatCode>General</c:formatCode>
                <c:ptCount val="10"/>
                <c:pt idx="0">
                  <c:v>247.59375729872198</c:v>
                </c:pt>
              </c:numCache>
            </c:numRef>
          </c:xVal>
          <c:yVal>
            <c:numRef>
              <c:f>'Analysis Support'!$O$2:$O$11</c:f>
              <c:numCache>
                <c:formatCode>General</c:formatCode>
                <c:ptCount val="10"/>
                <c:pt idx="0">
                  <c:v>123.42047662379188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48-44F5-B849-CB15ADEA1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650095"/>
        <c:axId val="747924143"/>
      </c:scatterChart>
      <c:valAx>
        <c:axId val="40765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Breakeven (seconds) — lower is better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924143"/>
        <c:crosses val="autoZero"/>
        <c:crossBetween val="midCat"/>
      </c:valAx>
      <c:valAx>
        <c:axId val="7479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ROI per hour — higher is better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0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Eligible Candidates by Upgrade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Candidates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'Analysis Support'!$P$2:$P$5</c:f>
              <c:strCache>
                <c:ptCount val="4"/>
                <c:pt idx="0">
                  <c:v>Mining</c:v>
                </c:pt>
                <c:pt idx="1">
                  <c:v>Speed</c:v>
                </c:pt>
                <c:pt idx="2">
                  <c:v>Cargo</c:v>
                </c:pt>
                <c:pt idx="3">
                  <c:v>Unlock</c:v>
                </c:pt>
              </c:strCache>
            </c:strRef>
          </c:cat>
          <c:val>
            <c:numRef>
              <c:f>'Analysis Support'!$Q$2:$Q$5</c:f>
              <c:numCache>
                <c:formatCode>General</c:formatCode>
                <c:ptCount val="4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8-4DF4-9B54-AB6544693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785007"/>
        <c:axId val="747953423"/>
      </c:barChart>
      <c:catAx>
        <c:axId val="76178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953423"/>
        <c:crosses val="autoZero"/>
        <c:auto val="1"/>
        <c:lblAlgn val="ctr"/>
        <c:lblOffset val="100"/>
        <c:noMultiLvlLbl val="0"/>
      </c:catAx>
      <c:valAx>
        <c:axId val="74795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Candidate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785007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6" fmlaLink="$J$10" horiz="1" max="100" min="1" page="10" val="5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160020</xdr:rowOff>
        </xdr:from>
        <xdr:to>
          <xdr:col>11</xdr:col>
          <xdr:colOff>99060</xdr:colOff>
          <xdr:row>2</xdr:row>
          <xdr:rowOff>144780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800100</xdr:colOff>
          <xdr:row>11</xdr:row>
          <xdr:rowOff>53340</xdr:rowOff>
        </xdr:from>
        <xdr:to>
          <xdr:col>11</xdr:col>
          <xdr:colOff>281940</xdr:colOff>
          <xdr:row>12</xdr:row>
          <xdr:rowOff>144780</xdr:rowOff>
        </xdr:to>
        <xdr:sp macro="" textlink="">
          <xdr:nvSpPr>
            <xdr:cNvPr id="17410" name="Scroll Bar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21</xdr:row>
      <xdr:rowOff>0</xdr:rowOff>
    </xdr:from>
    <xdr:to>
      <xdr:col>12</xdr:col>
      <xdr:colOff>0</xdr:colOff>
      <xdr:row>39</xdr:row>
      <xdr:rowOff>0</xdr:rowOff>
    </xdr:to>
    <xdr:graphicFrame macro="">
      <xdr:nvGraphicFramePr>
        <xdr:cNvPr id="5" name="ROI vs Breakeven">
          <a:extLst>
            <a:ext uri="{FF2B5EF4-FFF2-40B4-BE49-F238E27FC236}">
              <a16:creationId xmlns:a16="http://schemas.microsoft.com/office/drawing/2014/main" id="{4BB7F41F-97A4-273B-626B-7E1207FCF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0</xdr:rowOff>
    </xdr:from>
    <xdr:to>
      <xdr:col>6</xdr:col>
      <xdr:colOff>0</xdr:colOff>
      <xdr:row>67</xdr:row>
      <xdr:rowOff>0</xdr:rowOff>
    </xdr:to>
    <xdr:graphicFrame macro="">
      <xdr:nvGraphicFramePr>
        <xdr:cNvPr id="6" name="Eligible Candidates by Type">
          <a:extLst>
            <a:ext uri="{FF2B5EF4-FFF2-40B4-BE49-F238E27FC236}">
              <a16:creationId xmlns:a16="http://schemas.microsoft.com/office/drawing/2014/main" id="{37A7430F-5107-B687-C86E-CC0AFE87A9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00BA6E-4749-459C-9CB1-C611C2A54F89}" name="Table6" displayName="Table6" ref="A1:N30" totalsRowShown="0" headerRowDxfId="228" headerRowBorderDxfId="227" tableBorderDxfId="226">
  <autoFilter ref="A1:N30" xr:uid="{3900BA6E-4749-459C-9CB1-C611C2A54F89}"/>
  <sortState xmlns:xlrd2="http://schemas.microsoft.com/office/spreadsheetml/2017/richdata2" ref="A2:J30">
    <sortCondition ref="A1:A30"/>
  </sortState>
  <tableColumns count="14">
    <tableColumn id="1" xr3:uid="{2E8B5D56-58D9-4F24-92A5-1C4EF3D9F8AE}" name="Planet #"/>
    <tableColumn id="2" xr3:uid="{E844D916-776E-4A21-93D7-9AEA38B21C93}" name="Name">
      <calculatedColumnFormula>IF(Table6[[#This Row],[Planet '#]]="","",_xlfn.XLOOKUP(Table6[[#This Row],[Planet '#]],tblprogress[Planet '#],tblprogress[Name]))</calculatedColumnFormula>
    </tableColumn>
    <tableColumn id="3" xr3:uid="{F61AA7BF-F0C9-4BC8-ADBE-2929C97DFAB5}" name="Mining Level"/>
    <tableColumn id="4" xr3:uid="{95995DA7-6C2A-4933-85B8-B41419ACDFD8}" name="Ship Level"/>
    <tableColumn id="5" xr3:uid="{183C6F79-24B3-4EF0-9E9F-872FD09BEC8A}" name="Cargo Level"/>
    <tableColumn id="6" xr3:uid="{6CA180CC-2C37-4EC2-9A61-E6B595CC135B}" name="Mining Rate">
      <calculatedColumnFormula>_xlfn.XLOOKUP(Table6[[#This Row],[Mining Level]],tblUpgradeStats[Level],tblUpgradeStats[Mining Speed],0)</calculatedColumnFormula>
    </tableColumn>
    <tableColumn id="7" xr3:uid="{77C291CF-EC41-4FE2-96D9-35CA8F16AD53}" name="Ship Speed">
      <calculatedColumnFormula>_xlfn.XLOOKUP(Table6[[#This Row],[Ship Level]],tblUpgradeStats[Level],tblUpgradeStats[Ship Speed],0)</calculatedColumnFormula>
    </tableColumn>
    <tableColumn id="8" xr3:uid="{8D0C9409-3ACD-4293-8F44-E81628C73B4C}" name="Cargo">
      <calculatedColumnFormula>_xlfn.XLOOKUP(Table6[[#This Row],[Cargo Level]],tblUpgradeStats[Level],tblUpgradeStats[Cargo Amount],0)</calculatedColumnFormula>
    </tableColumn>
    <tableColumn id="9" xr3:uid="{1663AD61-402B-420D-8AE8-A1291EB71AD2}" name="Deposit Amount"/>
    <tableColumn id="10" xr3:uid="{369102B5-FFCB-400B-9ACA-85E7E8AF230C}" name="Distance" dataDxfId="225">
      <calculatedColumnFormula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calculatedColumnFormula>
    </tableColumn>
    <tableColumn id="11" xr3:uid="{CAE6B2D2-D217-446E-A1EB-71BBE9244D40}" name="Test Case">
      <calculatedColumnFormula>IF(Table6[[#This Row],[Planet '#]]="","","Planet "&amp;Table6[[#This Row],[Planet '#]]&amp;" — "&amp;Table6[[#This Row],[Name]])</calculatedColumnFormula>
    </tableColumn>
    <tableColumn id="12" xr3:uid="{A39B7F05-3951-41C4-937E-40EA21FE53DB}" name="Expected Result">
      <calculatedColumnFormula>IF(Table6[[#This Row],[Planet '#]]="","","Valid nonnegative scenario inputs")</calculatedColumnFormula>
    </tableColumn>
    <tableColumn id="13" xr3:uid="{3AD65865-0DEA-429B-B543-4DDDCEC3A19B}" name="Actual Result">
      <calculatedColumnFormula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calculatedColumnFormula>
    </tableColumn>
    <tableColumn id="14" xr3:uid="{AC3C8874-216C-443F-A3E1-ECC3A8B7BF9B}" name="Status" dataDxfId="224">
      <calculatedColumnFormula>IF(Table6[[#This Row],[Planet '#]]="","",IF(Table6[[#This Row],[Expected Result]]=Table6[[#This Row],[Actual Result]],"PASS","FAIL"))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EB6F1C-EA50-4558-B519-8A10F2609642}" name="Table15" displayName="Table15" ref="A1:C8" totalsRowShown="0">
  <autoFilter ref="A1:C8" xr:uid="{CEEB6F1C-EA50-4558-B519-8A10F2609642}"/>
  <tableColumns count="3">
    <tableColumn id="1" xr3:uid="{A86C9AF2-5105-48D2-8E9E-2C1C7A8C5EEA}" name="Time"/>
    <tableColumn id="2" xr3:uid="{1235940F-B8DD-40FE-B3A1-6843C151BEEE}" name="Seconds" dataDxfId="223"/>
    <tableColumn id="3" xr3:uid="{5B03FE57-FD1A-4D18-AC61-B151CA6E3834}" name="Hours" dataDxfId="22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38E8618-86AA-47D4-AD4E-508EFD625F3F}" name="Hybridtable" displayName="Hybridtable" ref="A1:R77" headerRowDxfId="221" dataDxfId="220">
  <autoFilter ref="A1:R77" xr:uid="{F38E8618-86AA-47D4-AD4E-508EFD625F3F}"/>
  <tableColumns count="18">
    <tableColumn id="1" xr3:uid="{B01CFCC6-E826-4B2B-B47F-FA4CF7A06AC3}" name="Planet #" dataDxfId="219" totalsRowDxfId="218"/>
    <tableColumn id="10" xr3:uid="{3B444D2B-1B7E-4FAA-B192-A6AAEE605467}" name="Name" dataDxfId="217" totalsRowDxfId="216">
      <calculatedColumnFormula>_xlfn.XLOOKUP(Hybridtable[[#This Row],[Planet '#]],tblPlanets[Planet '#],tblPlanets[Name])</calculatedColumnFormula>
    </tableColumn>
    <tableColumn id="2" xr3:uid="{BCE7D081-302E-4FFC-B648-34AFACBA8161}" name="Mining ROI/hr" totalsRowFunction="custom" dataDxfId="215">
      <calculatedColumnFormula>_xlfn.XLOOKUP(Hybridtable[[#This Row],[Planet '#]],MiningROItable[Planet '#],MiningROItable[ROI])</calculatedColumnFormula>
      <totalsRowFormula>IFERROR(SUBTOTAL(101,Hybridtable[Mining ROI/hr]),"")</totalsRowFormula>
    </tableColumn>
    <tableColumn id="3" xr3:uid="{E3A39317-144E-4B30-9B6D-67C96BCD2C0F}" name="Mining Breakeven (sec)" totalsRowFunction="custom" dataDxfId="214">
      <calculatedColumnFormula>_xlfn.XLOOKUP(Hybridtable[[#This Row],[Planet '#]],MiningROItable[Planet '#],MiningROItable[Breakeven])</calculatedColumnFormula>
      <totalsRowFormula>IFERROR(SUBTOTAL(101,Hybridtable[Mining Breakeven (sec)]),"")</totalsRowFormula>
    </tableColumn>
    <tableColumn id="4" xr3:uid="{695D2300-C15E-4B84-802B-28DE5D04F27F}" name="Speed ROI/hr" totalsRowFunction="custom" dataDxfId="213">
      <calculatedColumnFormula>_xlfn.XLOOKUP(Hybridtable[[#This Row],[Planet '#]],SpeedROI[Planet '#],SpeedROI[ROI])</calculatedColumnFormula>
      <totalsRowFormula>IFERROR(SUBTOTAL(101,Hybridtable[Speed ROI/hr]),"")</totalsRowFormula>
    </tableColumn>
    <tableColumn id="5" xr3:uid="{9D939856-E680-4689-8238-6B9DBA087AA1}" name="Speed Breakeven (sec)" totalsRowFunction="custom" dataDxfId="212">
      <calculatedColumnFormula>_xlfn.XLOOKUP(Hybridtable[[#This Row],[Planet '#]],SpeedROI[Planet '#],SpeedROI[Breakeven])</calculatedColumnFormula>
      <totalsRowFormula>IFERROR(SUBTOTAL(101,Hybridtable[Speed Breakeven (sec)]),"")</totalsRowFormula>
    </tableColumn>
    <tableColumn id="6" xr3:uid="{9777CCB3-2781-43C8-88F9-171DBE482671}" name="Cargo ROI/hr" totalsRowFunction="custom" dataDxfId="211">
      <calculatedColumnFormula>_xlfn.XLOOKUP(Hybridtable[[#This Row],[Planet '#]],CargoROI[Planet '#],CargoROI[ROI])</calculatedColumnFormula>
      <totalsRowFormula>IFERROR(SUBTOTAL(101,Hybridtable[Cargo ROI/hr]),"")</totalsRowFormula>
    </tableColumn>
    <tableColumn id="7" xr3:uid="{CD2A5A45-EAA4-42A0-8ABE-A7844D5F8B7A}" name="Cargo Breakeven (sec)" totalsRowFunction="custom" dataDxfId="210">
      <calculatedColumnFormula>_xlfn.XLOOKUP(Hybridtable[[#This Row],[Planet '#]],CargoROI[Planet '#],CargoROI[Breakeven])</calculatedColumnFormula>
      <totalsRowFormula>IFERROR(SUBTOTAL(101,Hybridtable[Cargo Breakeven (sec)]),"")</totalsRowFormula>
    </tableColumn>
    <tableColumn id="8" xr3:uid="{44DD3776-A30F-419B-9670-9976311E078C}" name="Unlock ROI/hr" totalsRowFunction="custom" dataDxfId="209">
      <calculatedColumnFormula>_xlfn.XLOOKUP(Hybridtable[[#This Row],[Planet '#]],UnlockROI[Planet '#],UnlockROI[ROI])</calculatedColumnFormula>
      <totalsRowFormula>IFERROR(SUBTOTAL(101,Hybridtable[Unlock ROI/hr]),"")</totalsRowFormula>
    </tableColumn>
    <tableColumn id="9" xr3:uid="{67D17E6F-EEA4-49BF-9A33-B61CAD90B636}" name="Unlock Breakeven (sec)" totalsRowFunction="custom" dataDxfId="208">
      <calculatedColumnFormula>_xlfn.XLOOKUP(Hybridtable[[#This Row],[Planet '#]],UnlockROI[Planet '#],UnlockROI[Breakeven])</calculatedColumnFormula>
      <totalsRowFormula>IFERROR(SUBTOTAL(101,Hybridtable[Unlock Breakeven (sec)]),"")</totalsRowFormula>
    </tableColumn>
    <tableColumn id="14" xr3:uid="{A3D86F0D-4C58-4CAA-ABEA-AE8F3EFEE722}" name="Mining ROI Score" totalsRowFunction="custom" dataDxfId="207" totalsRowDxfId="206">
      <calculatedColumnFormula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calculatedColumnFormula>
      <totalsRowFormula>IFERROR(SUBTOTAL(101,Hybridtable[Mining ROI Score]),"")</totalsRowFormula>
    </tableColumn>
    <tableColumn id="15" xr3:uid="{1FE6BC39-27D1-4946-BEC8-E27987B07458}" name="Mining BE Score" totalsRowFunction="custom" dataDxfId="205" totalsRowDxfId="204">
      <calculatedColumnFormula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calculatedColumnFormula>
      <totalsRowFormula>IFERROR(SUBTOTAL(101,Hybridtable[Mining BE Score]),"")</totalsRowFormula>
    </tableColumn>
    <tableColumn id="17" xr3:uid="{6A9C4062-595A-44CB-8C48-8D11659E7F15}" name="Speed ROI Score" totalsRowFunction="custom" dataDxfId="203" totalsRowDxfId="202">
      <calculatedColumnFormula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calculatedColumnFormula>
      <totalsRowFormula>IFERROR(SUBTOTAL(101,Hybridtable[Speed ROI Score]),"")</totalsRowFormula>
    </tableColumn>
    <tableColumn id="18" xr3:uid="{A3BA8A43-0DF5-4C51-8080-EC81CA782391}" name="Speed BE Score" totalsRowFunction="custom" dataDxfId="201" totalsRowDxfId="200">
      <calculatedColumnFormula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calculatedColumnFormula>
      <totalsRowFormula>IFERROR(SUBTOTAL(101,Hybridtable[Speed BE Score]),"")</totalsRowFormula>
    </tableColumn>
    <tableColumn id="20" xr3:uid="{FF7AA386-620E-4060-9E8D-21D6A888A3AF}" name="Cargo ROI Score" totalsRowFunction="custom" dataDxfId="199" totalsRowDxfId="198">
      <calculatedColumnFormula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calculatedColumnFormula>
      <totalsRowFormula>IFERROR(SUBTOTAL(101,Hybridtable[Cargo ROI Score]),"")</totalsRowFormula>
    </tableColumn>
    <tableColumn id="21" xr3:uid="{E7F217E0-87C8-4F20-8C62-D2FC54941526}" name="Cargo BE Score" totalsRowFunction="custom" dataDxfId="197" totalsRowDxfId="196">
      <calculatedColumnFormula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calculatedColumnFormula>
      <totalsRowFormula>IFERROR(SUBTOTAL(101,Hybridtable[Cargo BE Score]),"")</totalsRowFormula>
    </tableColumn>
    <tableColumn id="23" xr3:uid="{78CE6600-F17A-4A5F-AD1D-74861E325001}" name="Unlock ROI Score" totalsRowFunction="custom" dataDxfId="195" totalsRowDxfId="194">
      <calculatedColumnFormula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calculatedColumnFormula>
      <totalsRowFormula>IFERROR(SUBTOTAL(101,Hybridtable[Unlock ROI Score]),"")</totalsRowFormula>
    </tableColumn>
    <tableColumn id="24" xr3:uid="{991086BE-9C30-4D2C-9676-1FA555CEFD89}" name="Unlock BE Score" totalsRowFunction="custom" dataDxfId="193" totalsRowDxfId="192">
      <calculatedColumnFormula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calculatedColumnFormula>
      <totalsRowFormula>IFERROR(SUBTOTAL(101,Hybridtable[Unlock BE Score]),"")</totalsRow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10D425-E762-42BC-B8F9-0611C9183BF1}" name="UpgradeScores" displayName="UpgradeScores" ref="A1:L305" totalsRowShown="0" headerRowDxfId="191" dataDxfId="190">
  <autoFilter ref="A1:L305" xr:uid="{E110D425-E762-42BC-B8F9-0611C9183BF1}"/>
  <tableColumns count="12">
    <tableColumn id="1" xr3:uid="{0B6177D5-E9F4-4D00-85AD-223B5DED2D37}" name="Planet #" dataDxfId="189">
      <calculatedColumnFormula>INT((ROW()-ROW($A$2))/4)+1</calculatedColumnFormula>
    </tableColumn>
    <tableColumn id="2" xr3:uid="{C77D1D27-3DE8-48E2-A29E-7E5775F0B379}" name="Name" dataDxfId="188">
      <calculatedColumnFormula>_xlfn.XLOOKUP(UpgradeScores[[#This Row],[Planet '#]],Hybridtable[Planet '#],Hybridtable[Name])</calculatedColumnFormula>
    </tableColumn>
    <tableColumn id="3" xr3:uid="{29106581-2620-4E14-80AC-84611A9B54E7}" name="Upgrade Type" dataDxfId="187"/>
    <tableColumn id="4" xr3:uid="{5BFF8F32-B4FE-4569-A0B5-AD34AA508348}" name="ROI/hr." dataDxfId="186">
      <calculatedColumnFormula array="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calculatedColumnFormula>
    </tableColumn>
    <tableColumn id="5" xr3:uid="{37893A3B-D246-4459-94AF-200C91E432CB}" name="Breakeven (sec)" dataDxfId="185">
      <calculatedColumnFormula array="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calculatedColumnFormula>
    </tableColumn>
    <tableColumn id="6" xr3:uid="{77D33A84-BCA3-466E-A1F1-37B40925EFE6}" name="ROI Score" dataDxfId="184" dataCellStyle="Percent">
      <calculatedColumnFormula array="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calculatedColumnFormula>
    </tableColumn>
    <tableColumn id="7" xr3:uid="{5E9C011F-73FA-4106-A16B-DB8750797D91}" name="BE Score" dataDxfId="183" dataCellStyle="Percent">
      <calculatedColumnFormula array="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calculatedColumnFormula>
    </tableColumn>
    <tableColumn id="12" xr3:uid="{82455643-0E9C-477F-9CE2-74633C00B316}" name="Longevity Score" dataDxfId="182" dataCellStyle="Percent">
      <calculatedColumnFormula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calculatedColumnFormula>
    </tableColumn>
    <tableColumn id="8" xr3:uid="{5510FA71-D6B7-4246-992F-6B892F50D594}" name="Hybrid Score" dataDxfId="181" dataCellStyle="Percent">
      <calculatedColumnFormula>IF(COUNT(F2:G2)&lt;2,"",$N$16*UpgradeScores[[#This Row],[ROI Score]]+$O$16*UpgradeScores[[#This Row],[BE Score]])</calculatedColumnFormula>
    </tableColumn>
    <tableColumn id="11" xr3:uid="{7669B128-98D2-4D14-9BA8-7859275D539B}" name="Tie Breaker" dataDxfId="180" dataCellStyle="Percent">
      <calculatedColumnFormula>IF(COUNT(F2:G2)&lt;2,"",SQRT(F2*G2))</calculatedColumnFormula>
    </tableColumn>
    <tableColumn id="9" xr3:uid="{2E1615F2-661A-4F29-924C-F13C244CD957}" name="Grade" dataDxfId="179">
      <calculatedColumnFormula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calculatedColumnFormula>
    </tableColumn>
    <tableColumn id="13" xr3:uid="{297E5A56-8C7B-4E53-9246-E89464E4C44D}" name="Ranking" dataDxfId="178">
      <calculatedColumnFormula>IF(UpgradeScores[[#This Row],[Grade]]="", "",
   _xlfn.RANK.EQ(UpgradeScores[[#This Row],[Grade]], UpgradeScores[Grade], 1)
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B42186-1373-4F39-9563-EE6BFAC5CE7B}" name="Table10" displayName="Table10" ref="N1:T11" totalsRowShown="0">
  <autoFilter ref="N1:T11" xr:uid="{B8B42186-1373-4F39-9563-EE6BFAC5CE7B}"/>
  <tableColumns count="7">
    <tableColumn id="1" xr3:uid="{B144DE52-9B0A-4115-A9BD-337BE78B653E}" name="Rank" dataDxfId="177"/>
    <tableColumn id="2" xr3:uid="{C2E72011-EB84-40F9-A6D3-A5A5C40DC9FE}" name="Planet #" dataDxfId="176">
      <calculatedColumnFormula>IFERROR(INDEX(UpgradeScores[Planet '#], MATCH(Table10[[#This Row],[Rank]], UpgradeScores[Ranking], 0)),"")</calculatedColumnFormula>
    </tableColumn>
    <tableColumn id="3" xr3:uid="{59C0BC93-C49E-4FC6-BCF8-15AD6E30F8F6}" name="Name" dataDxfId="175">
      <calculatedColumnFormula>IFERROR(INDEX(UpgradeScores[Name], MATCH(Table10[[#This Row],[Rank]], UpgradeScores[Ranking], 0)),"")</calculatedColumnFormula>
    </tableColumn>
    <tableColumn id="4" xr3:uid="{C7C42EDB-F1CA-43B1-A7BB-177F389AC7C1}" name="Type" dataDxfId="174">
      <calculatedColumnFormula>IFERROR(INDEX(UpgradeScores[Upgrade Type], MATCH(Table10[[#This Row],[Rank]], UpgradeScores[Ranking], 0)),"")</calculatedColumnFormula>
    </tableColumn>
    <tableColumn id="5" xr3:uid="{C8EB819D-5B6B-4070-B241-6A7D9A120F0B}" name="ROI" dataDxfId="173">
      <calculatedColumnFormula>IFERROR(INDEX(UpgradeScores[ROI/hr.], MATCH(Table10[[#This Row],[Rank]], UpgradeScores[Ranking], 0)),"")</calculatedColumnFormula>
    </tableColumn>
    <tableColumn id="6" xr3:uid="{8819DF89-9F21-49A2-AF29-4BDF19391EC2}" name="Breakeven" dataDxfId="172">
      <calculatedColumnFormula>IFERROR(INDEX(UpgradeScores[Breakeven (sec)], MATCH(Table10[[#This Row],[Rank]], UpgradeScores[Ranking], 0)),"")</calculatedColumnFormula>
    </tableColumn>
    <tableColumn id="7" xr3:uid="{1E434C49-F012-4179-9704-8289595B7A2E}" name="Hybrid" dataDxfId="171">
      <calculatedColumnFormula>IFERROR(INDEX(UpgradeScores[Hybrid Score], MATCH(Table10[[#This Row],[Rank]], UpgradeScores[Ranking], 0)),"")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E0165A-682A-444B-8FC2-5761631C7DA7}" name="tblprogress" displayName="tblprogress" ref="A1:Q77" totalsRowShown="0" headerRowDxfId="169" dataDxfId="168">
  <autoFilter ref="A1:Q77" xr:uid="{C6E0165A-682A-444B-8FC2-5761631C7DA7}"/>
  <tableColumns count="17">
    <tableColumn id="1" xr3:uid="{19848571-5CC9-413C-8D68-DD98BCE83022}" name="Planet #" dataDxfId="167"/>
    <tableColumn id="2" xr3:uid="{7E13574C-C083-4893-8F1C-533286F8BEFA}" name="Name" dataDxfId="166">
      <calculatedColumnFormula>_xlfn.XLOOKUP(tblprogress[[#This Row],[Planet '#]],tblPlanets[Planet '#],tblPlanets[Name])</calculatedColumnFormula>
    </tableColumn>
    <tableColumn id="3" xr3:uid="{0FF7DBC2-7556-46C1-9814-B59A1BD7941B}" name="Mining Level" dataDxfId="165"/>
    <tableColumn id="4" xr3:uid="{7BF7F5CB-7EAD-44CE-BB33-AB4F18A11F33}" name="Ship Level" dataDxfId="164"/>
    <tableColumn id="5" xr3:uid="{DDC7B36C-3103-456D-B85C-A2B20E253821}" name="Cargo Level" dataDxfId="163"/>
    <tableColumn id="6" xr3:uid="{0A857C25-2734-4941-9AAC-ED0E805BB638}" name="Mining Rate" dataDxfId="162">
      <calculatedColumnFormula>_xlfn.XLOOKUP(tblprogress[[#This Row],[Mining Level]],tblUpgradeStats[Level],tblUpgradeStats[Mining Speed],0)</calculatedColumnFormula>
    </tableColumn>
    <tableColumn id="7" xr3:uid="{F7929F5F-E722-47D7-A898-E1A78F110875}" name="Ship Speed" dataDxfId="161">
      <calculatedColumnFormula>_xlfn.XLOOKUP(tblprogress[[#This Row],[Ship Level]],tblUpgradeStats[Level],tblUpgradeStats[Ship Speed],0)</calculatedColumnFormula>
    </tableColumn>
    <tableColumn id="8" xr3:uid="{B4518D91-E6FF-4CAF-A645-5EF3DAE7DB09}" name="Cargo" dataDxfId="160">
      <calculatedColumnFormula>_xlfn.XLOOKUP(tblprogress[[#This Row],[Cargo Level]],tblUpgradeStats[Level],tblUpgradeStats[Cargo Amount],0)</calculatedColumnFormula>
    </tableColumn>
    <tableColumn id="14" xr3:uid="{69FA9F64-787D-4C06-870C-2E2206664943}" name="Efficiency" dataDxfId="159" dataCellStyle="Percent">
      <calculatedColumnFormula>IFERROR(tblprogress[[#This Row],[Mining Rate]]*(2*tblprogress[[#This Row],[Planets Distance]]/tblprogress[[#This Row],[Ship Speed]])/tblprogress[[#This Row],[Cargo]],0)</calculatedColumnFormula>
    </tableColumn>
    <tableColumn id="15" xr3:uid="{1897E28E-3978-457E-A2CC-4FA3D87F0D22}" name="Deposit" dataDxfId="158" dataCellStyle="Percent">
      <calculatedColumnFormula>IF(tblprogress[[#This Row],[Efficiency]]&lt;1,tblprogress[[#This Row],[Mining Rate]]*60,tblprogress[[#This Row],[Cargo]]/(2*tblprogress[[#This Row],[Planets Distance]]/tblprogress[[#This Row],[Ship Speed]])*60)</calculatedColumnFormula>
    </tableColumn>
    <tableColumn id="16" xr3:uid="{30C81BF9-25DA-4ED1-8E67-11316816D721}" name="Earnings/Sec" dataDxfId="157" dataCellStyle="Currency">
      <calculatedColumnFormula>IFERROR(_xlfn.XLOOKUP(tblprogress[[#This Row],[Planet '#]],tblplanetvalue[Planet '#],tblplanetvalue[Total Worth])*tblprogress[[#This Row],[Deposit]]/60,0)</calculatedColumnFormula>
    </tableColumn>
    <tableColumn id="17" xr3:uid="{9242A1DC-8265-44D5-832D-478749AD8E89}" name="Unlocked" dataDxfId="156" dataCellStyle="Percent">
      <calculatedColumnFormula>IF(tblprogress[[#This Row],[Deposit]]&gt;0,1,0)</calculatedColumnFormula>
    </tableColumn>
    <tableColumn id="10" xr3:uid="{B8ABF6DE-B309-41F3-8469-96AEF9EF047E}" name="Possible to Unlock" dataDxfId="155" dataCellStyle="Percent">
      <calculatedColumnFormula>IF(tblprogress[[#This Row],[Telescope]]&lt;=CurrentTelescope,1,0)</calculatedColumnFormula>
    </tableColumn>
    <tableColumn id="20" xr3:uid="{748BDD4A-08B5-4AED-9E55-395CE8182AAB}" name="Planets Distance" dataDxfId="154" dataCellStyle="Percent">
      <calculatedColumnFormula>_xlfn.XLOOKUP(tblprogress[[#This Row],[Planet '#]],tblPlanets[Planet '#],tblPlanets[Distance])</calculatedColumnFormula>
    </tableColumn>
    <tableColumn id="22" xr3:uid="{D6EDA68C-9997-40E7-B06E-0110EAFCA4C2}" name="Total Time" dataDxfId="153">
      <calculatedColumnFormula>IF(tblprogress[[#This Row],[Ship Speed]]=0,"",2*tblprogress[[#This Row],[Planets Distance]]/tblprogress[[#This Row],[Ship Speed]])</calculatedColumnFormula>
    </tableColumn>
    <tableColumn id="9" xr3:uid="{58DB1F00-6CD2-44F7-9CC6-8ADC9A0FA269}" name="Telescope" dataDxfId="152">
      <calculatedColumnFormula>_xlfn.XLOOKUP(tblprogress[[#This Row],[Planet '#]],tblPlanets[Planet '#],tblPlanets[Telescope])</calculatedColumnFormula>
    </tableColumn>
    <tableColumn id="21" xr3:uid="{A07E5418-A152-493F-AD41-B1835043CEAA}" name="Validation" dataDxfId="151" dataCellStyle="Percent">
      <calculatedColumnFormula>IF(
   _xlfn.XLOOKUP(tblprogress[[#This Row],[Planet '#]], tblPlanets[Planet '#], tblPlanets[Name])=tblprogress[[#This Row],[Name]],
   "Match",
   "Mismatch"
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63635B-6454-45F7-9B87-9FC503491F45}" name="tblPlanets" displayName="tblPlanets" ref="A1:K77" totalsRowShown="0" headerRowDxfId="150" dataDxfId="149">
  <autoFilter ref="A1:K77" xr:uid="{2363635B-6454-45F7-9B87-9FC503491F45}"/>
  <tableColumns count="11">
    <tableColumn id="1" xr3:uid="{539E7507-CAC3-4E1E-8C4B-4586D4C9DE05}" name="Planet #" dataDxfId="148"/>
    <tableColumn id="9" xr3:uid="{7AA3EBEA-AD00-466E-BEDA-D9C99C8A21EC}" name="Name" dataDxfId="147"/>
    <tableColumn id="10" xr3:uid="{6D4D7E37-1609-45F8-85ED-8EE62ED76CBD}" name="Telescope" dataDxfId="146"/>
    <tableColumn id="8" xr3:uid="{EB6EB14B-F8B1-4EB4-9CB9-F9536DD2426A}" name="Unlock Price" dataDxfId="145"/>
    <tableColumn id="12" xr3:uid="{870E0B93-53F1-481D-8606-F52942F34674}" name="Distance" dataDxfId="144"/>
    <tableColumn id="2" xr3:uid="{98E4CD43-6074-4447-96D8-427931633874}" name="Ore 1" dataDxfId="143"/>
    <tableColumn id="4" xr3:uid="{116EEAD9-085F-4EB6-A123-00B5D6E94F30}" name="Ore 2" dataDxfId="142"/>
    <tableColumn id="6" xr3:uid="{73EACEDE-4E8C-40CF-9648-9FA8A681161E}" name="Ore 3" dataDxfId="141"/>
    <tableColumn id="3" xr3:uid="{6C1F41E4-D879-47E3-91BB-B519C60BB11E}" name="Ore 1 Yield" dataDxfId="140" dataCellStyle="Percent"/>
    <tableColumn id="5" xr3:uid="{CFA603C5-CF2E-4A75-80B0-B55622AB378F}" name="Ore 2 Yield" dataDxfId="139" dataCellStyle="Percent"/>
    <tableColumn id="7" xr3:uid="{6315E2D4-32D8-4DB1-88A1-E710D1DD8A8B}" name="Ore 3 Yield" dataDxfId="138" dataCellStyle="Percent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D64C8A-E9CF-4B72-AC97-14CB5AF1CE86}" name="tblOreValues" displayName="tblOreValues" ref="A1:F28" totalsRowShown="0" headerRowDxfId="137" dataDxfId="136">
  <autoFilter ref="A1:F28" xr:uid="{BED64C8A-E9CF-4B72-AC97-14CB5AF1CE86}"/>
  <tableColumns count="6">
    <tableColumn id="1" xr3:uid="{BFBB228E-C42C-49C7-972B-67355114F8BC}" name="Ore" dataDxfId="135"/>
    <tableColumn id="6" xr3:uid="{43F5F10A-5D2C-4742-8E2F-03D9B50C5669}" name="Symbol" dataDxfId="134"/>
    <tableColumn id="2" xr3:uid="{045F40B5-A29F-47ED-BA36-65CF01EBBACB}" name="Stars" dataDxfId="133"/>
    <tableColumn id="5" xr3:uid="{E193CDD4-E737-47EE-B9BE-5BE07068A99B}" name="Multiplier" dataDxfId="132">
      <calculatedColumnFormula>(tblOreValues[[#This Row],[Stars]]*0.2)+1</calculatedColumnFormula>
    </tableColumn>
    <tableColumn id="4" xr3:uid="{6AB197CE-A381-402B-B117-57AEF6AC5F40}" name="Base Amount" dataDxfId="131" dataCellStyle="Currency"/>
    <tableColumn id="3" xr3:uid="{B069774D-76DE-43DE-B050-7A2963B084A5}" name="Adjusted Amount" dataDxfId="130">
      <calculatedColumnFormula>tblOreValues[[#This Row],[Base Amount]]*tblOreValues[[#This Row],[Multiplier]]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B9702F-DD5C-4DAB-9C8D-F576CEF5675A}" name="tblplanetvalue" displayName="tblplanetvalue" ref="A1:E77" totalsRowShown="0" headerRowDxfId="129" dataDxfId="128">
  <autoFilter ref="A1:E77" xr:uid="{78B9702F-DD5C-4DAB-9C8D-F576CEF5675A}"/>
  <tableColumns count="5">
    <tableColumn id="1" xr3:uid="{2A470F71-1489-4F68-9724-22C10ACE1658}" name="Planet #" dataDxfId="127"/>
    <tableColumn id="2" xr3:uid="{F7865D3E-830D-44D0-B266-9743D0E45749}" name="Ore 1 Worth" dataDxfId="126" dataCellStyle="Currency">
      <calculatedColumnFormula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calculatedColumnFormula>
    </tableColumn>
    <tableColumn id="3" xr3:uid="{109E208D-75DC-4AA1-8172-35E1291F56DA}" name="Ore 2 Worth" dataDxfId="125" dataCellStyle="Currency">
      <calculatedColumnFormula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calculatedColumnFormula>
    </tableColumn>
    <tableColumn id="4" xr3:uid="{56A506CE-7E50-479A-9E24-09FF6D402C7A}" name="Ore 3 Worth" dataDxfId="124" dataCellStyle="Currency">
      <calculatedColumnFormula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calculatedColumnFormula>
    </tableColumn>
    <tableColumn id="5" xr3:uid="{661FE8FA-EC25-4E09-9121-330053F1E185}" name="Total Worth" dataDxfId="123" dataCellStyle="Currency">
      <calculatedColumnFormula>SUM(tblplanetvalue[[#This Row],[Ore 1 Worth]:[Ore 3 Worth]])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9E41F-469C-467D-BED8-2E68CEA683BA}" name="tblUpgradeStats" displayName="tblUpgradeStats" ref="A1:E77" totalsRowShown="0" headerRowDxfId="122" dataDxfId="121">
  <autoFilter ref="A1:E77" xr:uid="{7A19E41F-469C-467D-BED8-2E68CEA683BA}"/>
  <tableColumns count="5">
    <tableColumn id="1" xr3:uid="{8E0DCCE2-10F6-4D0B-BF51-7C3C15C661C9}" name="Level" dataDxfId="120"/>
    <tableColumn id="3" xr3:uid="{2D2E8BF1-952B-4BD2-8A22-FC1D3821C9C1}" name="Mining Speed" dataDxfId="119">
      <calculatedColumnFormula>0.25 + 0.1 * (tblUpgradeStats[[#This Row],[Level]] - 1) + 0.017 * (tblUpgradeStats[[#This Row],[Level]] - 1)^2</calculatedColumnFormula>
    </tableColumn>
    <tableColumn id="4" xr3:uid="{B6CFC729-56EF-4337-A5BB-448977CC5C82}" name="Ship Speed" dataDxfId="118">
      <calculatedColumnFormula>1 + 0.2 * (tblUpgradeStats[[#This Row],[Level]] - 1) + (1/75) * (tblUpgradeStats[[#This Row],[Level]] - 1)^2</calculatedColumnFormula>
    </tableColumn>
    <tableColumn id="5" xr3:uid="{19388CFE-BE71-491E-B1AC-2CE2FA03C360}" name="Cargo Amount" dataDxfId="117">
      <calculatedColumnFormula>ROUND(5 + 2 * (tblUpgradeStats[[#This Row],[Level]] - 1) + 0.1 * (tblUpgradeStats[[#This Row],[Level]] - 1)^2, 0)</calculatedColumnFormula>
    </tableColumn>
    <tableColumn id="6" xr3:uid="{4F2FF6B6-CAD6-4328-BA76-329133D5A48C}" name="Upgrade Price (per Level)" dataDxfId="116">
      <calculatedColumnFormula>(1.3 ^ (tblUpgradeStats[[#This Row],[Level]] - 1))/20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3E0BFB-4F27-4E23-AC7E-1EBCDA0B7952}" name="tblplaneteco" displayName="tblplaneteco" ref="A1:O77" totalsRowShown="0" headerRowDxfId="114" dataDxfId="112" headerRowBorderDxfId="113" tableBorderDxfId="111" totalsRowBorderDxfId="110">
  <autoFilter ref="A1:O77" xr:uid="{DD3E0BFB-4F27-4E23-AC7E-1EBCDA0B7952}"/>
  <tableColumns count="15">
    <tableColumn id="1" xr3:uid="{379E3788-2C3F-4F91-9A79-1EC9A0353B19}" name="Planet #" dataDxfId="109"/>
    <tableColumn id="2" xr3:uid="{6D6CC492-8883-4F91-9B3E-AA0BAEB9D9BE}" name="Name" dataDxfId="108">
      <calculatedColumnFormula>_xlfn.XLOOKUP(tblprogress[[#This Row],[Planet '#]],tblPlanets[Planet '#],tblPlanets[Name])</calculatedColumnFormula>
    </tableColumn>
    <tableColumn id="3" xr3:uid="{54D4F39C-EAFA-420B-8964-7AC92AC9E868}" name="Unlock Cost" dataDxfId="107" dataCellStyle="Currency">
      <calculatedColumnFormula>IF(tblplaneteco[[#This Row],[Unlocked]]=1,"",tblplaneteco[[#This Row],[Unlock Price]])</calculatedColumnFormula>
    </tableColumn>
    <tableColumn id="4" xr3:uid="{9B4EAC39-A7DC-46C4-B65D-EDE54CE9730D}" name="Mining Rate Cost" dataDxfId="106" dataCellStyle="Currency">
      <calculatedColumnFormula>IF(tblplaneteco[[#This Row],[Unlocked]]=1,
   ROUND(tblplaneteco[[#This Row],[Mining Upgrade Cost]] * tblplaneteco[[#This Row],[Unlock Price]],0),
   ""
)</calculatedColumnFormula>
    </tableColumn>
    <tableColumn id="5" xr3:uid="{43387C74-7B56-4DE6-8B7C-25B492C92E8F}" name="Ship Speed Cost" dataDxfId="105" dataCellStyle="Currency">
      <calculatedColumnFormula>IF(tblplaneteco[[#This Row],[Unlocked]]=1,
   ROUND(tblplaneteco[[#This Row],[Ship Upgrade Cost]] * tblplaneteco[[#This Row],[Unlock Price]],0),
   ""
)</calculatedColumnFormula>
    </tableColumn>
    <tableColumn id="6" xr3:uid="{9705671E-1271-41EB-85BD-A730F5C9D38F}" name="Cargo Rate Cost" dataDxfId="104" dataCellStyle="Currency">
      <calculatedColumnFormula>IF(tblplaneteco[[#This Row],[Unlocked]]=1,
   ROUND(tblplaneteco[[#This Row],[Cargo Upgrade Cost]] * tblplaneteco[[#This Row],[Unlock Price]],0),
   ""
)</calculatedColumnFormula>
    </tableColumn>
    <tableColumn id="7" xr3:uid="{F594C9AC-7418-44A4-A080-D43ED8BA836A}" name="Unlocked" dataDxfId="103" dataCellStyle="Currency">
      <calculatedColumnFormula>_xlfn.XLOOKUP(tblplaneteco[[#This Row],[Planet '#]],tblprogress[Planet '#],tblprogress[Unlocked])</calculatedColumnFormula>
    </tableColumn>
    <tableColumn id="8" xr3:uid="{90776857-F36D-4E4C-9298-6A1C74C7EA56}" name="Unlock Price" dataDxfId="102" dataCellStyle="Currency">
      <calculatedColumnFormula>_xlfn.XLOOKUP(tblplaneteco[[#This Row],[Planet '#]],tblPlanets[Planet '#],tblPlanets[Unlock Price])</calculatedColumnFormula>
    </tableColumn>
    <tableColumn id="9" xr3:uid="{3ACB4A79-568C-4792-8BB1-4421481D0B12}" name="Mining Level" dataDxfId="101" dataCellStyle="Currency">
      <calculatedColumnFormula>_xlfn.XLOOKUP(tblplaneteco[[#This Row],[Planet '#]],tblprogress[Planet '#],tblprogress[Mining Level])</calculatedColumnFormula>
    </tableColumn>
    <tableColumn id="10" xr3:uid="{069E677E-8412-4330-A1F8-428D73C1E3B4}" name="Mining Upgrade Cost" dataDxfId="100" dataCellStyle="Currency">
      <calculatedColumnFormula>_xlfn.XLOOKUP(tblplaneteco[[#This Row],[Mining Level]],tblUpgradeStats[Level],tblUpgradeStats[Upgrade Price (per Level)],0)</calculatedColumnFormula>
    </tableColumn>
    <tableColumn id="12" xr3:uid="{DFF69DAF-09F6-476D-BDB8-B1F252FD27DC}" name="Ship Level" dataDxfId="99" dataCellStyle="Currency">
      <calculatedColumnFormula>_xlfn.XLOOKUP(tblplaneteco[[#This Row],[Planet '#]],tblprogress[Planet '#],tblprogress[Ship Level])</calculatedColumnFormula>
    </tableColumn>
    <tableColumn id="13" xr3:uid="{AA93EE71-D9B1-419E-B99B-7721EBBC6058}" name="Ship Upgrade Cost" dataDxfId="98" dataCellStyle="Currency">
      <calculatedColumnFormula>_xlfn.XLOOKUP(tblplaneteco[[#This Row],[Ship Level]],tblUpgradeStats[Level],tblUpgradeStats[Upgrade Price (per Level)],0)</calculatedColumnFormula>
    </tableColumn>
    <tableColumn id="15" xr3:uid="{7B3966B4-D30C-410E-BFC2-A093EEAA93E1}" name="Cargo Level" dataDxfId="97" dataCellStyle="Currency">
      <calculatedColumnFormula>_xlfn.XLOOKUP(tblplaneteco[[#This Row],[Planet '#]],tblprogress[Planet '#],tblprogress[Cargo Level])</calculatedColumnFormula>
    </tableColumn>
    <tableColumn id="14" xr3:uid="{4191B811-FB44-46E0-9603-CDEFF4603AF0}" name="Cargo Upgrade Cost" dataDxfId="96" dataCellStyle="Currency">
      <calculatedColumnFormula>_xlfn.XLOOKUP(tblplaneteco[[#This Row],[Cargo Level]],tblUpgradeStats[Level],tblUpgradeStats[Upgrade Price (per Level)],0)</calculatedColumnFormula>
    </tableColumn>
    <tableColumn id="16" xr3:uid="{423CE13C-7C16-466A-94B5-A406EA5EC5E9}" name="Validate" dataDxfId="95" dataCellStyle="Currency">
      <calculatedColumnFormula>IF(
   _xlfn.XLOOKUP(tblplaneteco[[#This Row],[Planet '#]], tblPlanets[Planet '#], tblPlanets[Name])=tblplaneteco[[#This Row],[Name]],
   "Match",
   "Mismatch"
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4E8ECA-E24C-4C02-9854-6B3EA933637B}" name="MiningROItable" displayName="MiningROItable" ref="A1:Q77" totalsRowShown="0" headerRowDxfId="93" dataDxfId="91" headerRowBorderDxfId="92" tableBorderDxfId="90" totalsRowBorderDxfId="89">
  <autoFilter ref="A1:Q77" xr:uid="{6B4E8ECA-E24C-4C02-9854-6B3EA933637B}"/>
  <tableColumns count="17">
    <tableColumn id="1" xr3:uid="{70C465AE-45FC-4CBC-B311-57AE996C3A42}" name="Planet #" dataDxfId="88"/>
    <tableColumn id="2" xr3:uid="{8D4F634B-750E-41F5-8D30-B414F365CEDD}" name="Name" dataDxfId="87">
      <calculatedColumnFormula>_xlfn.XLOOKUP(tblprogress[[#This Row],[Planet '#]],tblPlanets[Planet '#],tblPlanets[Name])</calculatedColumnFormula>
    </tableColumn>
    <tableColumn id="5" xr3:uid="{7C1F650C-EE11-437B-848E-0CF027249C1A}" name="Next Mining Rate" dataDxfId="86">
      <calculatedColumnFormula>_xlfn.XLOOKUP(MiningROItable[[#This Row],[Mining Level]]+1,tblUpgradeStats[Level],tblUpgradeStats[Mining Speed])</calculatedColumnFormula>
    </tableColumn>
    <tableColumn id="12" xr3:uid="{F9B7E83A-717C-435C-B147-458A9977B12B}" name="Future Efficiency" dataDxfId="85" dataCellStyle="Percent">
      <calculatedColumnFormula>IF(MiningROItable[[#This Row],[Mining Rate]]=0,0,MiningROItable[[#This Row],[Current Efficiency]]*MiningROItable[[#This Row],[Next Mining Rate]]/MiningROItable[[#This Row],[Mining Rate]])</calculatedColumnFormula>
    </tableColumn>
    <tableColumn id="14" xr3:uid="{65162C21-CDF3-4730-B368-3D2DC69CCAAC}" name="Deposit Increase" dataDxfId="84" dataCellStyle="Comma">
      <calculatedColumnFormula>IF(MiningROItable[[#This Row],[Future Deposit]] - MiningROItable[[#This Row],[Current Deposit]] &gt; 0, MiningROItable[[#This Row],[Future Deposit]] - MiningROItable[[#This Row],[Current Deposit]], 0)</calculatedColumnFormula>
    </tableColumn>
    <tableColumn id="8" xr3:uid="{92FE70BD-864D-4485-9745-D447CE6C6A07}" name="ROI" dataDxfId="83" dataCellStyle="Comma">
      <calculatedColumnFormula>IF(OR(MiningROItable[[#This Row],[Upgrade Mining Cost]]="",MiningROItable[[#This Row],[Deposit Increase]]=0),"",(MiningROItable[[#This Row],[Deposit Increase]]*MiningROItable[[#This Row],[Planet Worth]]*3600)/MiningROItable[[#This Row],[Upgrade Mining Cost]])</calculatedColumnFormula>
    </tableColumn>
    <tableColumn id="16" xr3:uid="{8EDF61D1-4897-4006-9739-DE1679C4C148}" name="Breakeven" dataDxfId="82" dataCellStyle="Comma">
      <calculatedColumnFormula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calculatedColumnFormula>
    </tableColumn>
    <tableColumn id="3" xr3:uid="{3DFA1935-8A6C-40AD-865D-866B6F0B3100}" name="Mining Level" dataDxfId="81">
      <calculatedColumnFormula>_xlfn.XLOOKUP(MiningROItable[[#This Row],[Planet '#]],tblprogress[Planet '#],tblprogress[Mining Level])</calculatedColumnFormula>
    </tableColumn>
    <tableColumn id="4" xr3:uid="{61BD51C7-5D32-4BF9-80B2-CE17578CA464}" name="Mining Rate" dataDxfId="80">
      <calculatedColumnFormula>_xlfn.XLOOKUP(MiningROItable[[#This Row],[Planet '#]],tblprogress[Planet '#],tblprogress[Mining Rate])</calculatedColumnFormula>
    </tableColumn>
    <tableColumn id="6" xr3:uid="{6EF36F5C-5E8D-4EC4-A61A-1DFDC7CB1432}" name="Cargo" dataDxfId="79">
      <calculatedColumnFormula>_xlfn.XLOOKUP(MiningROItable[[#This Row],[Planet '#]],tblprogress[Planet '#],tblprogress[Cargo])</calculatedColumnFormula>
    </tableColumn>
    <tableColumn id="13" xr3:uid="{690DFA19-8CC7-486C-BA56-CED2B3338E6D}" name="Current Efficiency" dataDxfId="78" dataCellStyle="Percent">
      <calculatedColumnFormula>_xlfn.XLOOKUP(MiningROItable[[#This Row],[Planet '#]],tblprogress[Planet '#],tblprogress[Efficiency],0)</calculatedColumnFormula>
    </tableColumn>
    <tableColumn id="9" xr3:uid="{663E906B-B985-4F86-B97F-368F9BA6F726}" name="Current Deposit" dataDxfId="77" dataCellStyle="Comma">
      <calculatedColumnFormula>IF(MiningROItable[[#This Row],[Current Efficiency]]&lt;=1,MiningROItable[[#This Row],[Mining Rate]]*60,MiningROItable[[#This Row],[Cargo]]/MiningROItable[[#This Row],[Total Time]]*60)</calculatedColumnFormula>
    </tableColumn>
    <tableColumn id="11" xr3:uid="{113EA57E-D701-486D-8108-50945A922209}" name="Future Deposit" dataDxfId="76" dataCellStyle="Comma">
      <calculatedColumnFormula>IF(MiningROItable[[#This Row],[Future Efficiency]]&lt;=1,MiningROItable[[#This Row],[Next Mining Rate]]*60,MiningROItable[[#This Row],[Cargo]]/MiningROItable[[#This Row],[Total Time]]*60)</calculatedColumnFormula>
    </tableColumn>
    <tableColumn id="10" xr3:uid="{51578182-A1AF-4861-B485-B72B88747F21}" name="Planet Worth" dataDxfId="75" dataCellStyle="Currency">
      <calculatedColumnFormula>_xlfn.XLOOKUP(MiningROItable[[#This Row],[Planet '#]],tblplanetvalue[Planet '#],tblplanetvalue[Total Worth])</calculatedColumnFormula>
    </tableColumn>
    <tableColumn id="7" xr3:uid="{805B3BD3-A883-4599-ADDA-E35C3C8C6250}" name="Upgrade Mining Cost" dataDxfId="74" dataCellStyle="Currency">
      <calculatedColumnFormula>_xlfn.XLOOKUP(MiningROItable[[#This Row],[Planet '#]],tblplaneteco[Planet '#],tblplaneteco[Mining Rate Cost])</calculatedColumnFormula>
    </tableColumn>
    <tableColumn id="17" xr3:uid="{B11F5655-2225-4792-9C5F-F0CCBAFA6D1D}" name="Total Time" dataDxfId="73" dataCellStyle="Currency">
      <calculatedColumnFormula>_xlfn.XLOOKUP(MiningROItable[[#This Row],[Planet '#]],tblprogress[Planet '#],tblprogress[Total Time])</calculatedColumnFormula>
    </tableColumn>
    <tableColumn id="15" xr3:uid="{621E6DA2-94CC-4F20-BDAE-B95C2917A094}" name="Validate" dataDxfId="72">
      <calculatedColumnFormula>IF(
   _xlfn.XLOOKUP(MiningROItable[[#This Row],[Planet '#]], tblPlanets[Planet '#], tblPlanets[Name])=MiningROItable[[#This Row],[Name]],
   "Match",
   "Mismatch"
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E0FAC9-5598-4368-9F9D-7626A2C876AA}" name="SpeedROI" displayName="SpeedROI" ref="A1:S77" totalsRowShown="0" headerRowDxfId="69" dataDxfId="67" headerRowBorderDxfId="68" tableBorderDxfId="66" totalsRowBorderDxfId="65">
  <autoFilter ref="A1:S77" xr:uid="{6B4E8ECA-E24C-4C02-9854-6B3EA933637B}"/>
  <tableColumns count="19">
    <tableColumn id="1" xr3:uid="{DE7A8C94-E186-4ECB-9C09-79CE8B5F6D10}" name="Planet #" dataDxfId="64"/>
    <tableColumn id="2" xr3:uid="{FCE11664-74F9-41F7-B341-92D9B6EE07D7}" name="Name" dataDxfId="63">
      <calculatedColumnFormula>_xlfn.XLOOKUP(tblprogress[[#This Row],[Planet '#]],tblPlanets[Planet '#],tblPlanets[Name])</calculatedColumnFormula>
    </tableColumn>
    <tableColumn id="5" xr3:uid="{C1F11950-BD8E-4C01-A072-7B829E3C9C1C}" name="Next Ship Speed" dataDxfId="62">
      <calculatedColumnFormula>_xlfn.XLOOKUP(SpeedROI[[#This Row],[Speed Level]]+1,tblUpgradeStats[Level],tblUpgradeStats[Ship Speed])</calculatedColumnFormula>
    </tableColumn>
    <tableColumn id="12" xr3:uid="{68C62C78-33A9-4B4E-86FE-4AD53FC88F6D}" name="Future Efficiency" dataDxfId="61" dataCellStyle="Percent">
      <calculatedColumnFormula>IFERROR(SpeedROI[[#This Row],[Current Efficiency]]*(SpeedROI[[#This Row],[Ship Speed]]/SpeedROI[[#This Row],[Next Ship Speed]]),0)</calculatedColumnFormula>
    </tableColumn>
    <tableColumn id="14" xr3:uid="{E5E6448F-1F8F-47ED-88F1-667BCED60EA4}" name="Deposit Increase" dataDxfId="60" dataCellStyle="Comma">
      <calculatedColumnFormula>SpeedROI[[#This Row],[Future Deposit]]-SpeedROI[[#This Row],[Current Deposit]]</calculatedColumnFormula>
    </tableColumn>
    <tableColumn id="8" xr3:uid="{B2B08555-236E-4886-9DED-73F089DBFCFF}" name="ROI" dataDxfId="59" dataCellStyle="Comma">
      <calculatedColumnFormula>IF(OR(SpeedROI[[#This Row],[Upgrade Ship Speed]]="",SpeedROI[[#This Row],[Deposit Increase]]=0),"",(SpeedROI[[#This Row],[Deposit Increase]]*SpeedROI[[#This Row],[Planet Worth]]*3600)/SpeedROI[[#This Row],[Upgrade Ship Speed]])</calculatedColumnFormula>
    </tableColumn>
    <tableColumn id="16" xr3:uid="{B0DF90B3-8FBA-4B0E-BA74-6CB08CE1258B}" name="Breakeven" dataDxfId="58" dataCellStyle="Comma">
      <calculatedColumnFormula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calculatedColumnFormula>
    </tableColumn>
    <tableColumn id="3" xr3:uid="{804E08FA-8308-4DE2-BDEA-E6A70C26AED2}" name="Speed Level" dataDxfId="57">
      <calculatedColumnFormula>_xlfn.XLOOKUP(SpeedROI[[#This Row],[Planet '#]],tblprogress[Planet '#],tblprogress[Ship Level])</calculatedColumnFormula>
    </tableColumn>
    <tableColumn id="4" xr3:uid="{816829D1-CC4E-4610-AC89-DD75E25644C2}" name="Ship Speed" dataDxfId="56">
      <calculatedColumnFormula>_xlfn.XLOOKUP(SpeedROI[[#This Row],[Planet '#]],tblprogress[Planet '#],tblprogress[Ship Speed])</calculatedColumnFormula>
    </tableColumn>
    <tableColumn id="18" xr3:uid="{E9182AA4-46CC-46F4-B573-20DCE1437BB6}" name="Mining Rate" dataDxfId="55">
      <calculatedColumnFormula>_xlfn.XLOOKUP(SpeedROI[[#This Row],[Planet '#]],tblprogress[Planet '#],tblprogress[Mining Rate])</calculatedColumnFormula>
    </tableColumn>
    <tableColumn id="6" xr3:uid="{03093E05-CA5C-4D23-8275-CF94F26FCB40}" name="Cargo" dataDxfId="54">
      <calculatedColumnFormula>_xlfn.XLOOKUP(SpeedROI[[#This Row],[Planet '#]],tblprogress[Planet '#],tblprogress[Cargo])</calculatedColumnFormula>
    </tableColumn>
    <tableColumn id="13" xr3:uid="{EACB4A10-7BB5-4B6E-9715-7FFA1721F317}" name="Current Efficiency" dataDxfId="53" dataCellStyle="Percent">
      <calculatedColumnFormula>_xlfn.XLOOKUP(SpeedROI[[#This Row],[Planet '#]],tblprogress[Planet '#],tblprogress[Efficiency],0)</calculatedColumnFormula>
    </tableColumn>
    <tableColumn id="9" xr3:uid="{AEB335C4-6099-49A7-9A0C-C4ADE90693AD}" name="Current Deposit" dataDxfId="52" dataCellStyle="Comma">
      <calculatedColumnFormula>IF(SpeedROI[[#This Row],[Current Efficiency]]&lt;=1,SpeedROI[[#This Row],[Mining Rate]]*60,SpeedROI[[#This Row],[Cargo]]/SpeedROI[[#This Row],[Total Time]]*60)</calculatedColumnFormula>
    </tableColumn>
    <tableColumn id="11" xr3:uid="{FAEE2504-3C57-4B66-85A2-CF7B10AA726C}" name="Future Deposit" dataDxfId="51" dataCellStyle="Comma">
      <calculatedColumnFormula>IF(SpeedROI[[#This Row],[Future Efficiency]]&lt;=1,SpeedROI[[#This Row],[Mining Rate]]*60,SpeedROI[[#This Row],[Cargo]]/SpeedROI[[#This Row],[New Time]]*60)</calculatedColumnFormula>
    </tableColumn>
    <tableColumn id="10" xr3:uid="{5F2D14AB-2892-42B8-BFD4-844CE5E65070}" name="Planet Worth" dataDxfId="50" dataCellStyle="Currency">
      <calculatedColumnFormula>_xlfn.XLOOKUP(SpeedROI[[#This Row],[Planet '#]],tblplanetvalue[Planet '#],tblplanetvalue[Total Worth])</calculatedColumnFormula>
    </tableColumn>
    <tableColumn id="7" xr3:uid="{EB9A6F63-BD65-48A2-869C-52CC6DF92CA4}" name="Upgrade Ship Speed" dataDxfId="49" dataCellStyle="Currency">
      <calculatedColumnFormula>_xlfn.XLOOKUP(SpeedROI[[#This Row],[Planet '#]],tblplaneteco[Planet '#],tblplaneteco[Ship Speed Cost])</calculatedColumnFormula>
    </tableColumn>
    <tableColumn id="17" xr3:uid="{C2D4BB14-3E34-4B70-87FD-83E4C7951278}" name="Total Time" dataDxfId="48" dataCellStyle="Currency">
      <calculatedColumnFormula>_xlfn.XLOOKUP(SpeedROI[[#This Row],[Planet '#]],tblprogress[Planet '#],tblprogress[Total Time])</calculatedColumnFormula>
    </tableColumn>
    <tableColumn id="19" xr3:uid="{2D1ABDF5-B610-43E0-A10A-6E6E57278F15}" name="New Time" dataDxfId="47" dataCellStyle="Currency">
      <calculatedColumnFormula>IF(SpeedROI[[#This Row],[Current Deposit]]&gt;0,SpeedROI[[#This Row],[Total Time]]*SpeedROI[[#This Row],[Ship Speed]]/SpeedROI[[#This Row],[Next Ship Speed]],"")</calculatedColumnFormula>
    </tableColumn>
    <tableColumn id="15" xr3:uid="{AB9180A2-655E-4408-B11D-BAEA6417258E}" name="Validate" dataDxfId="46">
      <calculatedColumnFormula>IF(
   _xlfn.XLOOKUP(SpeedROI[[#This Row],[Planet '#]], tblPlanets[Planet '#], tblPlanets[Name])=SpeedROI[[#This Row],[Name]],
   "Match",
   "Mismatch"
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7BC0F7-2AF6-4002-A32C-30DD3B5DA126}" name="CargoROI" displayName="CargoROI" ref="A1:Q77" totalsRowShown="0" headerRowDxfId="43" dataDxfId="41" headerRowBorderDxfId="42" tableBorderDxfId="40" totalsRowBorderDxfId="39">
  <autoFilter ref="A1:Q77" xr:uid="{6B4E8ECA-E24C-4C02-9854-6B3EA933637B}"/>
  <tableColumns count="17">
    <tableColumn id="1" xr3:uid="{89090D14-A866-443C-BFE9-315E6B8926AC}" name="Planet #" dataDxfId="38"/>
    <tableColumn id="2" xr3:uid="{EFBB8032-2F73-4C02-9ABF-4D7046FF02A9}" name="Name" dataDxfId="37">
      <calculatedColumnFormula>_xlfn.XLOOKUP(tblprogress[[#This Row],[Planet '#]],tblPlanets[Planet '#],tblPlanets[Name])</calculatedColumnFormula>
    </tableColumn>
    <tableColumn id="5" xr3:uid="{FF3BE478-221F-43B3-A770-B3BEC310D717}" name="Next Cargo Amount" dataDxfId="36">
      <calculatedColumnFormula>_xlfn.XLOOKUP(CargoROI[[#This Row],[Cargo Level]]+1,tblUpgradeStats[Level],tblUpgradeStats[Cargo Amount])</calculatedColumnFormula>
    </tableColumn>
    <tableColumn id="12" xr3:uid="{1421D9FC-E338-4636-9657-0FA36DAAC82D}" name="Future Efficiency" dataDxfId="35" dataCellStyle="Percent">
      <calculatedColumnFormula>IFERROR(CargoROI[[#This Row],[Current Efficiency]]*(CargoROI[[#This Row],[Cargo Amount]]/CargoROI[[#This Row],[Next Cargo Amount]]),0)</calculatedColumnFormula>
    </tableColumn>
    <tableColumn id="14" xr3:uid="{6E156E99-8CAE-4578-876B-60B2FBCD52AE}" name="Deposit Increase" dataDxfId="34" dataCellStyle="Comma">
      <calculatedColumnFormula>CargoROI[[#This Row],[Future Deposit]]-CargoROI[[#This Row],[Current Deposit]]</calculatedColumnFormula>
    </tableColumn>
    <tableColumn id="8" xr3:uid="{E89D4187-1FF8-4770-A417-304136DC0DF9}" name="ROI" dataDxfId="33" dataCellStyle="Comma">
      <calculatedColumnFormula>IF(OR(CargoROI[[#This Row],[Cargo Upgrade Cost]]="",CargoROI[[#This Row],[Deposit Increase]]=0),"",(CargoROI[[#This Row],[Deposit Increase]]*CargoROI[[#This Row],[Planet Worth]]*3600)/CargoROI[[#This Row],[Cargo Upgrade Cost]])</calculatedColumnFormula>
    </tableColumn>
    <tableColumn id="16" xr3:uid="{8261ADD1-554D-4D2A-B297-D55200AAEE35}" name="Breakeven" dataDxfId="32" dataCellStyle="Comma">
      <calculatedColumnFormula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calculatedColumnFormula>
    </tableColumn>
    <tableColumn id="3" xr3:uid="{80546278-FF42-4A56-86BC-5633C7259DC6}" name="Cargo Level" dataDxfId="31">
      <calculatedColumnFormula>_xlfn.XLOOKUP(CargoROI[[#This Row],[Planet '#]],tblprogress[Planet '#],tblprogress[Cargo Level])</calculatedColumnFormula>
    </tableColumn>
    <tableColumn id="4" xr3:uid="{462B6A96-4DC6-4CE2-9937-26FF3E81EC40}" name="Cargo Amount" dataDxfId="30">
      <calculatedColumnFormula>_xlfn.XLOOKUP(CargoROI[[#This Row],[Planet '#]],tblprogress[Planet '#],tblprogress[Cargo])</calculatedColumnFormula>
    </tableColumn>
    <tableColumn id="18" xr3:uid="{F7546AD5-1B65-42DD-B24B-B2F1CC58E23A}" name="Mining Rate" dataDxfId="29">
      <calculatedColumnFormula>_xlfn.XLOOKUP(CargoROI[[#This Row],[Planet '#]],tblprogress[Planet '#],tblprogress[Mining Rate])</calculatedColumnFormula>
    </tableColumn>
    <tableColumn id="13" xr3:uid="{D316B1DE-4268-413E-A05D-9AA7F280CA54}" name="Current Efficiency" dataDxfId="28" dataCellStyle="Percent">
      <calculatedColumnFormula>_xlfn.XLOOKUP(CargoROI[[#This Row],[Planet '#]],tblprogress[Planet '#],tblprogress[Efficiency],0)</calculatedColumnFormula>
    </tableColumn>
    <tableColumn id="9" xr3:uid="{34DBB3E1-0ADF-419A-B0C5-F38F67DA7B42}" name="Current Deposit" dataDxfId="27" dataCellStyle="Comma">
      <calculatedColumnFormula>IF(CargoROI[[#This Row],[Current Efficiency]]&lt;=1,CargoROI[[#This Row],[Mining Rate]]*60,CargoROI[[#This Row],[Cargo Amount]]/CargoROI[[#This Row],[Total Time]]*60)</calculatedColumnFormula>
    </tableColumn>
    <tableColumn id="11" xr3:uid="{2C1A86CB-E2F3-49A3-8D31-E1F252ADA8D1}" name="Future Deposit" dataDxfId="26" dataCellStyle="Comma">
      <calculatedColumnFormula>IF(CargoROI[[#This Row],[Future Efficiency]]&lt;=1,CargoROI[[#This Row],[Mining Rate]]*60,CargoROI[[#This Row],[Next Cargo Amount]]/CargoROI[[#This Row],[Total Time]]*60)</calculatedColumnFormula>
    </tableColumn>
    <tableColumn id="10" xr3:uid="{EBAE4F49-4BFC-4487-B229-5DA4201BA4F8}" name="Planet Worth" dataDxfId="25" dataCellStyle="Currency">
      <calculatedColumnFormula>_xlfn.XLOOKUP(CargoROI[[#This Row],[Planet '#]],tblplanetvalue[Planet '#],tblplanetvalue[Total Worth])</calculatedColumnFormula>
    </tableColumn>
    <tableColumn id="7" xr3:uid="{7763A80E-2F0F-451A-8D1C-97A068D6F64B}" name="Cargo Upgrade Cost" dataDxfId="24" dataCellStyle="Currency">
      <calculatedColumnFormula>_xlfn.XLOOKUP(CargoROI[[#This Row],[Planet '#]],tblplaneteco[Planet '#],tblplaneteco[Cargo Rate Cost])</calculatedColumnFormula>
    </tableColumn>
    <tableColumn id="17" xr3:uid="{343D1343-C01A-4FBA-80AE-EBE47E6EC9FB}" name="Total Time" dataDxfId="23" dataCellStyle="Currency">
      <calculatedColumnFormula>_xlfn.XLOOKUP(CargoROI[[#This Row],[Planet '#]],tblprogress[Planet '#],tblprogress[Total Time])</calculatedColumnFormula>
    </tableColumn>
    <tableColumn id="15" xr3:uid="{C11D1A1D-734C-4775-AB55-F3A4A85FC4D4}" name="Validate" dataDxfId="22">
      <calculatedColumnFormula>IF(
   _xlfn.XLOOKUP(CargoROI[[#This Row],[Planet '#]], tblPlanets[Planet '#], tblPlanets[Name])=CargoROI[[#This Row],[Name]],
   "Match",
   "Mismatch"
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4A4644-4D4D-4EE1-8C3C-25045BBE650A}" name="UnlockROI" displayName="UnlockROI" ref="A1:P77" totalsRowShown="0" headerRowDxfId="20" dataDxfId="18" headerRowBorderDxfId="19" tableBorderDxfId="17" totalsRowBorderDxfId="16">
  <autoFilter ref="A1:P77" xr:uid="{6B4E8ECA-E24C-4C02-9854-6B3EA933637B}"/>
  <tableColumns count="16">
    <tableColumn id="1" xr3:uid="{B90A8116-6DB2-40F1-B998-7096015F6F29}" name="Planet #" dataDxfId="15"/>
    <tableColumn id="2" xr3:uid="{078363FB-CF11-44AB-A408-9850A274E16E}" name="Name" dataDxfId="14">
      <calculatedColumnFormula>_xlfn.XLOOKUP(tblprogress[[#This Row],[Planet '#]],tblPlanets[Planet '#],tblPlanets[Name])</calculatedColumnFormula>
    </tableColumn>
    <tableColumn id="19" xr3:uid="{75C099A7-5EFC-4E97-8408-619B35C83110}" name="Unlocked" dataDxfId="13" dataCellStyle="Percent">
      <calculatedColumnFormula>_xlfn.XLOOKUP(UnlockROI[[#This Row],[Planet '#]],tblprogress[Planet '#],tblprogress[Unlocked])</calculatedColumnFormula>
    </tableColumn>
    <tableColumn id="28" xr3:uid="{EBC898CD-E8A6-4C8D-8F40-D96D6B6C3863}" name="Possible to Unlock" dataDxfId="12" dataCellStyle="Percent">
      <calculatedColumnFormula>_xlfn.XLOOKUP(UnlockROI[[#This Row],[Planet '#]],tblprogress[Planet '#],tblprogress[Possible to Unlock])</calculatedColumnFormula>
    </tableColumn>
    <tableColumn id="26" xr3:uid="{A9BB36D4-C036-4671-B2EC-83ACE4395042}" name="ROI" dataDxfId="11" dataCellStyle="Comma">
      <calculatedColumnFormula>IF(AND(UnlockROI[[#This Row],[Unlocked]]=0,UnlockROI[[#This Row],[Possible to Unlock]]=1),
   IFERROR(UnlockROI[[#This Row],[Base Earnings]]*3600/UnlockROI[[#This Row],[Unlock Planet Amount]],""),
   "")</calculatedColumnFormula>
    </tableColumn>
    <tableColumn id="25" xr3:uid="{CA43972F-C46A-4B1B-BD57-C8E793238561}" name="Breakeven" dataDxfId="10" dataCellStyle="Comma">
      <calculatedColumnFormula>IF(AND(UnlockROI[[#This Row],[Unlocked]]=0,UnlockROI[[#This Row],[Possible to Unlock]]=1),
   IFERROR(UnlockROI[[#This Row],[Unlock Planet Amount]]/UnlockROI[[#This Row],[Base Earnings]],""),
   "")</calculatedColumnFormula>
    </tableColumn>
    <tableColumn id="27" xr3:uid="{11C34681-9CCE-4D3E-8346-98487E47C60B}" name="Unlock Planet Amount" dataDxfId="9" dataCellStyle="Currency">
      <calculatedColumnFormula>IF(UnlockROI[[#This Row],[Unlocked]]=1,"",_xlfn.XLOOKUP(UnlockROI[[#This Row],[Planet '#]],tblPlanets[Planet '#],tblPlanets[Unlock Price]))</calculatedColumnFormula>
    </tableColumn>
    <tableColumn id="18" xr3:uid="{3D9FF2A4-9110-476F-9B00-4E5D192F8A65}" name="Mining Rate Unlocked" dataDxfId="8" dataCellStyle="Percent">
      <calculatedColumnFormula>IF(UnlockROI[[#This Row],[Unlocked]]=0,0.25,"")</calculatedColumnFormula>
    </tableColumn>
    <tableColumn id="20" xr3:uid="{C564E0D7-F8CB-44A8-B05F-BE25D1A04A85}" name="Ship Speed Unlocked" dataDxfId="7" dataCellStyle="Percent">
      <calculatedColumnFormula>IF(UnlockROI[[#This Row],[Unlocked]]=0,1,"")</calculatedColumnFormula>
    </tableColumn>
    <tableColumn id="5" xr3:uid="{2FB5C070-4735-47DA-8A02-BE9603A14795}" name="Cargo Amount Unlocked" dataDxfId="6">
      <calculatedColumnFormula>IF(UnlockROI[[#This Row],[Unlocked]]=0,5,"")</calculatedColumnFormula>
    </tableColumn>
    <tableColumn id="21" xr3:uid="{6F6FF7F2-E00C-4916-9AE8-0B04A6910902}" name="Distance" dataDxfId="5">
      <calculatedColumnFormula>_xlfn.XLOOKUP(UnlockROI[[#This Row],[Planet '#]],tblprogress[Planet '#],tblprogress[Planets Distance])</calculatedColumnFormula>
    </tableColumn>
    <tableColumn id="22" xr3:uid="{7249FACF-B107-498D-947A-525527F3A315}" name="Base Efficiency" dataDxfId="4" dataCellStyle="Percent">
      <calculatedColumnFormula>0.1*UnlockROI[[#This Row],[Distance]]</calculatedColumnFormula>
    </tableColumn>
    <tableColumn id="14" xr3:uid="{9BFA7CB2-8D20-489B-8E05-45FF821C6B7F}" name="Deposit" dataDxfId="3" dataCellStyle="Comma">
      <calculatedColumnFormula>IF(UnlockROI[[#This Row],[Unlocked]]=1,"",IF(UnlockROI[[#This Row],[Base Efficiency]]&lt;1,15,0.25/UnlockROI[[#This Row],[Base Efficiency]]))</calculatedColumnFormula>
    </tableColumn>
    <tableColumn id="10" xr3:uid="{5F497BFF-AA49-436F-902E-AB144E75D3F6}" name="Planet Worth" dataDxfId="2" dataCellStyle="Currency">
      <calculatedColumnFormula>_xlfn.XLOOKUP(UnlockROI[[#This Row],[Planet '#]],tblplanetvalue[Planet '#],tblplanetvalue[Total Worth])</calculatedColumnFormula>
    </tableColumn>
    <tableColumn id="7" xr3:uid="{14105515-BE3A-43A1-9D75-C8727BD6C51D}" name="Base Earnings" dataDxfId="1" dataCellStyle="Currency">
      <calculatedColumnFormula>IF(OR(UnlockROI[[#This Row],[Deposit]]="",UnlockROI[[#This Row],[Planet Worth]]=""),"",UnlockROI[[#This Row],[Deposit]]*UnlockROI[[#This Row],[Planet Worth]])</calculatedColumnFormula>
    </tableColumn>
    <tableColumn id="15" xr3:uid="{17FAC2E0-6F8A-42B2-9568-B024C63A4009}" name="Validate" dataDxfId="0">
      <calculatedColumnFormula>IF(
   _xlfn.XLOOKUP(UnlockROI[[#This Row],[Planet '#]], tblPlanets[Planet '#], tblPlanets[Name])=UnlockROI[[#This Row],[Name]],
   "Match",
   "Mismatch"
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0C3D5-F2AD-42AD-9690-79781C092254}">
  <sheetPr codeName="Sheet14"/>
  <dimension ref="A1:N30"/>
  <sheetViews>
    <sheetView topLeftCell="A4" workbookViewId="0">
      <selection activeCell="J24" sqref="J24:J29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15.5546875" bestFit="1" customWidth="1"/>
    <col min="4" max="4" width="13.88671875" bestFit="1" customWidth="1"/>
    <col min="5" max="5" width="14.88671875" bestFit="1" customWidth="1"/>
    <col min="6" max="6" width="15" bestFit="1" customWidth="1"/>
    <col min="7" max="7" width="14.88671875" bestFit="1" customWidth="1"/>
    <col min="8" max="8" width="10.21875" bestFit="1" customWidth="1"/>
    <col min="9" max="9" width="18.77734375" bestFit="1" customWidth="1"/>
    <col min="10" max="10" width="12.77734375" bestFit="1" customWidth="1"/>
    <col min="11" max="11" width="16.33203125" bestFit="1" customWidth="1"/>
    <col min="12" max="13" width="28" bestFit="1" customWidth="1"/>
    <col min="14" max="14" width="10.77734375" bestFit="1" customWidth="1"/>
  </cols>
  <sheetData>
    <row r="1" spans="1:14" x14ac:dyDescent="0.3">
      <c r="A1" s="72" t="s">
        <v>0</v>
      </c>
      <c r="B1" s="26" t="s">
        <v>155</v>
      </c>
      <c r="C1" s="26" t="s">
        <v>164</v>
      </c>
      <c r="D1" s="26" t="s">
        <v>156</v>
      </c>
      <c r="E1" s="26" t="s">
        <v>157</v>
      </c>
      <c r="F1" s="26" t="s">
        <v>158</v>
      </c>
      <c r="G1" s="26" t="s">
        <v>151</v>
      </c>
      <c r="H1" s="26" t="s">
        <v>159</v>
      </c>
      <c r="I1" s="26" t="s">
        <v>229</v>
      </c>
      <c r="J1" s="26" t="s">
        <v>133</v>
      </c>
      <c r="K1" s="83" t="s">
        <v>252</v>
      </c>
      <c r="L1" s="83" t="s">
        <v>253</v>
      </c>
      <c r="M1" s="83" t="s">
        <v>254</v>
      </c>
      <c r="N1" s="83" t="s">
        <v>255</v>
      </c>
    </row>
    <row r="2" spans="1:14" x14ac:dyDescent="0.3">
      <c r="A2">
        <v>1</v>
      </c>
      <c r="B2" t="str">
        <f>IF(Table6[[#This Row],[Planet '#]]="","",_xlfn.XLOOKUP(Table6[[#This Row],[Planet '#]],tblprogress[Planet '#],tblprogress[Name]))</f>
        <v>Balor</v>
      </c>
      <c r="C2">
        <v>18</v>
      </c>
      <c r="D2">
        <v>8</v>
      </c>
      <c r="E2">
        <v>12</v>
      </c>
      <c r="F2">
        <f>_xlfn.XLOOKUP(Table6[[#This Row],[Mining Level]],tblUpgradeStats[Level],tblUpgradeStats[Mining Speed],0)</f>
        <v>6.8630000000000004</v>
      </c>
      <c r="G2">
        <f>_xlfn.XLOOKUP(Table6[[#This Row],[Ship Level]],tblUpgradeStats[Level],tblUpgradeStats[Ship Speed],0)</f>
        <v>3.0533333333333337</v>
      </c>
      <c r="H2">
        <f>_xlfn.XLOOKUP(Table6[[#This Row],[Cargo Level]],tblUpgradeStats[Level],tblUpgradeStats[Cargo Amount],0)</f>
        <v>39</v>
      </c>
      <c r="I2">
        <v>30</v>
      </c>
      <c r="J2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6.6734664141046194</v>
      </c>
      <c r="K2" t="str">
        <f>IF(Table6[[#This Row],[Planet '#]]="","","Planet "&amp;Table6[[#This Row],[Planet '#]]&amp;" — "&amp;Table6[[#This Row],[Name]])</f>
        <v>Planet 1 — Balor</v>
      </c>
      <c r="L2" t="str">
        <f>IF(Table6[[#This Row],[Planet '#]]="","","Valid nonnegative scenario inputs")</f>
        <v>Valid nonnegative scenario inputs</v>
      </c>
      <c r="M2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2" s="84" t="str">
        <f>IF(Table6[[#This Row],[Planet '#]]="","",IF(Table6[[#This Row],[Expected Result]]=Table6[[#This Row],[Actual Result]],"PASS","FAIL"))</f>
        <v>PASS</v>
      </c>
    </row>
    <row r="3" spans="1:14" x14ac:dyDescent="0.3">
      <c r="A3">
        <v>1</v>
      </c>
      <c r="B3" t="str">
        <f>IF(Table6[[#This Row],[Planet '#]]="","",_xlfn.XLOOKUP(Table6[[#This Row],[Planet '#]],tblprogress[Planet '#],tblprogress[Name]))</f>
        <v>Balor</v>
      </c>
      <c r="C3">
        <v>19</v>
      </c>
      <c r="D3">
        <v>8</v>
      </c>
      <c r="E3">
        <v>12</v>
      </c>
      <c r="F3">
        <f>_xlfn.XLOOKUP(Table6[[#This Row],[Mining Level]],tblUpgradeStats[Level],tblUpgradeStats[Mining Speed],0)</f>
        <v>7.5579999999999998</v>
      </c>
      <c r="G3">
        <f>_xlfn.XLOOKUP(Table6[[#This Row],[Ship Level]],tblUpgradeStats[Level],tblUpgradeStats[Ship Speed],0)</f>
        <v>3.0533333333333337</v>
      </c>
      <c r="H3">
        <f>_xlfn.XLOOKUP(Table6[[#This Row],[Cargo Level]],tblUpgradeStats[Level],tblUpgradeStats[Cargo Amount],0)</f>
        <v>39</v>
      </c>
      <c r="I3">
        <v>32</v>
      </c>
      <c r="J3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6.4637911264002836</v>
      </c>
      <c r="K3" t="str">
        <f>IF(Table6[[#This Row],[Planet '#]]="","","Planet "&amp;Table6[[#This Row],[Planet '#]]&amp;" — "&amp;Table6[[#This Row],[Name]])</f>
        <v>Planet 1 — Balor</v>
      </c>
      <c r="L3" t="str">
        <f>IF(Table6[[#This Row],[Planet '#]]="","","Valid nonnegative scenario inputs")</f>
        <v>Valid nonnegative scenario inputs</v>
      </c>
      <c r="M3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3" s="84" t="str">
        <f>IF(Table6[[#This Row],[Planet '#]]="","",IF(Table6[[#This Row],[Expected Result]]=Table6[[#This Row],[Actual Result]],"PASS","FAIL"))</f>
        <v>PASS</v>
      </c>
    </row>
    <row r="4" spans="1:14" x14ac:dyDescent="0.3">
      <c r="A4">
        <v>1</v>
      </c>
      <c r="B4" t="str">
        <f>IF(Table6[[#This Row],[Planet '#]]="","",_xlfn.XLOOKUP(Table6[[#This Row],[Planet '#]],tblprogress[Planet '#],tblprogress[Name]))</f>
        <v>Balor</v>
      </c>
      <c r="C4">
        <v>20</v>
      </c>
      <c r="D4">
        <v>8</v>
      </c>
      <c r="E4">
        <v>12</v>
      </c>
      <c r="F4">
        <f>_xlfn.XLOOKUP(Table6[[#This Row],[Mining Level]],tblUpgradeStats[Level],tblUpgradeStats[Mining Speed],0)</f>
        <v>8.2870000000000008</v>
      </c>
      <c r="G4">
        <f>_xlfn.XLOOKUP(Table6[[#This Row],[Ship Level]],tblUpgradeStats[Level],tblUpgradeStats[Ship Speed],0)</f>
        <v>3.0533333333333337</v>
      </c>
      <c r="H4">
        <f>_xlfn.XLOOKUP(Table6[[#This Row],[Cargo Level]],tblUpgradeStats[Level],tblUpgradeStats[Cargo Amount],0)</f>
        <v>39</v>
      </c>
      <c r="I4">
        <v>36</v>
      </c>
      <c r="J4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6.6320743332931098</v>
      </c>
      <c r="K4" t="str">
        <f>IF(Table6[[#This Row],[Planet '#]]="","","Planet "&amp;Table6[[#This Row],[Planet '#]]&amp;" — "&amp;Table6[[#This Row],[Name]])</f>
        <v>Planet 1 — Balor</v>
      </c>
      <c r="L4" t="str">
        <f>IF(Table6[[#This Row],[Planet '#]]="","","Valid nonnegative scenario inputs")</f>
        <v>Valid nonnegative scenario inputs</v>
      </c>
      <c r="M4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4" s="84" t="str">
        <f>IF(Table6[[#This Row],[Planet '#]]="","",IF(Table6[[#This Row],[Expected Result]]=Table6[[#This Row],[Actual Result]],"PASS","FAIL"))</f>
        <v>PASS</v>
      </c>
    </row>
    <row r="5" spans="1:14" x14ac:dyDescent="0.3">
      <c r="A5">
        <v>1</v>
      </c>
      <c r="B5" t="str">
        <f>IF(Table6[[#This Row],[Planet '#]]="","",_xlfn.XLOOKUP(Table6[[#This Row],[Planet '#]],tblprogress[Planet '#],tblprogress[Name]))</f>
        <v>Balor</v>
      </c>
      <c r="C5">
        <v>21</v>
      </c>
      <c r="D5">
        <v>9</v>
      </c>
      <c r="E5">
        <v>12</v>
      </c>
      <c r="F5">
        <f>_xlfn.XLOOKUP(Table6[[#This Row],[Mining Level]],tblUpgradeStats[Level],tblUpgradeStats[Mining Speed],0)</f>
        <v>9.0500000000000007</v>
      </c>
      <c r="G5">
        <f>_xlfn.XLOOKUP(Table6[[#This Row],[Ship Level]],tblUpgradeStats[Level],tblUpgradeStats[Ship Speed],0)</f>
        <v>3.4533333333333336</v>
      </c>
      <c r="H5">
        <f>_xlfn.XLOOKUP(Table6[[#This Row],[Cargo Level]],tblUpgradeStats[Level],tblUpgradeStats[Cargo Amount],0)</f>
        <v>39</v>
      </c>
      <c r="I5">
        <v>35</v>
      </c>
      <c r="J5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6.6777163904235728</v>
      </c>
      <c r="K5" t="str">
        <f>IF(Table6[[#This Row],[Planet '#]]="","","Planet "&amp;Table6[[#This Row],[Planet '#]]&amp;" — "&amp;Table6[[#This Row],[Name]])</f>
        <v>Planet 1 — Balor</v>
      </c>
      <c r="L5" t="str">
        <f>IF(Table6[[#This Row],[Planet '#]]="","","Valid nonnegative scenario inputs")</f>
        <v>Valid nonnegative scenario inputs</v>
      </c>
      <c r="M5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5" s="84" t="str">
        <f>IF(Table6[[#This Row],[Planet '#]]="","",IF(Table6[[#This Row],[Expected Result]]=Table6[[#This Row],[Actual Result]],"PASS","FAIL"))</f>
        <v>PASS</v>
      </c>
    </row>
    <row r="6" spans="1:14" x14ac:dyDescent="0.3">
      <c r="A6">
        <v>1</v>
      </c>
      <c r="B6" t="str">
        <f>IF(Table6[[#This Row],[Planet '#]]="","",_xlfn.XLOOKUP(Table6[[#This Row],[Planet '#]],tblprogress[Planet '#],tblprogress[Name]))</f>
        <v>Balor</v>
      </c>
      <c r="C6">
        <v>22</v>
      </c>
      <c r="D6">
        <v>9</v>
      </c>
      <c r="E6">
        <v>12</v>
      </c>
      <c r="F6">
        <f>_xlfn.XLOOKUP(Table6[[#This Row],[Mining Level]],tblUpgradeStats[Level],tblUpgradeStats[Mining Speed],0)</f>
        <v>9.8470000000000013</v>
      </c>
      <c r="G6">
        <f>_xlfn.XLOOKUP(Table6[[#This Row],[Ship Level]],tblUpgradeStats[Level],tblUpgradeStats[Ship Speed],0)</f>
        <v>3.4533333333333336</v>
      </c>
      <c r="H6">
        <f>_xlfn.XLOOKUP(Table6[[#This Row],[Cargo Level]],tblUpgradeStats[Level],tblUpgradeStats[Cargo Amount],0)</f>
        <v>39</v>
      </c>
      <c r="I6">
        <v>38</v>
      </c>
      <c r="J6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6.663281540909245</v>
      </c>
      <c r="K6" t="str">
        <f>IF(Table6[[#This Row],[Planet '#]]="","","Planet "&amp;Table6[[#This Row],[Planet '#]]&amp;" — "&amp;Table6[[#This Row],[Name]])</f>
        <v>Planet 1 — Balor</v>
      </c>
      <c r="L6" t="str">
        <f>IF(Table6[[#This Row],[Planet '#]]="","","Valid nonnegative scenario inputs")</f>
        <v>Valid nonnegative scenario inputs</v>
      </c>
      <c r="M6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6" s="84" t="str">
        <f>IF(Table6[[#This Row],[Planet '#]]="","",IF(Table6[[#This Row],[Expected Result]]=Table6[[#This Row],[Actual Result]],"PASS","FAIL"))</f>
        <v>PASS</v>
      </c>
    </row>
    <row r="7" spans="1:14" x14ac:dyDescent="0.3">
      <c r="A7">
        <v>1</v>
      </c>
      <c r="B7" t="str">
        <f>IF(Table6[[#This Row],[Planet '#]]="","",_xlfn.XLOOKUP(Table6[[#This Row],[Planet '#]],tblprogress[Planet '#],tblprogress[Name]))</f>
        <v>Balor</v>
      </c>
      <c r="C7">
        <v>23</v>
      </c>
      <c r="D7">
        <v>9</v>
      </c>
      <c r="E7">
        <v>15</v>
      </c>
      <c r="F7">
        <f>_xlfn.XLOOKUP(Table6[[#This Row],[Mining Level]],tblUpgradeStats[Level],tblUpgradeStats[Mining Speed],0)</f>
        <v>10.678000000000001</v>
      </c>
      <c r="G7">
        <f>_xlfn.XLOOKUP(Table6[[#This Row],[Ship Level]],tblUpgradeStats[Level],tblUpgradeStats[Ship Speed],0)</f>
        <v>3.4533333333333336</v>
      </c>
      <c r="H7">
        <f>_xlfn.XLOOKUP(Table6[[#This Row],[Cargo Level]],tblUpgradeStats[Level],tblUpgradeStats[Cargo Amount],0)</f>
        <v>53</v>
      </c>
      <c r="I7">
        <v>41</v>
      </c>
      <c r="J7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6.6298308047699317</v>
      </c>
      <c r="K7" t="str">
        <f>IF(Table6[[#This Row],[Planet '#]]="","","Planet "&amp;Table6[[#This Row],[Planet '#]]&amp;" — "&amp;Table6[[#This Row],[Name]])</f>
        <v>Planet 1 — Balor</v>
      </c>
      <c r="L7" t="str">
        <f>IF(Table6[[#This Row],[Planet '#]]="","","Valid nonnegative scenario inputs")</f>
        <v>Valid nonnegative scenario inputs</v>
      </c>
      <c r="M7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7" s="84" t="str">
        <f>IF(Table6[[#This Row],[Planet '#]]="","",IF(Table6[[#This Row],[Expected Result]]=Table6[[#This Row],[Actual Result]],"PASS","FAIL"))</f>
        <v>PASS</v>
      </c>
    </row>
    <row r="8" spans="1:14" x14ac:dyDescent="0.3">
      <c r="A8">
        <v>1</v>
      </c>
      <c r="B8" t="str">
        <f>IF(Table6[[#This Row],[Planet '#]]="","",_xlfn.XLOOKUP(Table6[[#This Row],[Planet '#]],tblprogress[Planet '#],tblprogress[Name]))</f>
        <v>Balor</v>
      </c>
      <c r="C8">
        <v>24</v>
      </c>
      <c r="D8">
        <v>9</v>
      </c>
      <c r="E8">
        <v>15</v>
      </c>
      <c r="F8">
        <f>_xlfn.XLOOKUP(Table6[[#This Row],[Mining Level]],tblUpgradeStats[Level],tblUpgradeStats[Mining Speed],0)</f>
        <v>11.543000000000001</v>
      </c>
      <c r="G8">
        <f>_xlfn.XLOOKUP(Table6[[#This Row],[Ship Level]],tblUpgradeStats[Level],tblUpgradeStats[Ship Speed],0)</f>
        <v>3.4533333333333336</v>
      </c>
      <c r="H8">
        <f>_xlfn.XLOOKUP(Table6[[#This Row],[Cargo Level]],tblUpgradeStats[Level],tblUpgradeStats[Cargo Amount],0)</f>
        <v>53</v>
      </c>
      <c r="I8">
        <v>44</v>
      </c>
      <c r="J8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6.5817667273094802</v>
      </c>
      <c r="K8" t="str">
        <f>IF(Table6[[#This Row],[Planet '#]]="","","Planet "&amp;Table6[[#This Row],[Planet '#]]&amp;" — "&amp;Table6[[#This Row],[Name]])</f>
        <v>Planet 1 — Balor</v>
      </c>
      <c r="L8" t="str">
        <f>IF(Table6[[#This Row],[Planet '#]]="","","Valid nonnegative scenario inputs")</f>
        <v>Valid nonnegative scenario inputs</v>
      </c>
      <c r="M8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8" s="84" t="str">
        <f>IF(Table6[[#This Row],[Planet '#]]="","",IF(Table6[[#This Row],[Expected Result]]=Table6[[#This Row],[Actual Result]],"PASS","FAIL"))</f>
        <v>PASS</v>
      </c>
    </row>
    <row r="9" spans="1:14" x14ac:dyDescent="0.3">
      <c r="A9">
        <v>1</v>
      </c>
      <c r="B9" t="str">
        <f>IF(Table6[[#This Row],[Planet '#]]="","",_xlfn.XLOOKUP(Table6[[#This Row],[Planet '#]],tblprogress[Planet '#],tblprogress[Name]))</f>
        <v>Balor</v>
      </c>
      <c r="C9">
        <v>25</v>
      </c>
      <c r="D9">
        <v>9</v>
      </c>
      <c r="E9">
        <v>15</v>
      </c>
      <c r="F9">
        <f>_xlfn.XLOOKUP(Table6[[#This Row],[Mining Level]],tblUpgradeStats[Level],tblUpgradeStats[Mining Speed],0)</f>
        <v>12.442000000000002</v>
      </c>
      <c r="G9">
        <f>_xlfn.XLOOKUP(Table6[[#This Row],[Ship Level]],tblUpgradeStats[Level],tblUpgradeStats[Ship Speed],0)</f>
        <v>3.4533333333333336</v>
      </c>
      <c r="H9">
        <f>_xlfn.XLOOKUP(Table6[[#This Row],[Cargo Level]],tblUpgradeStats[Level],tblUpgradeStats[Cargo Amount],0)</f>
        <v>53</v>
      </c>
      <c r="I9">
        <v>48</v>
      </c>
      <c r="J9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6.6613084713068629</v>
      </c>
      <c r="K9" t="str">
        <f>IF(Table6[[#This Row],[Planet '#]]="","","Planet "&amp;Table6[[#This Row],[Planet '#]]&amp;" — "&amp;Table6[[#This Row],[Name]])</f>
        <v>Planet 1 — Balor</v>
      </c>
      <c r="L9" t="str">
        <f>IF(Table6[[#This Row],[Planet '#]]="","","Valid nonnegative scenario inputs")</f>
        <v>Valid nonnegative scenario inputs</v>
      </c>
      <c r="M9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9" s="84" t="str">
        <f>IF(Table6[[#This Row],[Planet '#]]="","",IF(Table6[[#This Row],[Expected Result]]=Table6[[#This Row],[Actual Result]],"PASS","FAIL"))</f>
        <v>PASS</v>
      </c>
    </row>
    <row r="10" spans="1:14" x14ac:dyDescent="0.3">
      <c r="A10">
        <v>1</v>
      </c>
      <c r="B10" t="str">
        <f>IF(Table6[[#This Row],[Planet '#]]="","",_xlfn.XLOOKUP(Table6[[#This Row],[Planet '#]],tblprogress[Planet '#],tblprogress[Name]))</f>
        <v>Balor</v>
      </c>
      <c r="C10">
        <v>26</v>
      </c>
      <c r="D10">
        <v>15</v>
      </c>
      <c r="E10">
        <v>20</v>
      </c>
      <c r="F10">
        <f>_xlfn.XLOOKUP(Table6[[#This Row],[Mining Level]],tblUpgradeStats[Level],tblUpgradeStats[Mining Speed],0)</f>
        <v>13.375</v>
      </c>
      <c r="G10">
        <f>_xlfn.XLOOKUP(Table6[[#This Row],[Ship Level]],tblUpgradeStats[Level],tblUpgradeStats[Ship Speed],0)</f>
        <v>6.413333333333334</v>
      </c>
      <c r="H10">
        <f>_xlfn.XLOOKUP(Table6[[#This Row],[Cargo Level]],tblUpgradeStats[Level],tblUpgradeStats[Cargo Amount],0)</f>
        <v>79</v>
      </c>
      <c r="I10">
        <v>27</v>
      </c>
      <c r="J10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6.4732710280373835</v>
      </c>
      <c r="K10" t="str">
        <f>IF(Table6[[#This Row],[Planet '#]]="","","Planet "&amp;Table6[[#This Row],[Planet '#]]&amp;" — "&amp;Table6[[#This Row],[Name]])</f>
        <v>Planet 1 — Balor</v>
      </c>
      <c r="L10" t="str">
        <f>IF(Table6[[#This Row],[Planet '#]]="","","Valid nonnegative scenario inputs")</f>
        <v>Valid nonnegative scenario inputs</v>
      </c>
      <c r="M10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0" s="84" t="str">
        <f>IF(Table6[[#This Row],[Planet '#]]="","",IF(Table6[[#This Row],[Expected Result]]=Table6[[#This Row],[Actual Result]],"PASS","FAIL"))</f>
        <v>PASS</v>
      </c>
    </row>
    <row r="11" spans="1:14" x14ac:dyDescent="0.3">
      <c r="A11">
        <v>1</v>
      </c>
      <c r="B11" t="str">
        <f>IF(Table6[[#This Row],[Planet '#]]="","",_xlfn.XLOOKUP(Table6[[#This Row],[Planet '#]],tblprogress[Planet '#],tblprogress[Name]))</f>
        <v>Balor</v>
      </c>
      <c r="C11">
        <v>27</v>
      </c>
      <c r="D11">
        <v>15</v>
      </c>
      <c r="E11">
        <v>20</v>
      </c>
      <c r="F11">
        <f>_xlfn.XLOOKUP(Table6[[#This Row],[Mining Level]],tblUpgradeStats[Level],tblUpgradeStats[Mining Speed],0)</f>
        <v>14.342000000000001</v>
      </c>
      <c r="G11">
        <f>_xlfn.XLOOKUP(Table6[[#This Row],[Ship Level]],tblUpgradeStats[Level],tblUpgradeStats[Ship Speed],0)</f>
        <v>6.413333333333334</v>
      </c>
      <c r="H11">
        <f>_xlfn.XLOOKUP(Table6[[#This Row],[Cargo Level]],tblUpgradeStats[Level],tblUpgradeStats[Cargo Amount],0)</f>
        <v>79</v>
      </c>
      <c r="I11">
        <v>29</v>
      </c>
      <c r="J11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6.4839864268116951</v>
      </c>
      <c r="K11" t="str">
        <f>IF(Table6[[#This Row],[Planet '#]]="","","Planet "&amp;Table6[[#This Row],[Planet '#]]&amp;" — "&amp;Table6[[#This Row],[Name]])</f>
        <v>Planet 1 — Balor</v>
      </c>
      <c r="L11" t="str">
        <f>IF(Table6[[#This Row],[Planet '#]]="","","Valid nonnegative scenario inputs")</f>
        <v>Valid nonnegative scenario inputs</v>
      </c>
      <c r="M11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1" s="84" t="str">
        <f>IF(Table6[[#This Row],[Planet '#]]="","",IF(Table6[[#This Row],[Expected Result]]=Table6[[#This Row],[Actual Result]],"PASS","FAIL"))</f>
        <v>PASS</v>
      </c>
    </row>
    <row r="12" spans="1:14" x14ac:dyDescent="0.3">
      <c r="A12">
        <v>1</v>
      </c>
      <c r="B12" t="str">
        <f>IF(Table6[[#This Row],[Planet '#]]="","",_xlfn.XLOOKUP(Table6[[#This Row],[Planet '#]],tblprogress[Planet '#],tblprogress[Name]))</f>
        <v>Balor</v>
      </c>
      <c r="C12">
        <v>28</v>
      </c>
      <c r="D12">
        <v>15</v>
      </c>
      <c r="E12">
        <v>20</v>
      </c>
      <c r="F12">
        <f>_xlfn.XLOOKUP(Table6[[#This Row],[Mining Level]],tblUpgradeStats[Level],tblUpgradeStats[Mining Speed],0)</f>
        <v>15.343</v>
      </c>
      <c r="G12">
        <f>_xlfn.XLOOKUP(Table6[[#This Row],[Ship Level]],tblUpgradeStats[Level],tblUpgradeStats[Ship Speed],0)</f>
        <v>6.413333333333334</v>
      </c>
      <c r="H12">
        <f>_xlfn.XLOOKUP(Table6[[#This Row],[Cargo Level]],tblUpgradeStats[Level],tblUpgradeStats[Cargo Amount],0)</f>
        <v>79</v>
      </c>
      <c r="I12">
        <v>31</v>
      </c>
      <c r="J12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6.4789589172043716</v>
      </c>
      <c r="K12" t="str">
        <f>IF(Table6[[#This Row],[Planet '#]]="","","Planet "&amp;Table6[[#This Row],[Planet '#]]&amp;" — "&amp;Table6[[#This Row],[Name]])</f>
        <v>Planet 1 — Balor</v>
      </c>
      <c r="L12" t="str">
        <f>IF(Table6[[#This Row],[Planet '#]]="","","Valid nonnegative scenario inputs")</f>
        <v>Valid nonnegative scenario inputs</v>
      </c>
      <c r="M12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2" s="84" t="str">
        <f>IF(Table6[[#This Row],[Planet '#]]="","",IF(Table6[[#This Row],[Expected Result]]=Table6[[#This Row],[Actual Result]],"PASS","FAIL"))</f>
        <v>PASS</v>
      </c>
    </row>
    <row r="13" spans="1:14" x14ac:dyDescent="0.3">
      <c r="A13">
        <v>1</v>
      </c>
      <c r="B13" t="str">
        <f>IF(Table6[[#This Row],[Planet '#]]="","",_xlfn.XLOOKUP(Table6[[#This Row],[Planet '#]],tblprogress[Planet '#],tblprogress[Name]))</f>
        <v>Balor</v>
      </c>
      <c r="C13">
        <v>29</v>
      </c>
      <c r="D13">
        <v>15</v>
      </c>
      <c r="E13">
        <v>20</v>
      </c>
      <c r="F13">
        <f>_xlfn.XLOOKUP(Table6[[#This Row],[Mining Level]],tblUpgradeStats[Level],tblUpgradeStats[Mining Speed],0)</f>
        <v>16.378</v>
      </c>
      <c r="G13">
        <f>_xlfn.XLOOKUP(Table6[[#This Row],[Ship Level]],tblUpgradeStats[Level],tblUpgradeStats[Ship Speed],0)</f>
        <v>6.413333333333334</v>
      </c>
      <c r="H13">
        <f>_xlfn.XLOOKUP(Table6[[#This Row],[Cargo Level]],tblUpgradeStats[Level],tblUpgradeStats[Cargo Amount],0)</f>
        <v>79</v>
      </c>
      <c r="I13">
        <v>33</v>
      </c>
      <c r="J13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6.4611063621931875</v>
      </c>
      <c r="K13" t="str">
        <f>IF(Table6[[#This Row],[Planet '#]]="","","Planet "&amp;Table6[[#This Row],[Planet '#]]&amp;" — "&amp;Table6[[#This Row],[Name]])</f>
        <v>Planet 1 — Balor</v>
      </c>
      <c r="L13" t="str">
        <f>IF(Table6[[#This Row],[Planet '#]]="","","Valid nonnegative scenario inputs")</f>
        <v>Valid nonnegative scenario inputs</v>
      </c>
      <c r="M13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3" s="84" t="str">
        <f>IF(Table6[[#This Row],[Planet '#]]="","",IF(Table6[[#This Row],[Expected Result]]=Table6[[#This Row],[Actual Result]],"PASS","FAIL"))</f>
        <v>PASS</v>
      </c>
    </row>
    <row r="14" spans="1:14" x14ac:dyDescent="0.3">
      <c r="A14">
        <v>2</v>
      </c>
      <c r="B14" t="str">
        <f>IF(Table6[[#This Row],[Planet '#]]="","",_xlfn.XLOOKUP(Table6[[#This Row],[Planet '#]],tblprogress[Planet '#],tblprogress[Name]))</f>
        <v>Drasta</v>
      </c>
      <c r="C14">
        <v>15</v>
      </c>
      <c r="D14">
        <v>13</v>
      </c>
      <c r="E14">
        <v>17</v>
      </c>
      <c r="F14">
        <f>_xlfn.XLOOKUP(Table6[[#This Row],[Mining Level]],tblUpgradeStats[Level],tblUpgradeStats[Mining Speed],0)</f>
        <v>4.9820000000000002</v>
      </c>
      <c r="G14">
        <f>_xlfn.XLOOKUP(Table6[[#This Row],[Ship Level]],tblUpgradeStats[Level],tblUpgradeStats[Ship Speed],0)</f>
        <v>5.32</v>
      </c>
      <c r="H14">
        <f>_xlfn.XLOOKUP(Table6[[#This Row],[Cargo Level]],tblUpgradeStats[Level],tblUpgradeStats[Cargo Amount],0)</f>
        <v>63</v>
      </c>
      <c r="I14">
        <v>13</v>
      </c>
      <c r="J14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6.9409875551987152</v>
      </c>
      <c r="K14" t="str">
        <f>IF(Table6[[#This Row],[Planet '#]]="","","Planet "&amp;Table6[[#This Row],[Planet '#]]&amp;" — "&amp;Table6[[#This Row],[Name]])</f>
        <v>Planet 2 — Drasta</v>
      </c>
      <c r="L14" t="str">
        <f>IF(Table6[[#This Row],[Planet '#]]="","","Valid nonnegative scenario inputs")</f>
        <v>Valid nonnegative scenario inputs</v>
      </c>
      <c r="M14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4" s="84" t="str">
        <f>IF(Table6[[#This Row],[Planet '#]]="","",IF(Table6[[#This Row],[Expected Result]]=Table6[[#This Row],[Actual Result]],"PASS","FAIL"))</f>
        <v>PASS</v>
      </c>
    </row>
    <row r="15" spans="1:14" x14ac:dyDescent="0.3">
      <c r="A15">
        <v>2</v>
      </c>
      <c r="B15" t="str">
        <f>IF(Table6[[#This Row],[Planet '#]]="","",_xlfn.XLOOKUP(Table6[[#This Row],[Planet '#]],tblprogress[Planet '#],tblprogress[Name]))</f>
        <v>Drasta</v>
      </c>
      <c r="C15">
        <v>16</v>
      </c>
      <c r="D15">
        <v>13</v>
      </c>
      <c r="E15">
        <v>17</v>
      </c>
      <c r="F15">
        <f>_xlfn.XLOOKUP(Table6[[#This Row],[Mining Level]],tblUpgradeStats[Level],tblUpgradeStats[Mining Speed],0)</f>
        <v>5.5750000000000002</v>
      </c>
      <c r="G15">
        <f>_xlfn.XLOOKUP(Table6[[#This Row],[Ship Level]],tblUpgradeStats[Level],tblUpgradeStats[Ship Speed],0)</f>
        <v>5.32</v>
      </c>
      <c r="H15">
        <f>_xlfn.XLOOKUP(Table6[[#This Row],[Cargo Level]],tblUpgradeStats[Level],tblUpgradeStats[Cargo Amount],0)</f>
        <v>63</v>
      </c>
      <c r="I15">
        <v>15</v>
      </c>
      <c r="J15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7.1569506726457393</v>
      </c>
      <c r="K15" t="str">
        <f>IF(Table6[[#This Row],[Planet '#]]="","","Planet "&amp;Table6[[#This Row],[Planet '#]]&amp;" — "&amp;Table6[[#This Row],[Name]])</f>
        <v>Planet 2 — Drasta</v>
      </c>
      <c r="L15" t="str">
        <f>IF(Table6[[#This Row],[Planet '#]]="","","Valid nonnegative scenario inputs")</f>
        <v>Valid nonnegative scenario inputs</v>
      </c>
      <c r="M15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5" s="84" t="str">
        <f>IF(Table6[[#This Row],[Planet '#]]="","",IF(Table6[[#This Row],[Expected Result]]=Table6[[#This Row],[Actual Result]],"PASS","FAIL"))</f>
        <v>PASS</v>
      </c>
    </row>
    <row r="16" spans="1:14" x14ac:dyDescent="0.3">
      <c r="A16">
        <v>2</v>
      </c>
      <c r="B16" t="str">
        <f>IF(Table6[[#This Row],[Planet '#]]="","",_xlfn.XLOOKUP(Table6[[#This Row],[Planet '#]],tblprogress[Planet '#],tblprogress[Name]))</f>
        <v>Drasta</v>
      </c>
      <c r="C16">
        <v>17</v>
      </c>
      <c r="D16">
        <v>13</v>
      </c>
      <c r="E16">
        <v>17</v>
      </c>
      <c r="F16">
        <f>_xlfn.XLOOKUP(Table6[[#This Row],[Mining Level]],tblUpgradeStats[Level],tblUpgradeStats[Mining Speed],0)</f>
        <v>6.202</v>
      </c>
      <c r="G16">
        <f>_xlfn.XLOOKUP(Table6[[#This Row],[Ship Level]],tblUpgradeStats[Level],tblUpgradeStats[Ship Speed],0)</f>
        <v>5.32</v>
      </c>
      <c r="H16">
        <f>_xlfn.XLOOKUP(Table6[[#This Row],[Cargo Level]],tblUpgradeStats[Level],tblUpgradeStats[Cargo Amount],0)</f>
        <v>63</v>
      </c>
      <c r="I16">
        <v>16</v>
      </c>
      <c r="J16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6.8623024830699775</v>
      </c>
      <c r="K16" t="str">
        <f>IF(Table6[[#This Row],[Planet '#]]="","","Planet "&amp;Table6[[#This Row],[Planet '#]]&amp;" — "&amp;Table6[[#This Row],[Name]])</f>
        <v>Planet 2 — Drasta</v>
      </c>
      <c r="L16" t="str">
        <f>IF(Table6[[#This Row],[Planet '#]]="","","Valid nonnegative scenario inputs")</f>
        <v>Valid nonnegative scenario inputs</v>
      </c>
      <c r="M16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6" s="84" t="str">
        <f>IF(Table6[[#This Row],[Planet '#]]="","",IF(Table6[[#This Row],[Expected Result]]=Table6[[#This Row],[Actual Result]],"PASS","FAIL"))</f>
        <v>PASS</v>
      </c>
    </row>
    <row r="17" spans="1:14" x14ac:dyDescent="0.3">
      <c r="A17">
        <v>2</v>
      </c>
      <c r="B17" t="str">
        <f>IF(Table6[[#This Row],[Planet '#]]="","",_xlfn.XLOOKUP(Table6[[#This Row],[Planet '#]],tblprogress[Planet '#],tblprogress[Name]))</f>
        <v>Drasta</v>
      </c>
      <c r="C17">
        <v>18</v>
      </c>
      <c r="D17">
        <v>13</v>
      </c>
      <c r="E17">
        <v>17</v>
      </c>
      <c r="F17">
        <f>_xlfn.XLOOKUP(Table6[[#This Row],[Mining Level]],tblUpgradeStats[Level],tblUpgradeStats[Mining Speed],0)</f>
        <v>6.8630000000000004</v>
      </c>
      <c r="G17">
        <f>_xlfn.XLOOKUP(Table6[[#This Row],[Ship Level]],tblUpgradeStats[Level],tblUpgradeStats[Ship Speed],0)</f>
        <v>5.32</v>
      </c>
      <c r="H17">
        <f>_xlfn.XLOOKUP(Table6[[#This Row],[Cargo Level]],tblUpgradeStats[Level],tblUpgradeStats[Cargo Amount],0)</f>
        <v>63</v>
      </c>
      <c r="I17">
        <v>18</v>
      </c>
      <c r="J17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6.976540871339064</v>
      </c>
      <c r="K17" t="str">
        <f>IF(Table6[[#This Row],[Planet '#]]="","","Planet "&amp;Table6[[#This Row],[Planet '#]]&amp;" — "&amp;Table6[[#This Row],[Name]])</f>
        <v>Planet 2 — Drasta</v>
      </c>
      <c r="L17" t="str">
        <f>IF(Table6[[#This Row],[Planet '#]]="","","Valid nonnegative scenario inputs")</f>
        <v>Valid nonnegative scenario inputs</v>
      </c>
      <c r="M17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7" s="84" t="str">
        <f>IF(Table6[[#This Row],[Planet '#]]="","",IF(Table6[[#This Row],[Expected Result]]=Table6[[#This Row],[Actual Result]],"PASS","FAIL"))</f>
        <v>PASS</v>
      </c>
    </row>
    <row r="18" spans="1:14" x14ac:dyDescent="0.3">
      <c r="A18">
        <v>2</v>
      </c>
      <c r="B18" t="str">
        <f>IF(Table6[[#This Row],[Planet '#]]="","",_xlfn.XLOOKUP(Table6[[#This Row],[Planet '#]],tblprogress[Planet '#],tblprogress[Name]))</f>
        <v>Drasta</v>
      </c>
      <c r="C18">
        <v>19</v>
      </c>
      <c r="D18">
        <v>13</v>
      </c>
      <c r="E18">
        <v>17</v>
      </c>
      <c r="F18">
        <f>_xlfn.XLOOKUP(Table6[[#This Row],[Mining Level]],tblUpgradeStats[Level],tblUpgradeStats[Mining Speed],0)</f>
        <v>7.5579999999999998</v>
      </c>
      <c r="G18">
        <f>_xlfn.XLOOKUP(Table6[[#This Row],[Ship Level]],tblUpgradeStats[Level],tblUpgradeStats[Ship Speed],0)</f>
        <v>5.32</v>
      </c>
      <c r="H18">
        <f>_xlfn.XLOOKUP(Table6[[#This Row],[Cargo Level]],tblUpgradeStats[Level],tblUpgradeStats[Cargo Amount],0)</f>
        <v>63</v>
      </c>
      <c r="I18">
        <v>19.5</v>
      </c>
      <c r="J18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6.862926700185235</v>
      </c>
      <c r="K18" t="str">
        <f>IF(Table6[[#This Row],[Planet '#]]="","","Planet "&amp;Table6[[#This Row],[Planet '#]]&amp;" — "&amp;Table6[[#This Row],[Name]])</f>
        <v>Planet 2 — Drasta</v>
      </c>
      <c r="L18" t="str">
        <f>IF(Table6[[#This Row],[Planet '#]]="","","Valid nonnegative scenario inputs")</f>
        <v>Valid nonnegative scenario inputs</v>
      </c>
      <c r="M18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8" s="84" t="str">
        <f>IF(Table6[[#This Row],[Planet '#]]="","",IF(Table6[[#This Row],[Expected Result]]=Table6[[#This Row],[Actual Result]],"PASS","FAIL"))</f>
        <v>PASS</v>
      </c>
    </row>
    <row r="19" spans="1:14" x14ac:dyDescent="0.3">
      <c r="A19">
        <v>3</v>
      </c>
      <c r="B19" t="str">
        <f>IF(Table6[[#This Row],[Planet '#]]="","",_xlfn.XLOOKUP(Table6[[#This Row],[Planet '#]],tblprogress[Planet '#],tblprogress[Name]))</f>
        <v>Anadius</v>
      </c>
      <c r="C19">
        <v>17</v>
      </c>
      <c r="D19">
        <v>10</v>
      </c>
      <c r="E19">
        <v>16</v>
      </c>
      <c r="F19">
        <f>_xlfn.XLOOKUP(Table6[[#This Row],[Mining Level]],tblUpgradeStats[Level],tblUpgradeStats[Mining Speed],0)</f>
        <v>6.202</v>
      </c>
      <c r="G19">
        <f>_xlfn.XLOOKUP(Table6[[#This Row],[Ship Level]],tblUpgradeStats[Level],tblUpgradeStats[Ship Speed],0)</f>
        <v>3.88</v>
      </c>
      <c r="H19">
        <f>_xlfn.XLOOKUP(Table6[[#This Row],[Cargo Level]],tblUpgradeStats[Level],tblUpgradeStats[Cargo Amount],0)</f>
        <v>58</v>
      </c>
      <c r="I19">
        <v>22</v>
      </c>
      <c r="J19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6.8816510802966784</v>
      </c>
      <c r="K19" t="str">
        <f>IF(Table6[[#This Row],[Planet '#]]="","","Planet "&amp;Table6[[#This Row],[Planet '#]]&amp;" — "&amp;Table6[[#This Row],[Name]])</f>
        <v>Planet 3 — Anadius</v>
      </c>
      <c r="L19" t="str">
        <f>IF(Table6[[#This Row],[Planet '#]]="","","Valid nonnegative scenario inputs")</f>
        <v>Valid nonnegative scenario inputs</v>
      </c>
      <c r="M19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19" s="84" t="str">
        <f>IF(Table6[[#This Row],[Planet '#]]="","",IF(Table6[[#This Row],[Expected Result]]=Table6[[#This Row],[Actual Result]],"PASS","FAIL"))</f>
        <v>PASS</v>
      </c>
    </row>
    <row r="20" spans="1:14" x14ac:dyDescent="0.3">
      <c r="A20">
        <v>3</v>
      </c>
      <c r="B20" t="str">
        <f>IF(Table6[[#This Row],[Planet '#]]="","",_xlfn.XLOOKUP(Table6[[#This Row],[Planet '#]],tblprogress[Planet '#],tblprogress[Name]))</f>
        <v>Anadius</v>
      </c>
      <c r="C20">
        <v>18</v>
      </c>
      <c r="D20">
        <v>10</v>
      </c>
      <c r="E20">
        <v>16</v>
      </c>
      <c r="F20">
        <f>_xlfn.XLOOKUP(Table6[[#This Row],[Mining Level]],tblUpgradeStats[Level],tblUpgradeStats[Mining Speed],0)</f>
        <v>6.8630000000000004</v>
      </c>
      <c r="G20">
        <f>_xlfn.XLOOKUP(Table6[[#This Row],[Ship Level]],tblUpgradeStats[Level],tblUpgradeStats[Ship Speed],0)</f>
        <v>3.88</v>
      </c>
      <c r="H20">
        <f>_xlfn.XLOOKUP(Table6[[#This Row],[Cargo Level]],tblUpgradeStats[Level],tblUpgradeStats[Cargo Amount],0)</f>
        <v>58</v>
      </c>
      <c r="I20">
        <v>24</v>
      </c>
      <c r="J20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6.7842051580941272</v>
      </c>
      <c r="K20" t="str">
        <f>IF(Table6[[#This Row],[Planet '#]]="","","Planet "&amp;Table6[[#This Row],[Planet '#]]&amp;" — "&amp;Table6[[#This Row],[Name]])</f>
        <v>Planet 3 — Anadius</v>
      </c>
      <c r="L20" t="str">
        <f>IF(Table6[[#This Row],[Planet '#]]="","","Valid nonnegative scenario inputs")</f>
        <v>Valid nonnegative scenario inputs</v>
      </c>
      <c r="M20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20" s="84" t="str">
        <f>IF(Table6[[#This Row],[Planet '#]]="","",IF(Table6[[#This Row],[Expected Result]]=Table6[[#This Row],[Actual Result]],"PASS","FAIL"))</f>
        <v>PASS</v>
      </c>
    </row>
    <row r="21" spans="1:14" x14ac:dyDescent="0.3">
      <c r="A21">
        <v>3</v>
      </c>
      <c r="B21" t="str">
        <f>IF(Table6[[#This Row],[Planet '#]]="","",_xlfn.XLOOKUP(Table6[[#This Row],[Planet '#]],tblprogress[Planet '#],tblprogress[Name]))</f>
        <v>Anadius</v>
      </c>
      <c r="C21">
        <v>19</v>
      </c>
      <c r="D21">
        <v>10</v>
      </c>
      <c r="E21">
        <v>16</v>
      </c>
      <c r="F21">
        <f>_xlfn.XLOOKUP(Table6[[#This Row],[Mining Level]],tblUpgradeStats[Level],tblUpgradeStats[Mining Speed],0)</f>
        <v>7.5579999999999998</v>
      </c>
      <c r="G21">
        <f>_xlfn.XLOOKUP(Table6[[#This Row],[Ship Level]],tblUpgradeStats[Level],tblUpgradeStats[Ship Speed],0)</f>
        <v>3.88</v>
      </c>
      <c r="H21">
        <f>_xlfn.XLOOKUP(Table6[[#This Row],[Cargo Level]],tblUpgradeStats[Level],tblUpgradeStats[Cargo Amount],0)</f>
        <v>58</v>
      </c>
      <c r="I21">
        <v>26</v>
      </c>
      <c r="J21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6.6737232071976713</v>
      </c>
      <c r="K21" t="str">
        <f>IF(Table6[[#This Row],[Planet '#]]="","","Planet "&amp;Table6[[#This Row],[Planet '#]]&amp;" — "&amp;Table6[[#This Row],[Name]])</f>
        <v>Planet 3 — Anadius</v>
      </c>
      <c r="L21" t="str">
        <f>IF(Table6[[#This Row],[Planet '#]]="","","Valid nonnegative scenario inputs")</f>
        <v>Valid nonnegative scenario inputs</v>
      </c>
      <c r="M21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21" s="84" t="str">
        <f>IF(Table6[[#This Row],[Planet '#]]="","",IF(Table6[[#This Row],[Expected Result]]=Table6[[#This Row],[Actual Result]],"PASS","FAIL"))</f>
        <v>PASS</v>
      </c>
    </row>
    <row r="22" spans="1:14" x14ac:dyDescent="0.3">
      <c r="A22">
        <v>3</v>
      </c>
      <c r="C22">
        <v>20</v>
      </c>
      <c r="D22">
        <v>10</v>
      </c>
      <c r="E22">
        <v>16</v>
      </c>
      <c r="F22">
        <f>_xlfn.XLOOKUP(Table6[[#This Row],[Mining Level]],tblUpgradeStats[Level],tblUpgradeStats[Mining Speed],0)</f>
        <v>8.2870000000000008</v>
      </c>
      <c r="G22">
        <f>_xlfn.XLOOKUP(Table6[[#This Row],[Ship Level]],tblUpgradeStats[Level],tblUpgradeStats[Ship Speed],0)</f>
        <v>3.88</v>
      </c>
      <c r="H22">
        <f>_xlfn.XLOOKUP(Table6[[#This Row],[Cargo Level]],tblUpgradeStats[Level],tblUpgradeStats[Cargo Amount],0)</f>
        <v>58</v>
      </c>
      <c r="I22">
        <v>30</v>
      </c>
      <c r="J22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7.0230481477012185</v>
      </c>
      <c r="K22" t="str">
        <f>IF(Table6[[#This Row],[Planet '#]]="","","Planet "&amp;Table6[[#This Row],[Planet '#]]&amp;" — "&amp;Table6[[#This Row],[Name]])</f>
        <v xml:space="preserve">Planet 3 — </v>
      </c>
      <c r="L22" t="str">
        <f>IF(Table6[[#This Row],[Planet '#]]="","","Valid nonnegative scenario inputs")</f>
        <v>Valid nonnegative scenario inputs</v>
      </c>
      <c r="M22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22" s="84" t="str">
        <f>IF(Table6[[#This Row],[Planet '#]]="","",IF(Table6[[#This Row],[Expected Result]]=Table6[[#This Row],[Actual Result]],"PASS","FAIL"))</f>
        <v>PASS</v>
      </c>
    </row>
    <row r="23" spans="1:14" x14ac:dyDescent="0.3">
      <c r="A23">
        <v>3</v>
      </c>
      <c r="B23" t="str">
        <f>IF(Table6[[#This Row],[Planet '#]]="","",_xlfn.XLOOKUP(Table6[[#This Row],[Planet '#]],tblprogress[Planet '#],tblprogress[Name]))</f>
        <v>Anadius</v>
      </c>
      <c r="C23">
        <v>21</v>
      </c>
      <c r="D23">
        <v>10</v>
      </c>
      <c r="E23">
        <v>16</v>
      </c>
      <c r="F23">
        <f>_xlfn.XLOOKUP(Table6[[#This Row],[Mining Level]],tblUpgradeStats[Level],tblUpgradeStats[Mining Speed],0)</f>
        <v>9.0500000000000007</v>
      </c>
      <c r="G23">
        <f>_xlfn.XLOOKUP(Table6[[#This Row],[Ship Level]],tblUpgradeStats[Level],tblUpgradeStats[Ship Speed],0)</f>
        <v>3.88</v>
      </c>
      <c r="H23">
        <f>_xlfn.XLOOKUP(Table6[[#This Row],[Cargo Level]],tblUpgradeStats[Level],tblUpgradeStats[Cargo Amount],0)</f>
        <v>58</v>
      </c>
      <c r="I23">
        <v>32</v>
      </c>
      <c r="J23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6.8596685082872924</v>
      </c>
      <c r="K23" t="str">
        <f>IF(Table6[[#This Row],[Planet '#]]="","","Planet "&amp;Table6[[#This Row],[Planet '#]]&amp;" — "&amp;Table6[[#This Row],[Name]])</f>
        <v>Planet 3 — Anadius</v>
      </c>
      <c r="L23" t="str">
        <f>IF(Table6[[#This Row],[Planet '#]]="","","Valid nonnegative scenario inputs")</f>
        <v>Valid nonnegative scenario inputs</v>
      </c>
      <c r="M23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23" s="84" t="str">
        <f>IF(Table6[[#This Row],[Planet '#]]="","",IF(Table6[[#This Row],[Expected Result]]=Table6[[#This Row],[Actual Result]],"PASS","FAIL"))</f>
        <v>PASS</v>
      </c>
    </row>
    <row r="24" spans="1:14" x14ac:dyDescent="0.3">
      <c r="A24">
        <v>4</v>
      </c>
      <c r="C24">
        <v>20</v>
      </c>
      <c r="D24">
        <v>14</v>
      </c>
      <c r="E24">
        <v>28</v>
      </c>
      <c r="F24">
        <f>_xlfn.XLOOKUP(Table6[[#This Row],[Mining Level]],tblUpgradeStats[Level],tblUpgradeStats[Mining Speed],0)</f>
        <v>8.2870000000000008</v>
      </c>
      <c r="G24">
        <f>_xlfn.XLOOKUP(Table6[[#This Row],[Ship Level]],tblUpgradeStats[Level],tblUpgradeStats[Ship Speed],0)</f>
        <v>5.8533333333333335</v>
      </c>
      <c r="H24">
        <f>_xlfn.XLOOKUP(Table6[[#This Row],[Cargo Level]],tblUpgradeStats[Level],tblUpgradeStats[Cargo Amount],0)</f>
        <v>132</v>
      </c>
      <c r="I24">
        <v>19</v>
      </c>
      <c r="J24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>6.7101082016009004</v>
      </c>
      <c r="K24" t="str">
        <f>IF(Table6[[#This Row],[Planet '#]]="","","Planet "&amp;Table6[[#This Row],[Planet '#]]&amp;" — "&amp;Table6[[#This Row],[Name]])</f>
        <v xml:space="preserve">Planet 4 — </v>
      </c>
      <c r="L24" t="str">
        <f>IF(Table6[[#This Row],[Planet '#]]="","","Valid nonnegative scenario inputs")</f>
        <v>Valid nonnegative scenario inputs</v>
      </c>
      <c r="M24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>Valid nonnegative scenario inputs</v>
      </c>
      <c r="N24" s="84" t="str">
        <f>IF(Table6[[#This Row],[Planet '#]]="","",IF(Table6[[#This Row],[Expected Result]]=Table6[[#This Row],[Actual Result]],"PASS","FAIL"))</f>
        <v>PASS</v>
      </c>
    </row>
    <row r="25" spans="1:14" x14ac:dyDescent="0.3">
      <c r="F25">
        <f>_xlfn.XLOOKUP(Table6[[#This Row],[Mining Level]],tblUpgradeStats[Level],tblUpgradeStats[Mining Speed],0)</f>
        <v>0</v>
      </c>
      <c r="G25">
        <f>_xlfn.XLOOKUP(Table6[[#This Row],[Ship Level]],tblUpgradeStats[Level],tblUpgradeStats[Ship Speed],0)</f>
        <v>0</v>
      </c>
      <c r="H25">
        <f>_xlfn.XLOOKUP(Table6[[#This Row],[Cargo Level]],tblUpgradeStats[Level],tblUpgradeStats[Cargo Amount],0)</f>
        <v>0</v>
      </c>
      <c r="J25" t="str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/>
      </c>
      <c r="K25" t="str">
        <f>IF(Table6[[#This Row],[Planet '#]]="","","Planet "&amp;Table6[[#This Row],[Planet '#]]&amp;" — "&amp;Table6[[#This Row],[Name]])</f>
        <v/>
      </c>
      <c r="L25" t="str">
        <f>IF(Table6[[#This Row],[Planet '#]]="","","Valid nonnegative scenario inputs")</f>
        <v/>
      </c>
      <c r="M25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/>
      </c>
      <c r="N25" s="84" t="str">
        <f>IF(Table6[[#This Row],[Planet '#]]="","",IF(Table6[[#This Row],[Expected Result]]=Table6[[#This Row],[Actual Result]],"PASS","FAIL"))</f>
        <v/>
      </c>
    </row>
    <row r="26" spans="1:14" x14ac:dyDescent="0.3">
      <c r="B26" t="str">
        <f>IF(Table6[[#This Row],[Planet '#]]="","",_xlfn.XLOOKUP(Table6[[#This Row],[Planet '#]],tblprogress[Planet '#],tblprogress[Name]))</f>
        <v/>
      </c>
      <c r="F26">
        <f>_xlfn.XLOOKUP(Table6[[#This Row],[Mining Level]],tblUpgradeStats[Level],tblUpgradeStats[Mining Speed],0)</f>
        <v>0</v>
      </c>
      <c r="G26">
        <f>_xlfn.XLOOKUP(Table6[[#This Row],[Ship Level]],tblUpgradeStats[Level],tblUpgradeStats[Ship Speed],0)</f>
        <v>0</v>
      </c>
      <c r="H26">
        <f>_xlfn.XLOOKUP(Table6[[#This Row],[Cargo Level]],tblUpgradeStats[Level],tblUpgradeStats[Cargo Amount],0)</f>
        <v>0</v>
      </c>
      <c r="J26" t="str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/>
      </c>
      <c r="K26" t="str">
        <f>IF(Table6[[#This Row],[Planet '#]]="","","Planet "&amp;Table6[[#This Row],[Planet '#]]&amp;" — "&amp;Table6[[#This Row],[Name]])</f>
        <v/>
      </c>
      <c r="L26" t="str">
        <f>IF(Table6[[#This Row],[Planet '#]]="","","Valid nonnegative scenario inputs")</f>
        <v/>
      </c>
      <c r="M26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/>
      </c>
      <c r="N26" s="84" t="str">
        <f>IF(Table6[[#This Row],[Planet '#]]="","",IF(Table6[[#This Row],[Expected Result]]=Table6[[#This Row],[Actual Result]],"PASS","FAIL"))</f>
        <v/>
      </c>
    </row>
    <row r="27" spans="1:14" x14ac:dyDescent="0.3">
      <c r="B27" t="str">
        <f>IF(Table6[[#This Row],[Planet '#]]="","",_xlfn.XLOOKUP(Table6[[#This Row],[Planet '#]],tblprogress[Planet '#],tblprogress[Name]))</f>
        <v/>
      </c>
      <c r="F27">
        <f>_xlfn.XLOOKUP(Table6[[#This Row],[Mining Level]],tblUpgradeStats[Level],tblUpgradeStats[Mining Speed],0)</f>
        <v>0</v>
      </c>
      <c r="G27">
        <f>_xlfn.XLOOKUP(Table6[[#This Row],[Ship Level]],tblUpgradeStats[Level],tblUpgradeStats[Ship Speed],0)</f>
        <v>0</v>
      </c>
      <c r="H27">
        <f>_xlfn.XLOOKUP(Table6[[#This Row],[Cargo Level]],tblUpgradeStats[Level],tblUpgradeStats[Cargo Amount],0)</f>
        <v>0</v>
      </c>
      <c r="J27" t="str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/>
      </c>
      <c r="K27" t="str">
        <f>IF(Table6[[#This Row],[Planet '#]]="","","Planet "&amp;Table6[[#This Row],[Planet '#]]&amp;" — "&amp;Table6[[#This Row],[Name]])</f>
        <v/>
      </c>
      <c r="L27" t="str">
        <f>IF(Table6[[#This Row],[Planet '#]]="","","Valid nonnegative scenario inputs")</f>
        <v/>
      </c>
      <c r="M27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/>
      </c>
      <c r="N27" s="84" t="str">
        <f>IF(Table6[[#This Row],[Planet '#]]="","",IF(Table6[[#This Row],[Expected Result]]=Table6[[#This Row],[Actual Result]],"PASS","FAIL"))</f>
        <v/>
      </c>
    </row>
    <row r="28" spans="1:14" x14ac:dyDescent="0.3">
      <c r="B28" t="str">
        <f>IF(Table6[[#This Row],[Planet '#]]="","",_xlfn.XLOOKUP(Table6[[#This Row],[Planet '#]],tblprogress[Planet '#],tblprogress[Name]))</f>
        <v/>
      </c>
      <c r="F28">
        <f>_xlfn.XLOOKUP(Table6[[#This Row],[Mining Level]],tblUpgradeStats[Level],tblUpgradeStats[Mining Speed],0)</f>
        <v>0</v>
      </c>
      <c r="G28">
        <f>_xlfn.XLOOKUP(Table6[[#This Row],[Ship Level]],tblUpgradeStats[Level],tblUpgradeStats[Ship Speed],0)</f>
        <v>0</v>
      </c>
      <c r="H28">
        <f>_xlfn.XLOOKUP(Table6[[#This Row],[Cargo Level]],tblUpgradeStats[Level],tblUpgradeStats[Cargo Amount],0)</f>
        <v>0</v>
      </c>
      <c r="J28" t="str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/>
      </c>
      <c r="K28" t="str">
        <f>IF(Table6[[#This Row],[Planet '#]]="","","Planet "&amp;Table6[[#This Row],[Planet '#]]&amp;" — "&amp;Table6[[#This Row],[Name]])</f>
        <v/>
      </c>
      <c r="L28" t="str">
        <f>IF(Table6[[#This Row],[Planet '#]]="","","Valid nonnegative scenario inputs")</f>
        <v/>
      </c>
      <c r="M28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/>
      </c>
      <c r="N28" s="84" t="str">
        <f>IF(Table6[[#This Row],[Planet '#]]="","",IF(Table6[[#This Row],[Expected Result]]=Table6[[#This Row],[Actual Result]],"PASS","FAIL"))</f>
        <v/>
      </c>
    </row>
    <row r="29" spans="1:14" x14ac:dyDescent="0.3">
      <c r="B29" t="str">
        <f>IF(Table6[[#This Row],[Planet '#]]="","",_xlfn.XLOOKUP(Table6[[#This Row],[Planet '#]],tblprogress[Planet '#],tblprogress[Name]))</f>
        <v/>
      </c>
      <c r="F29">
        <f>_xlfn.XLOOKUP(Table6[[#This Row],[Mining Level]],tblUpgradeStats[Level],tblUpgradeStats[Mining Speed],0)</f>
        <v>0</v>
      </c>
      <c r="G29">
        <f>_xlfn.XLOOKUP(Table6[[#This Row],[Ship Level]],tblUpgradeStats[Level],tblUpgradeStats[Ship Speed],0)</f>
        <v>0</v>
      </c>
      <c r="H29">
        <f>_xlfn.XLOOKUP(Table6[[#This Row],[Cargo Level]],tblUpgradeStats[Level],tblUpgradeStats[Cargo Amount],0)</f>
        <v>0</v>
      </c>
      <c r="J29" t="str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/>
      </c>
      <c r="K29" t="str">
        <f>IF(Table6[[#This Row],[Planet '#]]="","","Planet "&amp;Table6[[#This Row],[Planet '#]]&amp;" — "&amp;Table6[[#This Row],[Name]])</f>
        <v/>
      </c>
      <c r="L29" t="str">
        <f>IF(Table6[[#This Row],[Planet '#]]="","","Valid nonnegative scenario inputs")</f>
        <v/>
      </c>
      <c r="M29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/>
      </c>
      <c r="N29" s="84" t="str">
        <f>IF(Table6[[#This Row],[Planet '#]]="","",IF(Table6[[#This Row],[Expected Result]]=Table6[[#This Row],[Actual Result]],"PASS","FAIL"))</f>
        <v/>
      </c>
    </row>
    <row r="30" spans="1:14" x14ac:dyDescent="0.3">
      <c r="B30" t="str">
        <f>IF(Table6[[#This Row],[Planet '#]]="","",_xlfn.XLOOKUP(Table6[[#This Row],[Planet '#]],tblprogress[Planet '#],tblprogress[Name]))</f>
        <v/>
      </c>
      <c r="F30">
        <f>_xlfn.XLOOKUP(Table6[[#This Row],[Mining Level]],tblUpgradeStats[Level],tblUpgradeStats[Mining Speed],0)</f>
        <v>0</v>
      </c>
      <c r="G30">
        <f>_xlfn.XLOOKUP(Table6[[#This Row],[Ship Level]],tblUpgradeStats[Level],tblUpgradeStats[Ship Speed],0)</f>
        <v>0</v>
      </c>
      <c r="H30">
        <f>_xlfn.XLOOKUP(Table6[[#This Row],[Cargo Level]],tblUpgradeStats[Level],tblUpgradeStats[Cargo Amount],0)</f>
        <v>0</v>
      </c>
      <c r="J30" t="str">
        <f>IF(OR(Table6[[#This Row],[Mining Rate]]="",Table6[[#This Row],[Ship Speed]]="",Table6[[#This Row],[Cargo]]="",Table6[[#This Row],[Deposit Amount]]=""),
   "",
   IF(Table6[[#This Row],[Deposit Amount]]&lt;Table6[[#This Row],[Cargo]],
      (Table6[[#This Row],[Deposit Amount]]/Table6[[#This Row],[Mining Rate]])*(Table6[[#This Row],[Ship Speed]]/2),
      "NA"
   )
)</f>
        <v/>
      </c>
      <c r="K30" t="str">
        <f>IF(Table6[[#This Row],[Planet '#]]="","","Planet "&amp;Table6[[#This Row],[Planet '#]]&amp;" — "&amp;Table6[[#This Row],[Name]])</f>
        <v/>
      </c>
      <c r="L30" t="str">
        <f>IF(Table6[[#This Row],[Planet '#]]="","","Valid nonnegative scenario inputs")</f>
        <v/>
      </c>
      <c r="M30" t="str">
        <f>IF(Table6[[#This Row],[Planet '#]]="","",IF(AND(Table6[[#This Row],[Mining Level]]&gt;=0,Table6[[#This Row],[Ship Level]]&gt;=0,Table6[[#This Row],[Cargo Level]]&gt;=0,Table6[[#This Row],[Mining Rate]]&gt;=0,Table6[[#This Row],[Ship Speed]]&gt;=0,Table6[[#This Row],[Cargo]]&gt;=0,Table6[[#This Row],[Deposit Amount]]&gt;=0,Table6[[#This Row],[Distance]]&gt;=0),"Valid nonnegative scenario inputs","Invalid scenario inputs"))</f>
        <v/>
      </c>
      <c r="N30" s="84" t="str">
        <f>IF(Table6[[#This Row],[Planet '#]]="","",IF(Table6[[#This Row],[Expected Result]]=Table6[[#This Row],[Actual Result]],"PASS","FAIL"))</f>
        <v/>
      </c>
    </row>
  </sheetData>
  <phoneticPr fontId="3" type="noConversion"/>
  <conditionalFormatting sqref="N2:N30">
    <cfRule type="cellIs" dxfId="230" priority="1" operator="equal">
      <formula>"PASS"</formula>
    </cfRule>
  </conditionalFormatting>
  <conditionalFormatting sqref="N2:N30">
    <cfRule type="cellIs" dxfId="229" priority="2" operator="equal">
      <formula>"FAIL"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DB47B-18DE-4E38-8B10-A9CD7B2F961D}">
  <sheetPr codeName="Sheet1"/>
  <dimension ref="A1:L54"/>
  <sheetViews>
    <sheetView tabSelected="1" workbookViewId="0">
      <selection activeCell="O9" sqref="O9"/>
    </sheetView>
  </sheetViews>
  <sheetFormatPr defaultRowHeight="14.4" x14ac:dyDescent="0.3"/>
  <cols>
    <col min="1" max="1" width="13.77734375" bestFit="1" customWidth="1"/>
    <col min="2" max="2" width="11.5546875" bestFit="1" customWidth="1"/>
    <col min="3" max="3" width="8.88671875" bestFit="1" customWidth="1"/>
    <col min="4" max="4" width="10.88671875" bestFit="1" customWidth="1"/>
    <col min="5" max="5" width="21.44140625" bestFit="1" customWidth="1"/>
    <col min="6" max="6" width="8.77734375" bestFit="1" customWidth="1"/>
    <col min="7" max="7" width="3" customWidth="1"/>
    <col min="8" max="8" width="18.21875" bestFit="1" customWidth="1"/>
    <col min="9" max="9" width="10.88671875" bestFit="1" customWidth="1"/>
    <col min="10" max="10" width="11" bestFit="1" customWidth="1"/>
    <col min="11" max="11" width="15.88671875" bestFit="1" customWidth="1"/>
    <col min="12" max="12" width="14.44140625" customWidth="1"/>
    <col min="13" max="13" width="10.44140625" customWidth="1"/>
  </cols>
  <sheetData>
    <row r="1" spans="1:12" ht="23.4" x14ac:dyDescent="0.45">
      <c r="A1" s="107" t="s">
        <v>213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1:12" x14ac:dyDescent="0.3">
      <c r="A2" s="108" t="s">
        <v>214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</row>
    <row r="3" spans="1:12" x14ac:dyDescent="0.3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</row>
    <row r="4" spans="1:12" x14ac:dyDescent="0.3">
      <c r="A4" s="109" t="s">
        <v>215</v>
      </c>
      <c r="B4" s="109"/>
      <c r="C4" s="109"/>
      <c r="D4" s="109" t="s">
        <v>216</v>
      </c>
      <c r="E4" s="109"/>
      <c r="F4" s="109"/>
      <c r="G4" s="109" t="s">
        <v>217</v>
      </c>
      <c r="H4" s="109"/>
      <c r="I4" s="109"/>
      <c r="J4" s="109" t="s">
        <v>218</v>
      </c>
      <c r="K4" s="109"/>
      <c r="L4" s="109"/>
    </row>
    <row r="5" spans="1:12" x14ac:dyDescent="0.3">
      <c r="A5" s="115" t="str">
        <f>"#" &amp; _xlfn.XLOOKUP(B10,'Planet Efficiency'!P2:P11,'Planet Efficiency'!O2:O11) &amp; " " &amp;
INDEX(B10:B19, MATCH(1, A10:A19, 0)) &amp; " - " &amp;
INDEX(C10:C19, MATCH(1, A10:A19, 0))</f>
        <v>#6 Newton - Mining</v>
      </c>
      <c r="B5" s="115"/>
      <c r="C5" s="115"/>
      <c r="D5" s="116">
        <f>F10</f>
        <v>1</v>
      </c>
      <c r="E5" s="116"/>
      <c r="F5" s="116"/>
      <c r="G5" s="117">
        <f>COUNT('Planet Efficiency'!L2:L305)</f>
        <v>8</v>
      </c>
      <c r="H5" s="115"/>
      <c r="I5" s="115"/>
      <c r="J5" s="112">
        <v>1</v>
      </c>
      <c r="K5" s="113"/>
      <c r="L5" s="113"/>
    </row>
    <row r="6" spans="1:12" x14ac:dyDescent="0.3">
      <c r="A6" s="115"/>
      <c r="B6" s="115"/>
      <c r="C6" s="115"/>
      <c r="D6" s="116"/>
      <c r="E6" s="116"/>
      <c r="F6" s="116"/>
      <c r="G6" s="115"/>
      <c r="H6" s="115"/>
      <c r="I6" s="115"/>
      <c r="J6" s="113"/>
      <c r="K6" s="113"/>
      <c r="L6" s="113"/>
    </row>
    <row r="7" spans="1:12" ht="48" customHeight="1" x14ac:dyDescent="0.3">
      <c r="A7" s="114" t="str">
        <f>"Story in brief: "&amp;$A$5&amp;" leads "&amp;$G$5&amp;_xlfn._LONGTEXT(" eligible candidates because it combines the strongest ROI and fastest payback. The scatterplot below shows the trade-off, while the sensitivity panel tests ±10% changes to ore value, upgrade cost, and travel time. The winner remains dynamic with the unde","rlying model.")</f>
        <v>Story in brief: #6 Newton - Mining leads 8 eligible candidates because it combines the strongest ROI and fastest payback. The scatterplot below shows the trade-off, while the sensitivity panel tests ±10% changes to ore value, upgrade cost, and travel time. The winner remains dynamic with the underlying model.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</row>
    <row r="8" spans="1:12" x14ac:dyDescent="0.3">
      <c r="A8" s="109" t="s">
        <v>219</v>
      </c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</row>
    <row r="9" spans="1:12" ht="15" thickBot="1" x14ac:dyDescent="0.35">
      <c r="A9" s="91" t="s">
        <v>220</v>
      </c>
      <c r="B9" s="91" t="s">
        <v>221</v>
      </c>
      <c r="C9" s="91" t="s">
        <v>222</v>
      </c>
      <c r="D9" s="91" t="str">
        <f>"ROI /" &amp;J15</f>
        <v>ROI /Hours</v>
      </c>
      <c r="E9" s="91" t="str">
        <f>"Breakeven in " &amp;J16</f>
        <v>Breakeven in Seconds</v>
      </c>
      <c r="F9" s="91" t="s">
        <v>223</v>
      </c>
      <c r="G9" s="86"/>
      <c r="H9" s="86"/>
      <c r="I9" s="86"/>
      <c r="J9" s="86"/>
      <c r="K9" s="86"/>
      <c r="L9" s="86"/>
    </row>
    <row r="10" spans="1:12" ht="16.2" thickBot="1" x14ac:dyDescent="0.35">
      <c r="A10" s="92">
        <v>1</v>
      </c>
      <c r="B10" s="86" t="str">
        <f>IFERROR(_xlfn.XLOOKUP(A10,Table10[Rank],Table10[Name]),"")</f>
        <v>Newton</v>
      </c>
      <c r="C10" s="86" t="str">
        <f>IFERROR(_xlfn.XLOOKUP(A10,Table10[Rank],Table10[Type]),"")</f>
        <v>Mining</v>
      </c>
      <c r="D10" s="93">
        <f>IFERROR(_xlfn.XLOOKUP(A10,Table10[Rank],Table10[ROI])/_xlfn.XLOOKUP($J$15,Table15[Time],Table15[Hours]),"")</f>
        <v>123.42047662379188</v>
      </c>
      <c r="E10" s="93">
        <f>IFERROR(_xlfn.XLOOKUP(A10,Table10[Rank],Table10[Breakeven])/_xlfn.XLOOKUP($J$16,Table15[Time],Table15[Seconds]),"")</f>
        <v>247.59375729872198</v>
      </c>
      <c r="F10" s="94">
        <f>IFERROR(_xlfn.XLOOKUP(A10,Table10[Rank],Table10[Hybrid]),"")</f>
        <v>1</v>
      </c>
      <c r="G10" s="86"/>
      <c r="H10" s="95" t="str">
        <f>(100-J10) &amp; "% ROI"</f>
        <v>50% ROI</v>
      </c>
      <c r="I10" s="96"/>
      <c r="J10" s="97">
        <v>50</v>
      </c>
      <c r="K10" s="98"/>
      <c r="L10" s="98" t="str">
        <f>J10 &amp; "% Breakeven"</f>
        <v>50% Breakeven</v>
      </c>
    </row>
    <row r="11" spans="1:12" ht="15" thickBot="1" x14ac:dyDescent="0.35">
      <c r="A11" s="92">
        <v>2</v>
      </c>
      <c r="B11" s="86" t="str">
        <f>IFERROR(_xlfn.XLOOKUP(A11,Table10[Rank],Table10[Name]),"")</f>
        <v>Widow</v>
      </c>
      <c r="C11" s="86" t="str">
        <f>IFERROR(_xlfn.XLOOKUP(A11,Table10[Rank],Table10[Type]),"")</f>
        <v>Cargo</v>
      </c>
      <c r="D11" s="93">
        <f>IFERROR(_xlfn.XLOOKUP(A11,Table10[Rank],Table10[ROI])/_xlfn.XLOOKUP($J$15,Table15[Time],Table15[Hours]),"")</f>
        <v>25.344773154362386</v>
      </c>
      <c r="E11" s="93">
        <f>IFERROR(_xlfn.XLOOKUP(A11,Table10[Rank],Table10[Breakeven])/_xlfn.XLOOKUP($J$16,Table15[Time],Table15[Seconds]),"")</f>
        <v>2116.4127085811929</v>
      </c>
      <c r="F11" s="94">
        <f>IFERROR(_xlfn.XLOOKUP(A11,Table10[Rank],Table10[Hybrid]),"")</f>
        <v>0.7142857142857143</v>
      </c>
      <c r="G11" s="86"/>
      <c r="H11" s="98" t="s">
        <v>248</v>
      </c>
      <c r="I11" s="118" t="s">
        <v>247</v>
      </c>
      <c r="J11" s="119"/>
      <c r="K11" s="120"/>
      <c r="L11" s="98" t="s">
        <v>248</v>
      </c>
    </row>
    <row r="12" spans="1:12" x14ac:dyDescent="0.3">
      <c r="A12" s="92">
        <v>3</v>
      </c>
      <c r="B12" s="86" t="str">
        <f>IFERROR(_xlfn.XLOOKUP(A12,Table10[Rank],Table10[Name]),"")</f>
        <v>Widow</v>
      </c>
      <c r="C12" s="86" t="str">
        <f>IFERROR(_xlfn.XLOOKUP(A12,Table10[Rank],Table10[Type]),"")</f>
        <v>Speed</v>
      </c>
      <c r="D12" s="93">
        <f>IFERROR(_xlfn.XLOOKUP(A12,Table10[Rank],Table10[ROI])/_xlfn.XLOOKUP($J$15,Table15[Time],Table15[Hours]),"")</f>
        <v>25.344773154362386</v>
      </c>
      <c r="E12" s="93">
        <f>IFERROR(_xlfn.XLOOKUP(A12,Table10[Rank],Table10[Breakeven])/_xlfn.XLOOKUP($J$16,Table15[Time],Table15[Seconds]),"")</f>
        <v>2116.4127085811929</v>
      </c>
      <c r="F12" s="94">
        <f>IFERROR(_xlfn.XLOOKUP(A12,Table10[Rank],Table10[Hybrid]),"")</f>
        <v>0.7142857142857143</v>
      </c>
      <c r="G12" s="86"/>
      <c r="H12" s="86"/>
      <c r="I12" s="99"/>
      <c r="J12" s="100"/>
      <c r="K12" s="86"/>
      <c r="L12" s="86"/>
    </row>
    <row r="13" spans="1:12" x14ac:dyDescent="0.3">
      <c r="A13" s="92">
        <v>4</v>
      </c>
      <c r="B13" s="86" t="str">
        <f>IFERROR(_xlfn.XLOOKUP(A13,Table10[Rank],Table10[Name]),"")</f>
        <v>Anadius</v>
      </c>
      <c r="C13" s="86" t="str">
        <f>IFERROR(_xlfn.XLOOKUP(A13,Table10[Rank],Table10[Type]),"")</f>
        <v>Mining</v>
      </c>
      <c r="D13" s="93">
        <f>IFERROR(_xlfn.XLOOKUP(A13,Table10[Rank],Table10[ROI])/_xlfn.XLOOKUP($J$15,Table15[Time],Table15[Hours]),"")</f>
        <v>27.905345851695756</v>
      </c>
      <c r="E13" s="93">
        <f>IFERROR(_xlfn.XLOOKUP(A13,Table10[Rank],Table10[Breakeven])/_xlfn.XLOOKUP($J$16,Table15[Time],Table15[Seconds]),"")</f>
        <v>7740.4523544679196</v>
      </c>
      <c r="F13" s="94">
        <f>IFERROR(_xlfn.XLOOKUP(A13,Table10[Rank],Table10[Hybrid]),"")</f>
        <v>0.6428571428571429</v>
      </c>
      <c r="G13" s="86"/>
      <c r="H13" s="86"/>
      <c r="I13" s="99"/>
      <c r="J13" s="100"/>
      <c r="K13" s="86"/>
      <c r="L13" s="86"/>
    </row>
    <row r="14" spans="1:12" ht="15" thickBot="1" x14ac:dyDescent="0.35">
      <c r="A14" s="92">
        <v>5</v>
      </c>
      <c r="B14" s="86" t="str">
        <f>IFERROR(_xlfn.XLOOKUP(A14,Table10[Rank],Table10[Name]),"")</f>
        <v>Dholen</v>
      </c>
      <c r="C14" s="86" t="str">
        <f>IFERROR(_xlfn.XLOOKUP(A14,Table10[Rank],Table10[Type]),"")</f>
        <v>Mining</v>
      </c>
      <c r="D14" s="93">
        <f>IFERROR(_xlfn.XLOOKUP(A14,Table10[Rank],Table10[ROI])/_xlfn.XLOOKUP($J$15,Table15[Time],Table15[Hours]),"")</f>
        <v>27.897319000129524</v>
      </c>
      <c r="E14" s="93">
        <f>IFERROR(_xlfn.XLOOKUP(A14,Table10[Rank],Table10[Breakeven])/_xlfn.XLOOKUP($J$16,Table15[Time],Table15[Seconds]),"")</f>
        <v>7742.6795026073041</v>
      </c>
      <c r="F14" s="94">
        <f>IFERROR(_xlfn.XLOOKUP(A14,Table10[Rank],Table10[Hybrid]),"")</f>
        <v>0.5</v>
      </c>
      <c r="G14" s="86"/>
      <c r="H14" s="86"/>
      <c r="I14" s="99"/>
      <c r="J14" s="86"/>
      <c r="K14" s="86"/>
      <c r="L14" s="86"/>
    </row>
    <row r="15" spans="1:12" ht="15" thickBot="1" x14ac:dyDescent="0.35">
      <c r="A15" s="92">
        <v>6</v>
      </c>
      <c r="B15" s="86" t="str">
        <f>IFERROR(_xlfn.XLOOKUP(A15,Table10[Rank],Table10[Name]),"")</f>
        <v>Verr</v>
      </c>
      <c r="C15" s="86" t="str">
        <f>IFERROR(_xlfn.XLOOKUP(A15,Table10[Rank],Table10[Type]),"")</f>
        <v>Mining</v>
      </c>
      <c r="D15" s="93">
        <f>IFERROR(_xlfn.XLOOKUP(A15,Table10[Rank],Table10[ROI])/_xlfn.XLOOKUP($J$15,Table15[Time],Table15[Hours]),"")</f>
        <v>9.2779089762692735</v>
      </c>
      <c r="E15" s="93">
        <f>IFERROR(_xlfn.XLOOKUP(A15,Table10[Rank],Table10[Breakeven])/_xlfn.XLOOKUP($J$16,Table15[Time],Table15[Seconds]),"")</f>
        <v>3817.8881081098252</v>
      </c>
      <c r="F15" s="94">
        <f>IFERROR(_xlfn.XLOOKUP(A15,Table10[Rank],Table10[Hybrid]),"")</f>
        <v>0.2857142857142857</v>
      </c>
      <c r="G15" s="86"/>
      <c r="H15" s="110" t="s">
        <v>249</v>
      </c>
      <c r="I15" s="111"/>
      <c r="J15" s="110" t="s">
        <v>242</v>
      </c>
      <c r="K15" s="111"/>
      <c r="L15" s="101"/>
    </row>
    <row r="16" spans="1:12" ht="15" thickBot="1" x14ac:dyDescent="0.35">
      <c r="A16" s="92">
        <v>7</v>
      </c>
      <c r="B16" s="86" t="str">
        <f>IFERROR(_xlfn.XLOOKUP(A16,Table10[Rank],Table10[Name]),"")</f>
        <v>Balor</v>
      </c>
      <c r="C16" s="86" t="str">
        <f>IFERROR(_xlfn.XLOOKUP(A16,Table10[Rank],Table10[Type]),"")</f>
        <v>Mining</v>
      </c>
      <c r="D16" s="93">
        <f>IFERROR(_xlfn.XLOOKUP(A16,Table10[Rank],Table10[ROI])/_xlfn.XLOOKUP($J$15,Table15[Time],Table15[Hours]),"")</f>
        <v>23.642750818695983</v>
      </c>
      <c r="E16" s="93">
        <f>IFERROR(_xlfn.XLOOKUP(A16,Table10[Rank],Table10[Breakeven])/_xlfn.XLOOKUP($J$16,Table15[Time],Table15[Seconds]),"")</f>
        <v>9135.9927470535076</v>
      </c>
      <c r="F16" s="94">
        <f>IFERROR(_xlfn.XLOOKUP(A16,Table10[Rank],Table10[Hybrid]),"")</f>
        <v>0.2142857142857143</v>
      </c>
      <c r="G16" s="86"/>
      <c r="H16" s="110" t="s">
        <v>250</v>
      </c>
      <c r="I16" s="111"/>
      <c r="J16" s="110" t="s">
        <v>240</v>
      </c>
      <c r="K16" s="111"/>
      <c r="L16" s="86"/>
    </row>
    <row r="17" spans="1:12" x14ac:dyDescent="0.3">
      <c r="A17" s="92">
        <v>8</v>
      </c>
      <c r="B17" s="86" t="str">
        <f>IFERROR(_xlfn.XLOOKUP(A17,Table10[Rank],Table10[Name]),"")</f>
        <v>Drasta</v>
      </c>
      <c r="C17" s="86" t="str">
        <f>IFERROR(_xlfn.XLOOKUP(A17,Table10[Rank],Table10[Type]),"")</f>
        <v>Mining</v>
      </c>
      <c r="D17" s="93">
        <f>IFERROR(_xlfn.XLOOKUP(A17,Table10[Rank],Table10[ROI])/_xlfn.XLOOKUP($J$15,Table15[Time],Table15[Hours]),"")</f>
        <v>22.496603773584916</v>
      </c>
      <c r="E17" s="93">
        <f>IFERROR(_xlfn.XLOOKUP(A17,Table10[Rank],Table10[Breakeven])/_xlfn.XLOOKUP($J$16,Table15[Time],Table15[Seconds]),"")</f>
        <v>9601.4492753623163</v>
      </c>
      <c r="F17" s="94">
        <f>IFERROR(_xlfn.XLOOKUP(A17,Table10[Rank],Table10[Hybrid]),"")</f>
        <v>7.1428571428571452E-2</v>
      </c>
      <c r="G17" s="86"/>
      <c r="H17" s="86"/>
      <c r="I17" s="86"/>
      <c r="J17" s="86"/>
      <c r="K17" s="86"/>
      <c r="L17" s="86"/>
    </row>
    <row r="18" spans="1:12" x14ac:dyDescent="0.3">
      <c r="A18" s="92">
        <v>9</v>
      </c>
      <c r="B18" s="86" t="str">
        <f>IFERROR(_xlfn.XLOOKUP(A18,Table10[Rank],Table10[Name]),"")</f>
        <v/>
      </c>
      <c r="C18" s="86" t="str">
        <f>IFERROR(_xlfn.XLOOKUP(A18,Table10[Rank],Table10[Type]),"")</f>
        <v/>
      </c>
      <c r="D18" s="93" t="str">
        <f>IFERROR(_xlfn.XLOOKUP(A18,Table10[Rank],Table10[ROI])/_xlfn.XLOOKUP($J$15,Table15[Time],Table15[Hours]),"")</f>
        <v/>
      </c>
      <c r="E18" s="93" t="str">
        <f>IFERROR(_xlfn.XLOOKUP(A18,Table10[Rank],Table10[Breakeven])/_xlfn.XLOOKUP($J$16,Table15[Time],Table15[Seconds]),"")</f>
        <v/>
      </c>
      <c r="F18" s="94" t="str">
        <f>IFERROR(_xlfn.XLOOKUP(A18,Table10[Rank],Table10[Hybrid]),"")</f>
        <v/>
      </c>
      <c r="G18" s="86"/>
      <c r="H18" s="86"/>
      <c r="I18" s="86"/>
      <c r="J18" s="86"/>
      <c r="K18" s="86"/>
      <c r="L18" s="86"/>
    </row>
    <row r="19" spans="1:12" x14ac:dyDescent="0.3">
      <c r="A19" s="92">
        <v>10</v>
      </c>
      <c r="B19" s="86" t="str">
        <f>IFERROR(_xlfn.XLOOKUP(A19,Table10[Rank],Table10[Name]),"")</f>
        <v/>
      </c>
      <c r="C19" s="86" t="str">
        <f>IFERROR(_xlfn.XLOOKUP(A19,Table10[Rank],Table10[Type]),"")</f>
        <v/>
      </c>
      <c r="D19" s="93" t="str">
        <f>IFERROR(_xlfn.XLOOKUP(A19,Table10[Rank],Table10[ROI])/_xlfn.XLOOKUP($J$15,Table15[Time],Table15[Hours]),"")</f>
        <v/>
      </c>
      <c r="E19" s="93" t="str">
        <f>IFERROR(_xlfn.XLOOKUP(A19,Table10[Rank],Table10[Breakeven])/_xlfn.XLOOKUP($J$16,Table15[Time],Table15[Seconds]),"")</f>
        <v/>
      </c>
      <c r="F19" s="94" t="str">
        <f>IFERROR(_xlfn.XLOOKUP(A19,Table10[Rank],Table10[Hybrid]),"")</f>
        <v/>
      </c>
      <c r="G19" s="86"/>
      <c r="H19" s="86"/>
      <c r="I19" s="86"/>
      <c r="J19" s="86"/>
      <c r="K19" s="86"/>
      <c r="L19" s="86"/>
    </row>
    <row r="20" spans="1:12" x14ac:dyDescent="0.3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1:12" x14ac:dyDescent="0.3">
      <c r="A21" s="104" t="s">
        <v>287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</row>
    <row r="22" spans="1:12" x14ac:dyDescent="0.3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</row>
    <row r="23" spans="1:12" x14ac:dyDescent="0.3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</row>
    <row r="24" spans="1:12" x14ac:dyDescent="0.3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</row>
    <row r="25" spans="1:12" x14ac:dyDescent="0.3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</row>
    <row r="26" spans="1:12" x14ac:dyDescent="0.3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</row>
    <row r="27" spans="1:12" x14ac:dyDescent="0.3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</row>
    <row r="28" spans="1:12" x14ac:dyDescent="0.3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</row>
    <row r="29" spans="1:12" x14ac:dyDescent="0.3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</row>
    <row r="30" spans="1:12" x14ac:dyDescent="0.3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</row>
    <row r="31" spans="1:12" x14ac:dyDescent="0.3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</row>
    <row r="32" spans="1:12" x14ac:dyDescent="0.3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</row>
    <row r="33" spans="1:12" x14ac:dyDescent="0.3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</row>
    <row r="34" spans="1:12" x14ac:dyDescent="0.3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</row>
    <row r="35" spans="1:12" x14ac:dyDescent="0.3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</row>
    <row r="36" spans="1:12" x14ac:dyDescent="0.3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</row>
    <row r="37" spans="1:12" x14ac:dyDescent="0.3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</row>
    <row r="38" spans="1:12" x14ac:dyDescent="0.3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</row>
    <row r="39" spans="1:12" x14ac:dyDescent="0.3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</row>
    <row r="40" spans="1:12" x14ac:dyDescent="0.3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</row>
    <row r="41" spans="1:12" x14ac:dyDescent="0.3">
      <c r="A41" s="104" t="s">
        <v>288</v>
      </c>
      <c r="B41" s="104"/>
      <c r="C41" s="104"/>
      <c r="D41" s="104"/>
      <c r="E41" s="104"/>
      <c r="F41" s="104"/>
      <c r="G41" s="86"/>
      <c r="H41" s="104" t="s">
        <v>289</v>
      </c>
      <c r="I41" s="104"/>
      <c r="J41" s="104"/>
      <c r="K41" s="104"/>
      <c r="L41" s="104"/>
    </row>
    <row r="42" spans="1:12" x14ac:dyDescent="0.3">
      <c r="A42" s="102" t="s">
        <v>225</v>
      </c>
      <c r="B42" s="102" t="s">
        <v>290</v>
      </c>
      <c r="C42" s="102" t="s">
        <v>269</v>
      </c>
      <c r="D42" s="86"/>
      <c r="E42" s="86"/>
      <c r="F42" s="86"/>
      <c r="G42" s="86"/>
      <c r="H42" s="102" t="s">
        <v>270</v>
      </c>
      <c r="I42" s="102" t="s">
        <v>291</v>
      </c>
      <c r="J42" s="102" t="s">
        <v>292</v>
      </c>
      <c r="K42" s="102" t="s">
        <v>276</v>
      </c>
      <c r="L42" s="102" t="s">
        <v>293</v>
      </c>
    </row>
    <row r="43" spans="1:12" x14ac:dyDescent="0.3">
      <c r="A43" s="86" t="str">
        <f>'Analysis Support'!P2</f>
        <v>Mining</v>
      </c>
      <c r="B43" s="99">
        <f>'Analysis Support'!Q2</f>
        <v>6</v>
      </c>
      <c r="C43" s="100">
        <f>'Analysis Support'!R2</f>
        <v>0.75</v>
      </c>
      <c r="D43" s="86"/>
      <c r="E43" s="86"/>
      <c r="F43" s="86"/>
      <c r="G43" s="86"/>
      <c r="H43" s="86" t="str">
        <f>'Analysis Support'!A15</f>
        <v>Base</v>
      </c>
      <c r="I43" s="101">
        <f>'Analysis Support'!E15</f>
        <v>123.42047662379188</v>
      </c>
      <c r="J43" s="101">
        <f>'Analysis Support'!F15</f>
        <v>247.59375729872198</v>
      </c>
      <c r="K43" s="86" t="str">
        <f>'Analysis Support'!G15</f>
        <v>Newton — Mining</v>
      </c>
      <c r="L43" s="103" t="str">
        <f t="shared" ref="L43:L49" si="0">IF(K43=$K$43,"Retained","Changed")</f>
        <v>Retained</v>
      </c>
    </row>
    <row r="44" spans="1:12" x14ac:dyDescent="0.3">
      <c r="A44" s="86" t="str">
        <f>'Analysis Support'!P3</f>
        <v>Speed</v>
      </c>
      <c r="B44" s="99">
        <f>'Analysis Support'!Q3</f>
        <v>1</v>
      </c>
      <c r="C44" s="100">
        <f>'Analysis Support'!R3</f>
        <v>0.125</v>
      </c>
      <c r="D44" s="86"/>
      <c r="E44" s="86"/>
      <c r="F44" s="86"/>
      <c r="G44" s="86"/>
      <c r="H44" s="86" t="str">
        <f>'Analysis Support'!A16</f>
        <v>Ore value -10%</v>
      </c>
      <c r="I44" s="101">
        <f>'Analysis Support'!E16</f>
        <v>111.0784289614127</v>
      </c>
      <c r="J44" s="101">
        <f>'Analysis Support'!F16</f>
        <v>275.10417477635775</v>
      </c>
      <c r="K44" s="86" t="str">
        <f>'Analysis Support'!G16</f>
        <v>Newton — Mining</v>
      </c>
      <c r="L44" s="103" t="str">
        <f t="shared" si="0"/>
        <v>Retained</v>
      </c>
    </row>
    <row r="45" spans="1:12" x14ac:dyDescent="0.3">
      <c r="A45" s="86" t="str">
        <f>'Analysis Support'!P4</f>
        <v>Cargo</v>
      </c>
      <c r="B45" s="99">
        <f>'Analysis Support'!Q4</f>
        <v>1</v>
      </c>
      <c r="C45" s="100">
        <f>'Analysis Support'!R4</f>
        <v>0.125</v>
      </c>
      <c r="D45" s="86"/>
      <c r="E45" s="86"/>
      <c r="F45" s="86"/>
      <c r="G45" s="86"/>
      <c r="H45" s="86" t="str">
        <f>'Analysis Support'!A17</f>
        <v>Ore value +10%</v>
      </c>
      <c r="I45" s="101">
        <f>'Analysis Support'!E17</f>
        <v>135.76252428617107</v>
      </c>
      <c r="J45" s="101">
        <f>'Analysis Support'!F17</f>
        <v>225.08523390792905</v>
      </c>
      <c r="K45" s="86" t="str">
        <f>'Analysis Support'!G17</f>
        <v>Newton — Mining</v>
      </c>
      <c r="L45" s="103" t="str">
        <f t="shared" si="0"/>
        <v>Retained</v>
      </c>
    </row>
    <row r="46" spans="1:12" x14ac:dyDescent="0.3">
      <c r="A46" s="86" t="str">
        <f>'Analysis Support'!P5</f>
        <v>Unlock</v>
      </c>
      <c r="B46" s="99">
        <f>'Analysis Support'!Q5</f>
        <v>0</v>
      </c>
      <c r="C46" s="100">
        <f>'Analysis Support'!R5</f>
        <v>0</v>
      </c>
      <c r="D46" s="86"/>
      <c r="E46" s="86"/>
      <c r="F46" s="86"/>
      <c r="G46" s="86"/>
      <c r="H46" s="86" t="str">
        <f>'Analysis Support'!A18</f>
        <v>Upgrade cost -10%</v>
      </c>
      <c r="I46" s="101">
        <f>'Analysis Support'!E18</f>
        <v>137.1338629153243</v>
      </c>
      <c r="J46" s="101">
        <f>'Analysis Support'!F18</f>
        <v>222.83438156884978</v>
      </c>
      <c r="K46" s="86" t="str">
        <f>'Analysis Support'!G18</f>
        <v>Newton — Mining</v>
      </c>
      <c r="L46" s="103" t="str">
        <f t="shared" si="0"/>
        <v>Retained</v>
      </c>
    </row>
    <row r="47" spans="1:12" x14ac:dyDescent="0.3">
      <c r="A47" s="86"/>
      <c r="B47" s="86"/>
      <c r="C47" s="86"/>
      <c r="D47" s="86"/>
      <c r="E47" s="86"/>
      <c r="F47" s="86"/>
      <c r="G47" s="86"/>
      <c r="H47" s="86" t="str">
        <f>'Analysis Support'!A19</f>
        <v>Upgrade cost +10%</v>
      </c>
      <c r="I47" s="101">
        <f>'Analysis Support'!E19</f>
        <v>112.20043329435624</v>
      </c>
      <c r="J47" s="101">
        <f>'Analysis Support'!F19</f>
        <v>272.35313302859419</v>
      </c>
      <c r="K47" s="86" t="str">
        <f>'Analysis Support'!G19</f>
        <v>Newton — Mining</v>
      </c>
      <c r="L47" s="103" t="str">
        <f t="shared" si="0"/>
        <v>Retained</v>
      </c>
    </row>
    <row r="48" spans="1:12" x14ac:dyDescent="0.3">
      <c r="A48" s="105" t="str">
        <f>"Eligibility rule: a record enters the ranking only when both ROI/hr and breakeven are numeric for the current telescope and progression state. Current coverage is "&amp;$G$5&amp;" of 304 upgrade records: "&amp;B43&amp;" Mining, "&amp;B44&amp;" Speed, "&amp;B45&amp;" Cargo, and "&amp;B46&amp;" Unlock."</f>
        <v>Eligibility rule: a record enters the ranking only when both ROI/hr and breakeven are numeric for the current telescope and progression state. Current coverage is 8 of 304 upgrade records: 6 Mining, 1 Speed, 1 Cargo, and 0 Unlock.</v>
      </c>
      <c r="B48" s="105"/>
      <c r="C48" s="105"/>
      <c r="D48" s="105"/>
      <c r="E48" s="105"/>
      <c r="F48" s="105"/>
      <c r="G48" s="86"/>
      <c r="H48" s="86" t="str">
        <f>'Analysis Support'!A20</f>
        <v>Travel time -10%</v>
      </c>
      <c r="I48" s="101">
        <f>'Analysis Support'!E20</f>
        <v>123.42047662379188</v>
      </c>
      <c r="J48" s="101">
        <f>'Analysis Support'!F20</f>
        <v>222.83438156884978</v>
      </c>
      <c r="K48" s="86" t="str">
        <f>'Analysis Support'!G20</f>
        <v>Newton — Mining</v>
      </c>
      <c r="L48" s="103" t="str">
        <f t="shared" si="0"/>
        <v>Retained</v>
      </c>
    </row>
    <row r="49" spans="1:12" x14ac:dyDescent="0.3">
      <c r="A49" s="105"/>
      <c r="B49" s="105"/>
      <c r="C49" s="105"/>
      <c r="D49" s="105"/>
      <c r="E49" s="105"/>
      <c r="F49" s="105"/>
      <c r="G49" s="86"/>
      <c r="H49" s="86" t="str">
        <f>'Analysis Support'!A21</f>
        <v>Travel time +10%</v>
      </c>
      <c r="I49" s="101">
        <f>'Analysis Support'!E21</f>
        <v>123.42047662379188</v>
      </c>
      <c r="J49" s="101">
        <f>'Analysis Support'!F21</f>
        <v>272.35313302859419</v>
      </c>
      <c r="K49" s="86" t="str">
        <f>'Analysis Support'!G21</f>
        <v>Newton — Mining</v>
      </c>
      <c r="L49" s="103" t="str">
        <f t="shared" si="0"/>
        <v>Retained</v>
      </c>
    </row>
    <row r="50" spans="1:12" x14ac:dyDescent="0.3">
      <c r="A50" s="105"/>
      <c r="B50" s="105"/>
      <c r="C50" s="105"/>
      <c r="D50" s="105"/>
      <c r="E50" s="105"/>
      <c r="F50" s="105"/>
      <c r="G50" s="86"/>
      <c r="H50" s="86"/>
      <c r="I50" s="86"/>
      <c r="J50" s="86"/>
      <c r="K50" s="86"/>
      <c r="L50" s="86"/>
    </row>
    <row r="51" spans="1:12" x14ac:dyDescent="0.3">
      <c r="A51" s="105"/>
      <c r="B51" s="105"/>
      <c r="C51" s="105"/>
      <c r="D51" s="105"/>
      <c r="E51" s="105"/>
      <c r="F51" s="105"/>
      <c r="G51" s="86"/>
      <c r="H51" s="106" t="s">
        <v>294</v>
      </c>
      <c r="I51" s="106"/>
      <c r="J51" s="106"/>
      <c r="K51" s="106"/>
      <c r="L51" s="106"/>
    </row>
    <row r="52" spans="1:12" x14ac:dyDescent="0.3">
      <c r="A52" s="86"/>
      <c r="B52" s="86"/>
      <c r="C52" s="86"/>
      <c r="D52" s="86"/>
      <c r="E52" s="86"/>
      <c r="F52" s="86"/>
      <c r="G52" s="86"/>
      <c r="H52" s="106"/>
      <c r="I52" s="106"/>
      <c r="J52" s="106"/>
      <c r="K52" s="106"/>
      <c r="L52" s="106"/>
    </row>
    <row r="53" spans="1:12" x14ac:dyDescent="0.3">
      <c r="A53" s="86"/>
      <c r="B53" s="86"/>
      <c r="C53" s="86"/>
      <c r="D53" s="86"/>
      <c r="E53" s="86"/>
      <c r="F53" s="86"/>
      <c r="G53" s="86"/>
      <c r="H53" s="106"/>
      <c r="I53" s="106"/>
      <c r="J53" s="106"/>
      <c r="K53" s="106"/>
      <c r="L53" s="106"/>
    </row>
    <row r="54" spans="1:12" x14ac:dyDescent="0.3">
      <c r="A54" s="86"/>
      <c r="B54" s="86"/>
      <c r="C54" s="86"/>
      <c r="D54" s="86"/>
      <c r="E54" s="86"/>
      <c r="F54" s="86"/>
      <c r="G54" s="86"/>
      <c r="H54" s="106"/>
      <c r="I54" s="106"/>
      <c r="J54" s="106"/>
      <c r="K54" s="106"/>
      <c r="L54" s="106"/>
    </row>
  </sheetData>
  <mergeCells count="23">
    <mergeCell ref="H16:I16"/>
    <mergeCell ref="J15:K15"/>
    <mergeCell ref="J16:K16"/>
    <mergeCell ref="J5:L6"/>
    <mergeCell ref="A8:F8"/>
    <mergeCell ref="G8:L8"/>
    <mergeCell ref="A7:L7"/>
    <mergeCell ref="A5:C6"/>
    <mergeCell ref="D5:F6"/>
    <mergeCell ref="G5:I6"/>
    <mergeCell ref="I11:K11"/>
    <mergeCell ref="H15:I15"/>
    <mergeCell ref="A1:L1"/>
    <mergeCell ref="A2:L2"/>
    <mergeCell ref="A4:C4"/>
    <mergeCell ref="D4:F4"/>
    <mergeCell ref="G4:I4"/>
    <mergeCell ref="J4:L4"/>
    <mergeCell ref="A21:L21"/>
    <mergeCell ref="A41:F41"/>
    <mergeCell ref="H41:L41"/>
    <mergeCell ref="A48:F51"/>
    <mergeCell ref="H51:L54"/>
  </mergeCells>
  <conditionalFormatting sqref="L43:L49">
    <cfRule type="cellIs" dxfId="231" priority="1" operator="equal">
      <formula>"Retained"</formula>
    </cfRule>
  </conditionalFormatting>
  <dataValidations count="2">
    <dataValidation type="whole" allowBlank="1" showInputMessage="1" showErrorMessage="1" errorTitle="Invalid telescope level" error="Enter a whole number from 0 to 24." sqref="J5" xr:uid="{8F175BC7-3C06-4E60-99E7-0D432D72785A}">
      <formula1>0</formula1>
      <formula2>24</formula2>
    </dataValidation>
    <dataValidation type="whole" allowBlank="1" showInputMessage="1" showErrorMessage="1" errorTitle="Invalid weighting" error="Enter a whole number from 0 to 100." promptTitle="Scoring weight" prompt="Breakeven weight from 0 to 100. ROI receives the remaining percentage." sqref="J10" xr:uid="{A57C71F8-39CB-4A50-BB79-888F95ECE5E1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pplyBestUpgrade">
                <anchor moveWithCells="1">
                  <from>
                    <xdr:col>9</xdr:col>
                    <xdr:colOff>266700</xdr:colOff>
                    <xdr:row>0</xdr:row>
                    <xdr:rowOff>160020</xdr:rowOff>
                  </from>
                  <to>
                    <xdr:col>11</xdr:col>
                    <xdr:colOff>99060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Scroll Bar 2">
              <controlPr defaultSize="0" autoPict="0">
                <anchor moveWithCells="1">
                  <from>
                    <xdr:col>6</xdr:col>
                    <xdr:colOff>800100</xdr:colOff>
                    <xdr:row>11</xdr:row>
                    <xdr:rowOff>53340</xdr:rowOff>
                  </from>
                  <to>
                    <xdr:col>11</xdr:col>
                    <xdr:colOff>281940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D72B08-73B8-4CC8-B7BF-120017418D0D}">
          <x14:formula1>
            <xm:f>TimeFrame!$A$2:$A$8</xm:f>
          </x14:formula1>
          <xm:sqref>J15:J16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7F6AE-B6AF-43D7-9E6A-A60E8489BFE0}">
  <dimension ref="A1:E38"/>
  <sheetViews>
    <sheetView workbookViewId="0">
      <selection activeCell="C15" sqref="C15"/>
    </sheetView>
  </sheetViews>
  <sheetFormatPr defaultRowHeight="14.4" x14ac:dyDescent="0.3"/>
  <cols>
    <col min="1" max="1" width="26.33203125" bestFit="1" customWidth="1"/>
    <col min="2" max="2" width="37.109375" bestFit="1" customWidth="1"/>
    <col min="3" max="3" width="32.21875" bestFit="1" customWidth="1"/>
    <col min="4" max="4" width="36.77734375" bestFit="1" customWidth="1"/>
    <col min="5" max="5" width="33" bestFit="1" customWidth="1"/>
    <col min="6" max="8" width="12" customWidth="1"/>
  </cols>
  <sheetData>
    <row r="1" spans="1:5" ht="48" customHeight="1" x14ac:dyDescent="0.45">
      <c r="A1" s="121" t="s">
        <v>295</v>
      </c>
      <c r="B1" s="121"/>
      <c r="C1" s="121"/>
      <c r="D1" s="121"/>
      <c r="E1" s="121"/>
    </row>
    <row r="2" spans="1:5" x14ac:dyDescent="0.3">
      <c r="A2" s="122" t="s">
        <v>296</v>
      </c>
      <c r="B2" s="122"/>
      <c r="C2" s="122"/>
      <c r="D2" s="122"/>
      <c r="E2" s="122"/>
    </row>
    <row r="3" spans="1:5" x14ac:dyDescent="0.3">
      <c r="A3" s="86"/>
      <c r="B3" s="86"/>
      <c r="C3" s="86"/>
      <c r="D3" s="86"/>
      <c r="E3" s="86"/>
    </row>
    <row r="4" spans="1:5" x14ac:dyDescent="0.3">
      <c r="A4" s="104" t="s">
        <v>297</v>
      </c>
      <c r="B4" s="104"/>
      <c r="C4" s="104"/>
      <c r="D4" s="104"/>
      <c r="E4" s="104"/>
    </row>
    <row r="5" spans="1:5" x14ac:dyDescent="0.3">
      <c r="A5" s="123" t="s">
        <v>390</v>
      </c>
      <c r="B5" s="123"/>
      <c r="C5" s="123"/>
      <c r="D5" s="123"/>
      <c r="E5" s="123"/>
    </row>
    <row r="6" spans="1:5" x14ac:dyDescent="0.3">
      <c r="A6" s="123"/>
      <c r="B6" s="123"/>
      <c r="C6" s="123"/>
      <c r="D6" s="123"/>
      <c r="E6" s="123"/>
    </row>
    <row r="7" spans="1:5" x14ac:dyDescent="0.3">
      <c r="A7" s="123"/>
      <c r="B7" s="123"/>
      <c r="C7" s="123"/>
      <c r="D7" s="123"/>
      <c r="E7" s="123"/>
    </row>
    <row r="8" spans="1:5" x14ac:dyDescent="0.3">
      <c r="A8" s="86"/>
      <c r="B8" s="86"/>
      <c r="C8" s="86"/>
      <c r="D8" s="86"/>
      <c r="E8" s="86"/>
    </row>
    <row r="9" spans="1:5" x14ac:dyDescent="0.3">
      <c r="A9" s="104" t="s">
        <v>298</v>
      </c>
      <c r="B9" s="104"/>
      <c r="C9" s="104"/>
      <c r="D9" s="104"/>
      <c r="E9" s="104"/>
    </row>
    <row r="10" spans="1:5" x14ac:dyDescent="0.3">
      <c r="A10" s="87" t="s">
        <v>299</v>
      </c>
      <c r="B10" s="87" t="s">
        <v>300</v>
      </c>
      <c r="C10" s="87" t="s">
        <v>301</v>
      </c>
      <c r="D10" s="87" t="s">
        <v>302</v>
      </c>
      <c r="E10" s="86"/>
    </row>
    <row r="11" spans="1:5" ht="28.8" x14ac:dyDescent="0.3">
      <c r="A11" s="88" t="s">
        <v>303</v>
      </c>
      <c r="B11" s="89">
        <f>'Planet Efficiency'!N16</f>
        <v>0.5</v>
      </c>
      <c r="C11" s="88" t="s">
        <v>304</v>
      </c>
      <c r="D11" s="90" t="s">
        <v>305</v>
      </c>
      <c r="E11" s="86"/>
    </row>
    <row r="12" spans="1:5" ht="28.8" x14ac:dyDescent="0.3">
      <c r="A12" s="88" t="s">
        <v>306</v>
      </c>
      <c r="B12" s="89">
        <f>'Planet Efficiency'!O16</f>
        <v>0.5</v>
      </c>
      <c r="C12" s="88" t="s">
        <v>307</v>
      </c>
      <c r="D12" s="90" t="s">
        <v>308</v>
      </c>
      <c r="E12" s="86"/>
    </row>
    <row r="13" spans="1:5" ht="28.8" x14ac:dyDescent="0.3">
      <c r="A13" s="88" t="s">
        <v>309</v>
      </c>
      <c r="B13" s="88">
        <f>Dashboard!J5</f>
        <v>1</v>
      </c>
      <c r="C13" s="88" t="s">
        <v>310</v>
      </c>
      <c r="D13" s="90" t="s">
        <v>311</v>
      </c>
      <c r="E13" s="86"/>
    </row>
    <row r="14" spans="1:5" ht="28.8" x14ac:dyDescent="0.3">
      <c r="A14" s="88" t="s">
        <v>312</v>
      </c>
      <c r="B14" s="88" t="str">
        <f>Dashboard!J15</f>
        <v>Hours</v>
      </c>
      <c r="C14" s="88" t="s">
        <v>313</v>
      </c>
      <c r="D14" s="90" t="s">
        <v>314</v>
      </c>
      <c r="E14" s="86"/>
    </row>
    <row r="15" spans="1:5" ht="28.8" x14ac:dyDescent="0.3">
      <c r="A15" s="88" t="s">
        <v>315</v>
      </c>
      <c r="B15" s="88" t="str">
        <f>Dashboard!J16</f>
        <v>Seconds</v>
      </c>
      <c r="C15" s="88" t="s">
        <v>316</v>
      </c>
      <c r="D15" s="90" t="s">
        <v>317</v>
      </c>
      <c r="E15" s="86"/>
    </row>
    <row r="16" spans="1:5" ht="28.8" x14ac:dyDescent="0.3">
      <c r="A16" s="88" t="s">
        <v>318</v>
      </c>
      <c r="B16" s="88" t="s">
        <v>319</v>
      </c>
      <c r="C16" s="88" t="s">
        <v>320</v>
      </c>
      <c r="D16" s="90" t="s">
        <v>321</v>
      </c>
      <c r="E16" s="86"/>
    </row>
    <row r="17" spans="1:5" x14ac:dyDescent="0.3">
      <c r="A17" s="86"/>
      <c r="B17" s="86"/>
      <c r="C17" s="86"/>
      <c r="D17" s="86"/>
      <c r="E17" s="86"/>
    </row>
    <row r="18" spans="1:5" x14ac:dyDescent="0.3">
      <c r="A18" s="104" t="s">
        <v>322</v>
      </c>
      <c r="B18" s="104"/>
      <c r="C18" s="104"/>
      <c r="D18" s="104"/>
      <c r="E18" s="104"/>
    </row>
    <row r="19" spans="1:5" x14ac:dyDescent="0.3">
      <c r="A19" s="87" t="s">
        <v>323</v>
      </c>
      <c r="B19" s="87" t="s">
        <v>324</v>
      </c>
      <c r="C19" s="87" t="s">
        <v>325</v>
      </c>
      <c r="D19" s="87" t="s">
        <v>326</v>
      </c>
      <c r="E19" s="87" t="s">
        <v>327</v>
      </c>
    </row>
    <row r="20" spans="1:5" ht="28.8" x14ac:dyDescent="0.3">
      <c r="A20" s="88" t="s">
        <v>257</v>
      </c>
      <c r="B20" s="88" t="s">
        <v>328</v>
      </c>
      <c r="C20" s="90" t="s">
        <v>329</v>
      </c>
      <c r="D20" s="90" t="s">
        <v>330</v>
      </c>
      <c r="E20" s="90" t="s">
        <v>331</v>
      </c>
    </row>
    <row r="21" spans="1:5" ht="28.8" x14ac:dyDescent="0.3">
      <c r="A21" s="88" t="s">
        <v>187</v>
      </c>
      <c r="B21" s="88" t="s">
        <v>332</v>
      </c>
      <c r="C21" s="90" t="s">
        <v>333</v>
      </c>
      <c r="D21" s="90" t="s">
        <v>334</v>
      </c>
      <c r="E21" s="90" t="s">
        <v>335</v>
      </c>
    </row>
    <row r="22" spans="1:5" ht="43.2" x14ac:dyDescent="0.3">
      <c r="A22" s="88" t="s">
        <v>163</v>
      </c>
      <c r="B22" s="88" t="s">
        <v>336</v>
      </c>
      <c r="C22" s="90" t="s">
        <v>337</v>
      </c>
      <c r="D22" s="90" t="s">
        <v>338</v>
      </c>
      <c r="E22" s="90" t="s">
        <v>339</v>
      </c>
    </row>
    <row r="23" spans="1:5" ht="28.8" x14ac:dyDescent="0.3">
      <c r="A23" s="88" t="s">
        <v>166</v>
      </c>
      <c r="B23" s="88" t="s">
        <v>340</v>
      </c>
      <c r="C23" s="90" t="s">
        <v>341</v>
      </c>
      <c r="D23" s="90" t="s">
        <v>342</v>
      </c>
      <c r="E23" s="90" t="s">
        <v>343</v>
      </c>
    </row>
    <row r="24" spans="1:5" ht="28.8" x14ac:dyDescent="0.3">
      <c r="A24" s="88" t="s">
        <v>133</v>
      </c>
      <c r="B24" s="88" t="s">
        <v>344</v>
      </c>
      <c r="C24" s="90" t="s">
        <v>345</v>
      </c>
      <c r="D24" s="90" t="s">
        <v>346</v>
      </c>
      <c r="E24" s="90" t="s">
        <v>347</v>
      </c>
    </row>
    <row r="25" spans="1:5" ht="28.8" x14ac:dyDescent="0.3">
      <c r="A25" s="88" t="s">
        <v>348</v>
      </c>
      <c r="B25" s="88" t="s">
        <v>349</v>
      </c>
      <c r="C25" s="90" t="s">
        <v>350</v>
      </c>
      <c r="D25" s="90" t="s">
        <v>351</v>
      </c>
      <c r="E25" s="90" t="s">
        <v>352</v>
      </c>
    </row>
    <row r="26" spans="1:5" ht="28.8" x14ac:dyDescent="0.3">
      <c r="A26" s="88" t="s">
        <v>231</v>
      </c>
      <c r="B26" s="88" t="s">
        <v>353</v>
      </c>
      <c r="C26" s="90" t="s">
        <v>354</v>
      </c>
      <c r="D26" s="90" t="s">
        <v>355</v>
      </c>
      <c r="E26" s="90" t="s">
        <v>356</v>
      </c>
    </row>
    <row r="27" spans="1:5" ht="28.8" x14ac:dyDescent="0.3">
      <c r="A27" s="88" t="s">
        <v>232</v>
      </c>
      <c r="B27" s="88" t="s">
        <v>353</v>
      </c>
      <c r="C27" s="90" t="s">
        <v>357</v>
      </c>
      <c r="D27" s="90" t="s">
        <v>358</v>
      </c>
      <c r="E27" s="90" t="s">
        <v>356</v>
      </c>
    </row>
    <row r="28" spans="1:5" ht="28.8" x14ac:dyDescent="0.3">
      <c r="A28" s="88" t="s">
        <v>233</v>
      </c>
      <c r="B28" s="88" t="s">
        <v>353</v>
      </c>
      <c r="C28" s="90" t="s">
        <v>359</v>
      </c>
      <c r="D28" s="90" t="s">
        <v>360</v>
      </c>
      <c r="E28" s="90" t="s">
        <v>361</v>
      </c>
    </row>
    <row r="29" spans="1:5" ht="28.8" x14ac:dyDescent="0.3">
      <c r="A29" s="88" t="s">
        <v>236</v>
      </c>
      <c r="B29" s="88" t="s">
        <v>353</v>
      </c>
      <c r="C29" s="90" t="s">
        <v>362</v>
      </c>
      <c r="D29" s="90" t="s">
        <v>363</v>
      </c>
      <c r="E29" s="90" t="s">
        <v>361</v>
      </c>
    </row>
    <row r="30" spans="1:5" x14ac:dyDescent="0.3">
      <c r="A30" s="86"/>
      <c r="B30" s="86"/>
      <c r="C30" s="86"/>
      <c r="D30" s="86"/>
      <c r="E30" s="86"/>
    </row>
    <row r="31" spans="1:5" x14ac:dyDescent="0.3">
      <c r="A31" s="104" t="s">
        <v>364</v>
      </c>
      <c r="B31" s="104"/>
      <c r="C31" s="104"/>
      <c r="D31" s="104"/>
      <c r="E31" s="104"/>
    </row>
    <row r="32" spans="1:5" x14ac:dyDescent="0.3">
      <c r="A32" s="87" t="s">
        <v>365</v>
      </c>
      <c r="B32" s="87" t="s">
        <v>366</v>
      </c>
      <c r="C32" s="87" t="s">
        <v>367</v>
      </c>
      <c r="D32" s="87" t="s">
        <v>368</v>
      </c>
      <c r="E32" s="86"/>
    </row>
    <row r="33" spans="1:5" ht="28.8" x14ac:dyDescent="0.3">
      <c r="A33" s="88" t="s">
        <v>369</v>
      </c>
      <c r="B33" s="88" t="s">
        <v>370</v>
      </c>
      <c r="C33" s="88" t="s">
        <v>371</v>
      </c>
      <c r="D33" s="90" t="s">
        <v>372</v>
      </c>
      <c r="E33" s="86"/>
    </row>
    <row r="34" spans="1:5" ht="28.8" x14ac:dyDescent="0.3">
      <c r="A34" s="88" t="s">
        <v>373</v>
      </c>
      <c r="B34" s="88" t="s">
        <v>374</v>
      </c>
      <c r="C34" s="88" t="s">
        <v>375</v>
      </c>
      <c r="D34" s="90" t="s">
        <v>376</v>
      </c>
      <c r="E34" s="86"/>
    </row>
    <row r="35" spans="1:5" ht="28.8" x14ac:dyDescent="0.3">
      <c r="A35" s="88" t="s">
        <v>377</v>
      </c>
      <c r="B35" s="88" t="s">
        <v>378</v>
      </c>
      <c r="C35" s="88" t="s">
        <v>356</v>
      </c>
      <c r="D35" s="90" t="s">
        <v>379</v>
      </c>
      <c r="E35" s="86"/>
    </row>
    <row r="36" spans="1:5" ht="28.8" x14ac:dyDescent="0.3">
      <c r="A36" s="88" t="s">
        <v>380</v>
      </c>
      <c r="B36" s="88" t="s">
        <v>356</v>
      </c>
      <c r="C36" s="88" t="s">
        <v>361</v>
      </c>
      <c r="D36" s="90" t="s">
        <v>381</v>
      </c>
      <c r="E36" s="86"/>
    </row>
    <row r="37" spans="1:5" ht="28.8" x14ac:dyDescent="0.3">
      <c r="A37" s="88" t="s">
        <v>382</v>
      </c>
      <c r="B37" s="88" t="s">
        <v>383</v>
      </c>
      <c r="C37" s="88" t="s">
        <v>384</v>
      </c>
      <c r="D37" s="90" t="s">
        <v>385</v>
      </c>
      <c r="E37" s="86"/>
    </row>
    <row r="38" spans="1:5" ht="28.8" x14ac:dyDescent="0.3">
      <c r="A38" s="88" t="s">
        <v>386</v>
      </c>
      <c r="B38" s="88" t="s">
        <v>387</v>
      </c>
      <c r="C38" s="88" t="s">
        <v>388</v>
      </c>
      <c r="D38" s="90" t="s">
        <v>389</v>
      </c>
      <c r="E38" s="86"/>
    </row>
  </sheetData>
  <mergeCells count="7">
    <mergeCell ref="A31:E31"/>
    <mergeCell ref="A5:E7"/>
    <mergeCell ref="A1:E1"/>
    <mergeCell ref="A2:E2"/>
    <mergeCell ref="A4:E4"/>
    <mergeCell ref="A9:E9"/>
    <mergeCell ref="A18:E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ADEB-982C-40B9-8036-88F637EA63D0}">
  <sheetPr codeName="Sheet15"/>
  <dimension ref="A1:C8"/>
  <sheetViews>
    <sheetView workbookViewId="0">
      <selection activeCell="C8" sqref="C8"/>
    </sheetView>
  </sheetViews>
  <sheetFormatPr defaultRowHeight="14.4" x14ac:dyDescent="0.3"/>
  <cols>
    <col min="1" max="1" width="10.33203125" customWidth="1"/>
    <col min="2" max="2" width="14.6640625" bestFit="1" customWidth="1"/>
    <col min="3" max="3" width="17.77734375" bestFit="1" customWidth="1"/>
  </cols>
  <sheetData>
    <row r="1" spans="1:3" x14ac:dyDescent="0.3">
      <c r="A1" t="s">
        <v>239</v>
      </c>
      <c r="B1" t="s">
        <v>240</v>
      </c>
      <c r="C1" t="s">
        <v>242</v>
      </c>
    </row>
    <row r="2" spans="1:3" x14ac:dyDescent="0.3">
      <c r="A2" t="s">
        <v>240</v>
      </c>
      <c r="B2" s="80">
        <v>1</v>
      </c>
      <c r="C2" s="80">
        <v>2.7777777777777778E-4</v>
      </c>
    </row>
    <row r="3" spans="1:3" x14ac:dyDescent="0.3">
      <c r="A3" t="s">
        <v>241</v>
      </c>
      <c r="B3" s="80">
        <v>60</v>
      </c>
      <c r="C3" s="80">
        <v>1.6666666666666666E-2</v>
      </c>
    </row>
    <row r="4" spans="1:3" x14ac:dyDescent="0.3">
      <c r="A4" t="s">
        <v>242</v>
      </c>
      <c r="B4" s="80">
        <v>3600</v>
      </c>
      <c r="C4" s="80">
        <v>1</v>
      </c>
    </row>
    <row r="5" spans="1:3" x14ac:dyDescent="0.3">
      <c r="A5" t="s">
        <v>243</v>
      </c>
      <c r="B5" s="80">
        <v>86400</v>
      </c>
      <c r="C5" s="80">
        <v>24</v>
      </c>
    </row>
    <row r="6" spans="1:3" x14ac:dyDescent="0.3">
      <c r="A6" t="s">
        <v>244</v>
      </c>
      <c r="B6" s="80">
        <v>604800</v>
      </c>
      <c r="C6" s="80">
        <v>168</v>
      </c>
    </row>
    <row r="7" spans="1:3" x14ac:dyDescent="0.3">
      <c r="A7" t="s">
        <v>245</v>
      </c>
      <c r="B7" s="80">
        <v>2620800</v>
      </c>
      <c r="C7" s="80">
        <v>728</v>
      </c>
    </row>
    <row r="8" spans="1:3" x14ac:dyDescent="0.3">
      <c r="A8" t="s">
        <v>246</v>
      </c>
      <c r="B8" s="80">
        <v>31449600</v>
      </c>
      <c r="C8" s="80">
        <v>8736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E4297-D221-43F8-AE5E-5573747010FF}">
  <sheetPr codeName="Sheet2"/>
  <dimension ref="A1:R77"/>
  <sheetViews>
    <sheetView workbookViewId="0">
      <selection activeCell="S1" sqref="S1:W1048576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16.5546875" customWidth="1"/>
    <col min="4" max="4" width="24.6640625" customWidth="1"/>
    <col min="5" max="5" width="16.44140625" customWidth="1"/>
    <col min="6" max="6" width="24.5546875" customWidth="1"/>
    <col min="7" max="7" width="15.88671875" customWidth="1"/>
    <col min="8" max="8" width="24" customWidth="1"/>
    <col min="9" max="9" width="16.88671875" customWidth="1"/>
    <col min="10" max="10" width="25" customWidth="1"/>
    <col min="11" max="11" width="19.44140625" customWidth="1"/>
    <col min="12" max="12" width="18.5546875" customWidth="1"/>
    <col min="13" max="13" width="19.33203125" customWidth="1"/>
    <col min="14" max="14" width="18.44140625" customWidth="1"/>
    <col min="15" max="15" width="18.77734375" customWidth="1"/>
    <col min="16" max="16" width="17.88671875" customWidth="1"/>
    <col min="17" max="17" width="19.77734375" customWidth="1"/>
    <col min="18" max="18" width="18.88671875" customWidth="1"/>
    <col min="19" max="25" width="8.33203125" customWidth="1"/>
  </cols>
  <sheetData>
    <row r="1" spans="1:18" x14ac:dyDescent="0.3">
      <c r="A1" s="16" t="s">
        <v>0</v>
      </c>
      <c r="B1" s="16" t="s">
        <v>155</v>
      </c>
      <c r="C1" s="16" t="s">
        <v>189</v>
      </c>
      <c r="D1" s="16" t="s">
        <v>190</v>
      </c>
      <c r="E1" s="16" t="s">
        <v>191</v>
      </c>
      <c r="F1" s="16" t="s">
        <v>192</v>
      </c>
      <c r="G1" s="16" t="s">
        <v>193</v>
      </c>
      <c r="H1" s="16" t="s">
        <v>194</v>
      </c>
      <c r="I1" s="16" t="s">
        <v>195</v>
      </c>
      <c r="J1" s="16" t="s">
        <v>196</v>
      </c>
      <c r="K1" s="16" t="s">
        <v>198</v>
      </c>
      <c r="L1" s="16" t="s">
        <v>199</v>
      </c>
      <c r="M1" s="16" t="s">
        <v>200</v>
      </c>
      <c r="N1" s="16" t="s">
        <v>201</v>
      </c>
      <c r="O1" s="16" t="s">
        <v>202</v>
      </c>
      <c r="P1" s="16" t="s">
        <v>203</v>
      </c>
      <c r="Q1" s="16" t="s">
        <v>204</v>
      </c>
      <c r="R1" s="16" t="s">
        <v>205</v>
      </c>
    </row>
    <row r="2" spans="1:18" ht="14.4" customHeight="1" x14ac:dyDescent="0.3">
      <c r="A2" s="16">
        <v>1</v>
      </c>
      <c r="B2" s="16" t="str">
        <f>_xlfn.XLOOKUP(Hybridtable[[#This Row],[Planet '#]],tblPlanets[Planet '#],tblPlanets[Name])</f>
        <v>Balor</v>
      </c>
      <c r="C2" s="68">
        <f>_xlfn.XLOOKUP(Hybridtable[[#This Row],[Planet '#]],MiningROItable[Planet '#],MiningROItable[ROI])</f>
        <v>23.642750818695983</v>
      </c>
      <c r="D2" s="68">
        <f>_xlfn.XLOOKUP(Hybridtable[[#This Row],[Planet '#]],MiningROItable[Planet '#],MiningROItable[Breakeven])</f>
        <v>9135.9927470535076</v>
      </c>
      <c r="E2" s="68" t="str">
        <f>_xlfn.XLOOKUP(Hybridtable[[#This Row],[Planet '#]],SpeedROI[Planet '#],SpeedROI[ROI])</f>
        <v/>
      </c>
      <c r="F2" s="68" t="str">
        <f>_xlfn.XLOOKUP(Hybridtable[[#This Row],[Planet '#]],SpeedROI[Planet '#],SpeedROI[Breakeven])</f>
        <v/>
      </c>
      <c r="G2" s="68" t="str">
        <f>_xlfn.XLOOKUP(Hybridtable[[#This Row],[Planet '#]],CargoROI[Planet '#],CargoROI[ROI])</f>
        <v/>
      </c>
      <c r="H2" s="68" t="str">
        <f>_xlfn.XLOOKUP(Hybridtable[[#This Row],[Planet '#]],CargoROI[Planet '#],CargoROI[Breakeven])</f>
        <v/>
      </c>
      <c r="I2" s="68" t="str">
        <f>_xlfn.XLOOKUP(Hybridtable[[#This Row],[Planet '#]],UnlockROI[Planet '#],UnlockROI[ROI])</f>
        <v/>
      </c>
      <c r="J2" s="68" t="str">
        <f>_xlfn.XLOOKUP(Hybridtable[[#This Row],[Planet '#]],UnlockROI[Planet '#],UnlockROI[Breakeven])</f>
        <v/>
      </c>
      <c r="K2" s="69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>0.2857142857142857</v>
      </c>
      <c r="L2" s="69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>0.1428571428571429</v>
      </c>
      <c r="M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" spans="1:18" ht="14.4" customHeight="1" x14ac:dyDescent="0.3">
      <c r="A3" s="16">
        <v>2</v>
      </c>
      <c r="B3" s="16" t="str">
        <f>_xlfn.XLOOKUP(Hybridtable[[#This Row],[Planet '#]],tblPlanets[Planet '#],tblPlanets[Name])</f>
        <v>Drasta</v>
      </c>
      <c r="C3" s="68">
        <f>_xlfn.XLOOKUP(Hybridtable[[#This Row],[Planet '#]],MiningROItable[Planet '#],MiningROItable[ROI])</f>
        <v>22.496603773584916</v>
      </c>
      <c r="D3" s="68">
        <f>_xlfn.XLOOKUP(Hybridtable[[#This Row],[Planet '#]],MiningROItable[Planet '#],MiningROItable[Breakeven])</f>
        <v>9601.4492753623163</v>
      </c>
      <c r="E3" s="68" t="str">
        <f>_xlfn.XLOOKUP(Hybridtable[[#This Row],[Planet '#]],SpeedROI[Planet '#],SpeedROI[ROI])</f>
        <v/>
      </c>
      <c r="F3" s="68" t="str">
        <f>_xlfn.XLOOKUP(Hybridtable[[#This Row],[Planet '#]],SpeedROI[Planet '#],SpeedROI[Breakeven])</f>
        <v/>
      </c>
      <c r="G3" s="68" t="str">
        <f>_xlfn.XLOOKUP(Hybridtable[[#This Row],[Planet '#]],CargoROI[Planet '#],CargoROI[ROI])</f>
        <v/>
      </c>
      <c r="H3" s="68" t="str">
        <f>_xlfn.XLOOKUP(Hybridtable[[#This Row],[Planet '#]],CargoROI[Planet '#],CargoROI[Breakeven])</f>
        <v/>
      </c>
      <c r="I3" s="68" t="str">
        <f>_xlfn.XLOOKUP(Hybridtable[[#This Row],[Planet '#]],UnlockROI[Planet '#],UnlockROI[ROI])</f>
        <v/>
      </c>
      <c r="J3" s="68" t="str">
        <f>_xlfn.XLOOKUP(Hybridtable[[#This Row],[Planet '#]],UnlockROI[Planet '#],UnlockROI[Breakeven])</f>
        <v/>
      </c>
      <c r="K3" s="69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>0.1428571428571429</v>
      </c>
      <c r="L3" s="69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>0</v>
      </c>
      <c r="M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" spans="1:18" ht="15" customHeight="1" x14ac:dyDescent="0.3">
      <c r="A4" s="16">
        <v>3</v>
      </c>
      <c r="B4" s="16" t="str">
        <f>_xlfn.XLOOKUP(Hybridtable[[#This Row],[Planet '#]],tblPlanets[Planet '#],tblPlanets[Name])</f>
        <v>Anadius</v>
      </c>
      <c r="C4" s="68">
        <f>_xlfn.XLOOKUP(Hybridtable[[#This Row],[Planet '#]],MiningROItable[Planet '#],MiningROItable[ROI])</f>
        <v>27.905345851695756</v>
      </c>
      <c r="D4" s="68">
        <f>_xlfn.XLOOKUP(Hybridtable[[#This Row],[Planet '#]],MiningROItable[Planet '#],MiningROItable[Breakeven])</f>
        <v>7740.4523544679196</v>
      </c>
      <c r="E4" s="68" t="str">
        <f>_xlfn.XLOOKUP(Hybridtable[[#This Row],[Planet '#]],SpeedROI[Planet '#],SpeedROI[ROI])</f>
        <v/>
      </c>
      <c r="F4" s="68" t="str">
        <f>_xlfn.XLOOKUP(Hybridtable[[#This Row],[Planet '#]],SpeedROI[Planet '#],SpeedROI[Breakeven])</f>
        <v/>
      </c>
      <c r="G4" s="68" t="str">
        <f>_xlfn.XLOOKUP(Hybridtable[[#This Row],[Planet '#]],CargoROI[Planet '#],CargoROI[ROI])</f>
        <v/>
      </c>
      <c r="H4" s="68" t="str">
        <f>_xlfn.XLOOKUP(Hybridtable[[#This Row],[Planet '#]],CargoROI[Planet '#],CargoROI[Breakeven])</f>
        <v/>
      </c>
      <c r="I4" s="68" t="str">
        <f>_xlfn.XLOOKUP(Hybridtable[[#This Row],[Planet '#]],UnlockROI[Planet '#],UnlockROI[ROI])</f>
        <v/>
      </c>
      <c r="J4" s="68" t="str">
        <f>_xlfn.XLOOKUP(Hybridtable[[#This Row],[Planet '#]],UnlockROI[Planet '#],UnlockROI[Breakeven])</f>
        <v/>
      </c>
      <c r="K4" s="69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>0.85714285714285721</v>
      </c>
      <c r="L4" s="69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>0.4285714285714286</v>
      </c>
      <c r="M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" spans="1:18" x14ac:dyDescent="0.3">
      <c r="A5" s="16">
        <v>4</v>
      </c>
      <c r="B5" s="16" t="str">
        <f>_xlfn.XLOOKUP(Hybridtable[[#This Row],[Planet '#]],tblPlanets[Planet '#],tblPlanets[Name])</f>
        <v>Dholen</v>
      </c>
      <c r="C5" s="68">
        <f>_xlfn.XLOOKUP(Hybridtable[[#This Row],[Planet '#]],MiningROItable[Planet '#],MiningROItable[ROI])</f>
        <v>27.897319000129524</v>
      </c>
      <c r="D5" s="68">
        <f>_xlfn.XLOOKUP(Hybridtable[[#This Row],[Planet '#]],MiningROItable[Planet '#],MiningROItable[Breakeven])</f>
        <v>7742.6795026073041</v>
      </c>
      <c r="E5" s="68" t="str">
        <f>_xlfn.XLOOKUP(Hybridtable[[#This Row],[Planet '#]],SpeedROI[Planet '#],SpeedROI[ROI])</f>
        <v/>
      </c>
      <c r="F5" s="68" t="str">
        <f>_xlfn.XLOOKUP(Hybridtable[[#This Row],[Planet '#]],SpeedROI[Planet '#],SpeedROI[Breakeven])</f>
        <v/>
      </c>
      <c r="G5" s="68" t="str">
        <f>_xlfn.XLOOKUP(Hybridtable[[#This Row],[Planet '#]],CargoROI[Planet '#],CargoROI[ROI])</f>
        <v/>
      </c>
      <c r="H5" s="68" t="str">
        <f>_xlfn.XLOOKUP(Hybridtable[[#This Row],[Planet '#]],CargoROI[Planet '#],CargoROI[Breakeven])</f>
        <v/>
      </c>
      <c r="I5" s="68" t="str">
        <f>_xlfn.XLOOKUP(Hybridtable[[#This Row],[Planet '#]],UnlockROI[Planet '#],UnlockROI[ROI])</f>
        <v/>
      </c>
      <c r="J5" s="68" t="str">
        <f>_xlfn.XLOOKUP(Hybridtable[[#This Row],[Planet '#]],UnlockROI[Planet '#],UnlockROI[Breakeven])</f>
        <v/>
      </c>
      <c r="K5" s="69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>0.7142857142857143</v>
      </c>
      <c r="L5" s="69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>0.2857142857142857</v>
      </c>
      <c r="M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" spans="1:18" ht="14.4" customHeight="1" x14ac:dyDescent="0.3">
      <c r="A6" s="16">
        <v>5</v>
      </c>
      <c r="B6" s="16" t="str">
        <f>_xlfn.XLOOKUP(Hybridtable[[#This Row],[Planet '#]],tblPlanets[Planet '#],tblPlanets[Name])</f>
        <v>Verr</v>
      </c>
      <c r="C6" s="68">
        <f>_xlfn.XLOOKUP(Hybridtable[[#This Row],[Planet '#]],MiningROItable[Planet '#],MiningROItable[ROI])</f>
        <v>9.2779089762692735</v>
      </c>
      <c r="D6" s="68">
        <f>_xlfn.XLOOKUP(Hybridtable[[#This Row],[Planet '#]],MiningROItable[Planet '#],MiningROItable[Breakeven])</f>
        <v>3817.8881081098252</v>
      </c>
      <c r="E6" s="68" t="str">
        <f>_xlfn.XLOOKUP(Hybridtable[[#This Row],[Planet '#]],SpeedROI[Planet '#],SpeedROI[ROI])</f>
        <v/>
      </c>
      <c r="F6" s="68" t="str">
        <f>_xlfn.XLOOKUP(Hybridtable[[#This Row],[Planet '#]],SpeedROI[Planet '#],SpeedROI[Breakeven])</f>
        <v/>
      </c>
      <c r="G6" s="68" t="str">
        <f>_xlfn.XLOOKUP(Hybridtable[[#This Row],[Planet '#]],CargoROI[Planet '#],CargoROI[ROI])</f>
        <v/>
      </c>
      <c r="H6" s="68" t="str">
        <f>_xlfn.XLOOKUP(Hybridtable[[#This Row],[Planet '#]],CargoROI[Planet '#],CargoROI[Breakeven])</f>
        <v/>
      </c>
      <c r="I6" s="68" t="str">
        <f>_xlfn.XLOOKUP(Hybridtable[[#This Row],[Planet '#]],UnlockROI[Planet '#],UnlockROI[ROI])</f>
        <v/>
      </c>
      <c r="J6" s="68" t="str">
        <f>_xlfn.XLOOKUP(Hybridtable[[#This Row],[Planet '#]],UnlockROI[Planet '#],UnlockROI[Breakeven])</f>
        <v/>
      </c>
      <c r="K6" s="69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>0</v>
      </c>
      <c r="L6" s="69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>0.5714285714285714</v>
      </c>
      <c r="M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" spans="1:18" ht="14.4" customHeight="1" x14ac:dyDescent="0.3">
      <c r="A7" s="16">
        <v>6</v>
      </c>
      <c r="B7" s="16" t="str">
        <f>_xlfn.XLOOKUP(Hybridtable[[#This Row],[Planet '#]],tblPlanets[Planet '#],tblPlanets[Name])</f>
        <v>Newton</v>
      </c>
      <c r="C7" s="68">
        <f>_xlfn.XLOOKUP(Hybridtable[[#This Row],[Planet '#]],MiningROItable[Planet '#],MiningROItable[ROI])</f>
        <v>123.42047662379188</v>
      </c>
      <c r="D7" s="68">
        <f>_xlfn.XLOOKUP(Hybridtable[[#This Row],[Planet '#]],MiningROItable[Planet '#],MiningROItable[Breakeven])</f>
        <v>247.59375729872198</v>
      </c>
      <c r="E7" s="68" t="str">
        <f>_xlfn.XLOOKUP(Hybridtable[[#This Row],[Planet '#]],SpeedROI[Planet '#],SpeedROI[ROI])</f>
        <v/>
      </c>
      <c r="F7" s="68" t="str">
        <f>_xlfn.XLOOKUP(Hybridtable[[#This Row],[Planet '#]],SpeedROI[Planet '#],SpeedROI[Breakeven])</f>
        <v/>
      </c>
      <c r="G7" s="68" t="str">
        <f>_xlfn.XLOOKUP(Hybridtable[[#This Row],[Planet '#]],CargoROI[Planet '#],CargoROI[ROI])</f>
        <v/>
      </c>
      <c r="H7" s="68" t="str">
        <f>_xlfn.XLOOKUP(Hybridtable[[#This Row],[Planet '#]],CargoROI[Planet '#],CargoROI[Breakeven])</f>
        <v/>
      </c>
      <c r="I7" s="68" t="str">
        <f>_xlfn.XLOOKUP(Hybridtable[[#This Row],[Planet '#]],UnlockROI[Planet '#],UnlockROI[ROI])</f>
        <v/>
      </c>
      <c r="J7" s="68" t="str">
        <f>_xlfn.XLOOKUP(Hybridtable[[#This Row],[Planet '#]],UnlockROI[Planet '#],UnlockROI[Breakeven])</f>
        <v/>
      </c>
      <c r="K7" s="69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>1</v>
      </c>
      <c r="L7" s="69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>1</v>
      </c>
      <c r="M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8" spans="1:18" ht="15" customHeight="1" x14ac:dyDescent="0.3">
      <c r="A8" s="16">
        <v>7</v>
      </c>
      <c r="B8" s="16" t="str">
        <f>_xlfn.XLOOKUP(Hybridtable[[#This Row],[Planet '#]],tblPlanets[Planet '#],tblPlanets[Name])</f>
        <v>Widow</v>
      </c>
      <c r="C8" s="68" t="str">
        <f>_xlfn.XLOOKUP(Hybridtable[[#This Row],[Planet '#]],MiningROItable[Planet '#],MiningROItable[ROI])</f>
        <v/>
      </c>
      <c r="D8" s="68" t="str">
        <f>_xlfn.XLOOKUP(Hybridtable[[#This Row],[Planet '#]],MiningROItable[Planet '#],MiningROItable[Breakeven])</f>
        <v/>
      </c>
      <c r="E8" s="68">
        <f>_xlfn.XLOOKUP(Hybridtable[[#This Row],[Planet '#]],SpeedROI[Planet '#],SpeedROI[ROI])</f>
        <v>25.344773154362386</v>
      </c>
      <c r="F8" s="68">
        <f>_xlfn.XLOOKUP(Hybridtable[[#This Row],[Planet '#]],SpeedROI[Planet '#],SpeedROI[Breakeven])</f>
        <v>2116.4127085811929</v>
      </c>
      <c r="G8" s="68">
        <f>_xlfn.XLOOKUP(Hybridtable[[#This Row],[Planet '#]],CargoROI[Planet '#],CargoROI[ROI])</f>
        <v>25.344773154362386</v>
      </c>
      <c r="H8" s="68">
        <f>_xlfn.XLOOKUP(Hybridtable[[#This Row],[Planet '#]],CargoROI[Planet '#],CargoROI[Breakeven])</f>
        <v>2116.4127085811929</v>
      </c>
      <c r="I8" s="68" t="str">
        <f>_xlfn.XLOOKUP(Hybridtable[[#This Row],[Planet '#]],UnlockROI[Planet '#],UnlockROI[ROI])</f>
        <v/>
      </c>
      <c r="J8" s="68" t="str">
        <f>_xlfn.XLOOKUP(Hybridtable[[#This Row],[Planet '#]],UnlockROI[Planet '#],UnlockROI[Breakeven])</f>
        <v/>
      </c>
      <c r="K8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8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8" s="69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>0.5714285714285714</v>
      </c>
      <c r="N8" s="69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>0.85714285714285721</v>
      </c>
      <c r="O8" s="69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>0.5714285714285714</v>
      </c>
      <c r="P8" s="69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>0.85714285714285721</v>
      </c>
      <c r="Q8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8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9" spans="1:18" x14ac:dyDescent="0.3">
      <c r="A9" s="16">
        <v>8</v>
      </c>
      <c r="B9" s="16" t="str">
        <f>_xlfn.XLOOKUP(Hybridtable[[#This Row],[Planet '#]],tblPlanets[Planet '#],tblPlanets[Name])</f>
        <v>Acheron</v>
      </c>
      <c r="C9" s="68" t="str">
        <f>_xlfn.XLOOKUP(Hybridtable[[#This Row],[Planet '#]],MiningROItable[Planet '#],MiningROItable[ROI])</f>
        <v/>
      </c>
      <c r="D9" s="68" t="str">
        <f>_xlfn.XLOOKUP(Hybridtable[[#This Row],[Planet '#]],MiningROItable[Planet '#],MiningROItable[Breakeven])</f>
        <v/>
      </c>
      <c r="E9" s="68" t="str">
        <f>_xlfn.XLOOKUP(Hybridtable[[#This Row],[Planet '#]],SpeedROI[Planet '#],SpeedROI[ROI])</f>
        <v/>
      </c>
      <c r="F9" s="68" t="str">
        <f>_xlfn.XLOOKUP(Hybridtable[[#This Row],[Planet '#]],SpeedROI[Planet '#],SpeedROI[Breakeven])</f>
        <v/>
      </c>
      <c r="G9" s="68" t="str">
        <f>_xlfn.XLOOKUP(Hybridtable[[#This Row],[Planet '#]],CargoROI[Planet '#],CargoROI[ROI])</f>
        <v/>
      </c>
      <c r="H9" s="68" t="str">
        <f>_xlfn.XLOOKUP(Hybridtable[[#This Row],[Planet '#]],CargoROI[Planet '#],CargoROI[Breakeven])</f>
        <v/>
      </c>
      <c r="I9" s="68" t="str">
        <f>_xlfn.XLOOKUP(Hybridtable[[#This Row],[Planet '#]],UnlockROI[Planet '#],UnlockROI[ROI])</f>
        <v/>
      </c>
      <c r="J9" s="68" t="str">
        <f>_xlfn.XLOOKUP(Hybridtable[[#This Row],[Planet '#]],UnlockROI[Planet '#],UnlockROI[Breakeven])</f>
        <v/>
      </c>
      <c r="K9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9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9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9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9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9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9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9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0" spans="1:18" ht="14.4" customHeight="1" x14ac:dyDescent="0.3">
      <c r="A10" s="16">
        <v>9</v>
      </c>
      <c r="B10" s="16" t="str">
        <f>_xlfn.XLOOKUP(Hybridtable[[#This Row],[Planet '#]],tblPlanets[Planet '#],tblPlanets[Name])</f>
        <v>Yangtze</v>
      </c>
      <c r="C10" s="68" t="str">
        <f>_xlfn.XLOOKUP(Hybridtable[[#This Row],[Planet '#]],MiningROItable[Planet '#],MiningROItable[ROI])</f>
        <v/>
      </c>
      <c r="D10" s="68" t="str">
        <f>_xlfn.XLOOKUP(Hybridtable[[#This Row],[Planet '#]],MiningROItable[Planet '#],MiningROItable[Breakeven])</f>
        <v/>
      </c>
      <c r="E10" s="68" t="str">
        <f>_xlfn.XLOOKUP(Hybridtable[[#This Row],[Planet '#]],SpeedROI[Planet '#],SpeedROI[ROI])</f>
        <v/>
      </c>
      <c r="F10" s="68" t="str">
        <f>_xlfn.XLOOKUP(Hybridtable[[#This Row],[Planet '#]],SpeedROI[Planet '#],SpeedROI[Breakeven])</f>
        <v/>
      </c>
      <c r="G10" s="68" t="str">
        <f>_xlfn.XLOOKUP(Hybridtable[[#This Row],[Planet '#]],CargoROI[Planet '#],CargoROI[ROI])</f>
        <v/>
      </c>
      <c r="H10" s="68" t="str">
        <f>_xlfn.XLOOKUP(Hybridtable[[#This Row],[Planet '#]],CargoROI[Planet '#],CargoROI[Breakeven])</f>
        <v/>
      </c>
      <c r="I10" s="68" t="str">
        <f>_xlfn.XLOOKUP(Hybridtable[[#This Row],[Planet '#]],UnlockROI[Planet '#],UnlockROI[ROI])</f>
        <v/>
      </c>
      <c r="J10" s="68" t="str">
        <f>_xlfn.XLOOKUP(Hybridtable[[#This Row],[Planet '#]],UnlockROI[Planet '#],UnlockROI[Breakeven])</f>
        <v/>
      </c>
      <c r="K10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0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0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0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0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0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0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0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1" spans="1:18" ht="14.4" customHeight="1" x14ac:dyDescent="0.3">
      <c r="A11" s="16">
        <v>10</v>
      </c>
      <c r="B11" s="16" t="str">
        <f>_xlfn.XLOOKUP(Hybridtable[[#This Row],[Planet '#]],tblPlanets[Planet '#],tblPlanets[Name])</f>
        <v>Solveig</v>
      </c>
      <c r="C11" s="68" t="str">
        <f>_xlfn.XLOOKUP(Hybridtable[[#This Row],[Planet '#]],MiningROItable[Planet '#],MiningROItable[ROI])</f>
        <v/>
      </c>
      <c r="D11" s="68" t="str">
        <f>_xlfn.XLOOKUP(Hybridtable[[#This Row],[Planet '#]],MiningROItable[Planet '#],MiningROItable[Breakeven])</f>
        <v/>
      </c>
      <c r="E11" s="68" t="str">
        <f>_xlfn.XLOOKUP(Hybridtable[[#This Row],[Planet '#]],SpeedROI[Planet '#],SpeedROI[ROI])</f>
        <v/>
      </c>
      <c r="F11" s="68" t="str">
        <f>_xlfn.XLOOKUP(Hybridtable[[#This Row],[Planet '#]],SpeedROI[Planet '#],SpeedROI[Breakeven])</f>
        <v/>
      </c>
      <c r="G11" s="68" t="str">
        <f>_xlfn.XLOOKUP(Hybridtable[[#This Row],[Planet '#]],CargoROI[Planet '#],CargoROI[ROI])</f>
        <v/>
      </c>
      <c r="H11" s="68" t="str">
        <f>_xlfn.XLOOKUP(Hybridtable[[#This Row],[Planet '#]],CargoROI[Planet '#],CargoROI[Breakeven])</f>
        <v/>
      </c>
      <c r="I11" s="68" t="str">
        <f>_xlfn.XLOOKUP(Hybridtable[[#This Row],[Planet '#]],UnlockROI[Planet '#],UnlockROI[ROI])</f>
        <v/>
      </c>
      <c r="J11" s="68" t="str">
        <f>_xlfn.XLOOKUP(Hybridtable[[#This Row],[Planet '#]],UnlockROI[Planet '#],UnlockROI[Breakeven])</f>
        <v/>
      </c>
      <c r="K11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1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1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1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1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1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1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1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2" spans="1:18" ht="15" customHeight="1" x14ac:dyDescent="0.3">
      <c r="A12" s="16">
        <v>11</v>
      </c>
      <c r="B12" s="16" t="str">
        <f>_xlfn.XLOOKUP(Hybridtable[[#This Row],[Planet '#]],tblPlanets[Planet '#],tblPlanets[Name])</f>
        <v>Imir</v>
      </c>
      <c r="C12" s="68" t="str">
        <f>_xlfn.XLOOKUP(Hybridtable[[#This Row],[Planet '#]],MiningROItable[Planet '#],MiningROItable[ROI])</f>
        <v/>
      </c>
      <c r="D12" s="68" t="str">
        <f>_xlfn.XLOOKUP(Hybridtable[[#This Row],[Planet '#]],MiningROItable[Planet '#],MiningROItable[Breakeven])</f>
        <v/>
      </c>
      <c r="E12" s="68" t="str">
        <f>_xlfn.XLOOKUP(Hybridtable[[#This Row],[Planet '#]],SpeedROI[Planet '#],SpeedROI[ROI])</f>
        <v/>
      </c>
      <c r="F12" s="68" t="str">
        <f>_xlfn.XLOOKUP(Hybridtable[[#This Row],[Planet '#]],SpeedROI[Planet '#],SpeedROI[Breakeven])</f>
        <v/>
      </c>
      <c r="G12" s="68" t="str">
        <f>_xlfn.XLOOKUP(Hybridtable[[#This Row],[Planet '#]],CargoROI[Planet '#],CargoROI[ROI])</f>
        <v/>
      </c>
      <c r="H12" s="68" t="str">
        <f>_xlfn.XLOOKUP(Hybridtable[[#This Row],[Planet '#]],CargoROI[Planet '#],CargoROI[Breakeven])</f>
        <v/>
      </c>
      <c r="I12" s="68" t="str">
        <f>_xlfn.XLOOKUP(Hybridtable[[#This Row],[Planet '#]],UnlockROI[Planet '#],UnlockROI[ROI])</f>
        <v/>
      </c>
      <c r="J12" s="68" t="str">
        <f>_xlfn.XLOOKUP(Hybridtable[[#This Row],[Planet '#]],UnlockROI[Planet '#],UnlockROI[Breakeven])</f>
        <v/>
      </c>
      <c r="K12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2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3" spans="1:18" x14ac:dyDescent="0.3">
      <c r="A13" s="16">
        <v>12</v>
      </c>
      <c r="B13" s="16" t="str">
        <f>_xlfn.XLOOKUP(Hybridtable[[#This Row],[Planet '#]],tblPlanets[Planet '#],tblPlanets[Name])</f>
        <v>Relic</v>
      </c>
      <c r="C13" s="68" t="str">
        <f>_xlfn.XLOOKUP(Hybridtable[[#This Row],[Planet '#]],MiningROItable[Planet '#],MiningROItable[ROI])</f>
        <v/>
      </c>
      <c r="D13" s="68" t="str">
        <f>_xlfn.XLOOKUP(Hybridtable[[#This Row],[Planet '#]],MiningROItable[Planet '#],MiningROItable[Breakeven])</f>
        <v/>
      </c>
      <c r="E13" s="68" t="str">
        <f>_xlfn.XLOOKUP(Hybridtable[[#This Row],[Planet '#]],SpeedROI[Planet '#],SpeedROI[ROI])</f>
        <v/>
      </c>
      <c r="F13" s="68" t="str">
        <f>_xlfn.XLOOKUP(Hybridtable[[#This Row],[Planet '#]],SpeedROI[Planet '#],SpeedROI[Breakeven])</f>
        <v/>
      </c>
      <c r="G13" s="68" t="str">
        <f>_xlfn.XLOOKUP(Hybridtable[[#This Row],[Planet '#]],CargoROI[Planet '#],CargoROI[ROI])</f>
        <v/>
      </c>
      <c r="H13" s="68" t="str">
        <f>_xlfn.XLOOKUP(Hybridtable[[#This Row],[Planet '#]],CargoROI[Planet '#],CargoROI[Breakeven])</f>
        <v/>
      </c>
      <c r="I13" s="68" t="str">
        <f>_xlfn.XLOOKUP(Hybridtable[[#This Row],[Planet '#]],UnlockROI[Planet '#],UnlockROI[ROI])</f>
        <v/>
      </c>
      <c r="J13" s="68" t="str">
        <f>_xlfn.XLOOKUP(Hybridtable[[#This Row],[Planet '#]],UnlockROI[Planet '#],UnlockROI[Breakeven])</f>
        <v/>
      </c>
      <c r="K13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3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4" spans="1:18" x14ac:dyDescent="0.3">
      <c r="A14" s="16">
        <v>13</v>
      </c>
      <c r="B14" s="16" t="str">
        <f>_xlfn.XLOOKUP(Hybridtable[[#This Row],[Planet '#]],tblPlanets[Planet '#],tblPlanets[Name])</f>
        <v>Nith</v>
      </c>
      <c r="C14" s="68" t="str">
        <f>_xlfn.XLOOKUP(Hybridtable[[#This Row],[Planet '#]],MiningROItable[Planet '#],MiningROItable[ROI])</f>
        <v/>
      </c>
      <c r="D14" s="68" t="str">
        <f>_xlfn.XLOOKUP(Hybridtable[[#This Row],[Planet '#]],MiningROItable[Planet '#],MiningROItable[Breakeven])</f>
        <v/>
      </c>
      <c r="E14" s="68" t="str">
        <f>_xlfn.XLOOKUP(Hybridtable[[#This Row],[Planet '#]],SpeedROI[Planet '#],SpeedROI[ROI])</f>
        <v/>
      </c>
      <c r="F14" s="68" t="str">
        <f>_xlfn.XLOOKUP(Hybridtable[[#This Row],[Planet '#]],SpeedROI[Planet '#],SpeedROI[Breakeven])</f>
        <v/>
      </c>
      <c r="G14" s="68" t="str">
        <f>_xlfn.XLOOKUP(Hybridtable[[#This Row],[Planet '#]],CargoROI[Planet '#],CargoROI[ROI])</f>
        <v/>
      </c>
      <c r="H14" s="68" t="str">
        <f>_xlfn.XLOOKUP(Hybridtable[[#This Row],[Planet '#]],CargoROI[Planet '#],CargoROI[Breakeven])</f>
        <v/>
      </c>
      <c r="I14" s="68" t="str">
        <f>_xlfn.XLOOKUP(Hybridtable[[#This Row],[Planet '#]],UnlockROI[Planet '#],UnlockROI[ROI])</f>
        <v/>
      </c>
      <c r="J14" s="68" t="str">
        <f>_xlfn.XLOOKUP(Hybridtable[[#This Row],[Planet '#]],UnlockROI[Planet '#],UnlockROI[Breakeven])</f>
        <v/>
      </c>
      <c r="K14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4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5" spans="1:18" x14ac:dyDescent="0.3">
      <c r="A15" s="16">
        <v>14</v>
      </c>
      <c r="B15" s="16" t="str">
        <f>_xlfn.XLOOKUP(Hybridtable[[#This Row],[Planet '#]],tblPlanets[Planet '#],tblPlanets[Name])</f>
        <v>Batalla</v>
      </c>
      <c r="C15" s="68" t="str">
        <f>_xlfn.XLOOKUP(Hybridtable[[#This Row],[Planet '#]],MiningROItable[Planet '#],MiningROItable[ROI])</f>
        <v/>
      </c>
      <c r="D15" s="68" t="str">
        <f>_xlfn.XLOOKUP(Hybridtable[[#This Row],[Planet '#]],MiningROItable[Planet '#],MiningROItable[Breakeven])</f>
        <v/>
      </c>
      <c r="E15" s="68" t="str">
        <f>_xlfn.XLOOKUP(Hybridtable[[#This Row],[Planet '#]],SpeedROI[Planet '#],SpeedROI[ROI])</f>
        <v/>
      </c>
      <c r="F15" s="68" t="str">
        <f>_xlfn.XLOOKUP(Hybridtable[[#This Row],[Planet '#]],SpeedROI[Planet '#],SpeedROI[Breakeven])</f>
        <v/>
      </c>
      <c r="G15" s="68" t="str">
        <f>_xlfn.XLOOKUP(Hybridtable[[#This Row],[Planet '#]],CargoROI[Planet '#],CargoROI[ROI])</f>
        <v/>
      </c>
      <c r="H15" s="68" t="str">
        <f>_xlfn.XLOOKUP(Hybridtable[[#This Row],[Planet '#]],CargoROI[Planet '#],CargoROI[Breakeven])</f>
        <v/>
      </c>
      <c r="I15" s="68" t="str">
        <f>_xlfn.XLOOKUP(Hybridtable[[#This Row],[Planet '#]],UnlockROI[Planet '#],UnlockROI[ROI])</f>
        <v/>
      </c>
      <c r="J15" s="68" t="str">
        <f>_xlfn.XLOOKUP(Hybridtable[[#This Row],[Planet '#]],UnlockROI[Planet '#],UnlockROI[Breakeven])</f>
        <v/>
      </c>
      <c r="K15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5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6" spans="1:18" x14ac:dyDescent="0.3">
      <c r="A16" s="16">
        <v>15</v>
      </c>
      <c r="B16" s="16" t="str">
        <f>_xlfn.XLOOKUP(Hybridtable[[#This Row],[Planet '#]],tblPlanets[Planet '#],tblPlanets[Name])</f>
        <v>Micah</v>
      </c>
      <c r="C16" s="68" t="str">
        <f>_xlfn.XLOOKUP(Hybridtable[[#This Row],[Planet '#]],MiningROItable[Planet '#],MiningROItable[ROI])</f>
        <v/>
      </c>
      <c r="D16" s="68" t="str">
        <f>_xlfn.XLOOKUP(Hybridtable[[#This Row],[Planet '#]],MiningROItable[Planet '#],MiningROItable[Breakeven])</f>
        <v/>
      </c>
      <c r="E16" s="68" t="str">
        <f>_xlfn.XLOOKUP(Hybridtable[[#This Row],[Planet '#]],SpeedROI[Planet '#],SpeedROI[ROI])</f>
        <v/>
      </c>
      <c r="F16" s="68" t="str">
        <f>_xlfn.XLOOKUP(Hybridtable[[#This Row],[Planet '#]],SpeedROI[Planet '#],SpeedROI[Breakeven])</f>
        <v/>
      </c>
      <c r="G16" s="68" t="str">
        <f>_xlfn.XLOOKUP(Hybridtable[[#This Row],[Planet '#]],CargoROI[Planet '#],CargoROI[ROI])</f>
        <v/>
      </c>
      <c r="H16" s="68" t="str">
        <f>_xlfn.XLOOKUP(Hybridtable[[#This Row],[Planet '#]],CargoROI[Planet '#],CargoROI[Breakeven])</f>
        <v/>
      </c>
      <c r="I16" s="68" t="str">
        <f>_xlfn.XLOOKUP(Hybridtable[[#This Row],[Planet '#]],UnlockROI[Planet '#],UnlockROI[ROI])</f>
        <v/>
      </c>
      <c r="J16" s="68" t="str">
        <f>_xlfn.XLOOKUP(Hybridtable[[#This Row],[Planet '#]],UnlockROI[Planet '#],UnlockROI[Breakeven])</f>
        <v/>
      </c>
      <c r="K16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6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7" spans="1:18" x14ac:dyDescent="0.3">
      <c r="A17" s="16">
        <v>16</v>
      </c>
      <c r="B17" s="16" t="str">
        <f>_xlfn.XLOOKUP(Hybridtable[[#This Row],[Planet '#]],tblPlanets[Planet '#],tblPlanets[Name])</f>
        <v>Pranas</v>
      </c>
      <c r="C17" s="68" t="str">
        <f>_xlfn.XLOOKUP(Hybridtable[[#This Row],[Planet '#]],MiningROItable[Planet '#],MiningROItable[ROI])</f>
        <v/>
      </c>
      <c r="D17" s="68" t="str">
        <f>_xlfn.XLOOKUP(Hybridtable[[#This Row],[Planet '#]],MiningROItable[Planet '#],MiningROItable[Breakeven])</f>
        <v/>
      </c>
      <c r="E17" s="68" t="str">
        <f>_xlfn.XLOOKUP(Hybridtable[[#This Row],[Planet '#]],SpeedROI[Planet '#],SpeedROI[ROI])</f>
        <v/>
      </c>
      <c r="F17" s="68" t="str">
        <f>_xlfn.XLOOKUP(Hybridtable[[#This Row],[Planet '#]],SpeedROI[Planet '#],SpeedROI[Breakeven])</f>
        <v/>
      </c>
      <c r="G17" s="68" t="str">
        <f>_xlfn.XLOOKUP(Hybridtable[[#This Row],[Planet '#]],CargoROI[Planet '#],CargoROI[ROI])</f>
        <v/>
      </c>
      <c r="H17" s="68" t="str">
        <f>_xlfn.XLOOKUP(Hybridtable[[#This Row],[Planet '#]],CargoROI[Planet '#],CargoROI[Breakeven])</f>
        <v/>
      </c>
      <c r="I17" s="68" t="str">
        <f>_xlfn.XLOOKUP(Hybridtable[[#This Row],[Planet '#]],UnlockROI[Planet '#],UnlockROI[ROI])</f>
        <v/>
      </c>
      <c r="J17" s="68" t="str">
        <f>_xlfn.XLOOKUP(Hybridtable[[#This Row],[Planet '#]],UnlockROI[Planet '#],UnlockROI[Breakeven])</f>
        <v/>
      </c>
      <c r="K17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7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8" spans="1:18" x14ac:dyDescent="0.3">
      <c r="A18" s="16">
        <v>17</v>
      </c>
      <c r="B18" s="16" t="str">
        <f>_xlfn.XLOOKUP(Hybridtable[[#This Row],[Planet '#]],tblPlanets[Planet '#],tblPlanets[Name])</f>
        <v>Castellus</v>
      </c>
      <c r="C18" s="68" t="str">
        <f>_xlfn.XLOOKUP(Hybridtable[[#This Row],[Planet '#]],MiningROItable[Planet '#],MiningROItable[ROI])</f>
        <v/>
      </c>
      <c r="D18" s="68" t="str">
        <f>_xlfn.XLOOKUP(Hybridtable[[#This Row],[Planet '#]],MiningROItable[Planet '#],MiningROItable[Breakeven])</f>
        <v/>
      </c>
      <c r="E18" s="68" t="str">
        <f>_xlfn.XLOOKUP(Hybridtable[[#This Row],[Planet '#]],SpeedROI[Planet '#],SpeedROI[ROI])</f>
        <v/>
      </c>
      <c r="F18" s="68" t="str">
        <f>_xlfn.XLOOKUP(Hybridtable[[#This Row],[Planet '#]],SpeedROI[Planet '#],SpeedROI[Breakeven])</f>
        <v/>
      </c>
      <c r="G18" s="68" t="str">
        <f>_xlfn.XLOOKUP(Hybridtable[[#This Row],[Planet '#]],CargoROI[Planet '#],CargoROI[ROI])</f>
        <v/>
      </c>
      <c r="H18" s="68" t="str">
        <f>_xlfn.XLOOKUP(Hybridtable[[#This Row],[Planet '#]],CargoROI[Planet '#],CargoROI[Breakeven])</f>
        <v/>
      </c>
      <c r="I18" s="68" t="str">
        <f>_xlfn.XLOOKUP(Hybridtable[[#This Row],[Planet '#]],UnlockROI[Planet '#],UnlockROI[ROI])</f>
        <v/>
      </c>
      <c r="J18" s="68" t="str">
        <f>_xlfn.XLOOKUP(Hybridtable[[#This Row],[Planet '#]],UnlockROI[Planet '#],UnlockROI[Breakeven])</f>
        <v/>
      </c>
      <c r="K18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8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8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8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8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8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8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8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19" spans="1:18" x14ac:dyDescent="0.3">
      <c r="A19" s="16">
        <v>18</v>
      </c>
      <c r="B19" s="16" t="str">
        <f>_xlfn.XLOOKUP(Hybridtable[[#This Row],[Planet '#]],tblPlanets[Planet '#],tblPlanets[Name])</f>
        <v>Gorgon</v>
      </c>
      <c r="C19" s="68" t="str">
        <f>_xlfn.XLOOKUP(Hybridtable[[#This Row],[Planet '#]],MiningROItable[Planet '#],MiningROItable[ROI])</f>
        <v/>
      </c>
      <c r="D19" s="68" t="str">
        <f>_xlfn.XLOOKUP(Hybridtable[[#This Row],[Planet '#]],MiningROItable[Planet '#],MiningROItable[Breakeven])</f>
        <v/>
      </c>
      <c r="E19" s="68" t="str">
        <f>_xlfn.XLOOKUP(Hybridtable[[#This Row],[Planet '#]],SpeedROI[Planet '#],SpeedROI[ROI])</f>
        <v/>
      </c>
      <c r="F19" s="68" t="str">
        <f>_xlfn.XLOOKUP(Hybridtable[[#This Row],[Planet '#]],SpeedROI[Planet '#],SpeedROI[Breakeven])</f>
        <v/>
      </c>
      <c r="G19" s="68" t="str">
        <f>_xlfn.XLOOKUP(Hybridtable[[#This Row],[Planet '#]],CargoROI[Planet '#],CargoROI[ROI])</f>
        <v/>
      </c>
      <c r="H19" s="68" t="str">
        <f>_xlfn.XLOOKUP(Hybridtable[[#This Row],[Planet '#]],CargoROI[Planet '#],CargoROI[Breakeven])</f>
        <v/>
      </c>
      <c r="I19" s="68" t="str">
        <f>_xlfn.XLOOKUP(Hybridtable[[#This Row],[Planet '#]],UnlockROI[Planet '#],UnlockROI[ROI])</f>
        <v/>
      </c>
      <c r="J19" s="68" t="str">
        <f>_xlfn.XLOOKUP(Hybridtable[[#This Row],[Planet '#]],UnlockROI[Planet '#],UnlockROI[Breakeven])</f>
        <v/>
      </c>
      <c r="K19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19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19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19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19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19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19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19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0" spans="1:18" x14ac:dyDescent="0.3">
      <c r="A20" s="16">
        <v>19</v>
      </c>
      <c r="B20" s="16" t="str">
        <f>_xlfn.XLOOKUP(Hybridtable[[#This Row],[Planet '#]],tblPlanets[Planet '#],tblPlanets[Name])</f>
        <v>Parnitha</v>
      </c>
      <c r="C20" s="68" t="str">
        <f>_xlfn.XLOOKUP(Hybridtable[[#This Row],[Planet '#]],MiningROItable[Planet '#],MiningROItable[ROI])</f>
        <v/>
      </c>
      <c r="D20" s="68" t="str">
        <f>_xlfn.XLOOKUP(Hybridtable[[#This Row],[Planet '#]],MiningROItable[Planet '#],MiningROItable[Breakeven])</f>
        <v/>
      </c>
      <c r="E20" s="68" t="str">
        <f>_xlfn.XLOOKUP(Hybridtable[[#This Row],[Planet '#]],SpeedROI[Planet '#],SpeedROI[ROI])</f>
        <v/>
      </c>
      <c r="F20" s="68" t="str">
        <f>_xlfn.XLOOKUP(Hybridtable[[#This Row],[Planet '#]],SpeedROI[Planet '#],SpeedROI[Breakeven])</f>
        <v/>
      </c>
      <c r="G20" s="68" t="str">
        <f>_xlfn.XLOOKUP(Hybridtable[[#This Row],[Planet '#]],CargoROI[Planet '#],CargoROI[ROI])</f>
        <v/>
      </c>
      <c r="H20" s="68" t="str">
        <f>_xlfn.XLOOKUP(Hybridtable[[#This Row],[Planet '#]],CargoROI[Planet '#],CargoROI[Breakeven])</f>
        <v/>
      </c>
      <c r="I20" s="68" t="str">
        <f>_xlfn.XLOOKUP(Hybridtable[[#This Row],[Planet '#]],UnlockROI[Planet '#],UnlockROI[ROI])</f>
        <v/>
      </c>
      <c r="J20" s="68" t="str">
        <f>_xlfn.XLOOKUP(Hybridtable[[#This Row],[Planet '#]],UnlockROI[Planet '#],UnlockROI[Breakeven])</f>
        <v/>
      </c>
      <c r="K20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0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0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0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0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0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0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0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1" spans="1:18" x14ac:dyDescent="0.3">
      <c r="A21" s="16">
        <v>20</v>
      </c>
      <c r="B21" s="16" t="str">
        <f>_xlfn.XLOOKUP(Hybridtable[[#This Row],[Planet '#]],tblPlanets[Planet '#],tblPlanets[Name])</f>
        <v>Orisoni</v>
      </c>
      <c r="C21" s="68" t="str">
        <f>_xlfn.XLOOKUP(Hybridtable[[#This Row],[Planet '#]],MiningROItable[Planet '#],MiningROItable[ROI])</f>
        <v/>
      </c>
      <c r="D21" s="68" t="str">
        <f>_xlfn.XLOOKUP(Hybridtable[[#This Row],[Planet '#]],MiningROItable[Planet '#],MiningROItable[Breakeven])</f>
        <v/>
      </c>
      <c r="E21" s="68" t="str">
        <f>_xlfn.XLOOKUP(Hybridtable[[#This Row],[Planet '#]],SpeedROI[Planet '#],SpeedROI[ROI])</f>
        <v/>
      </c>
      <c r="F21" s="68" t="str">
        <f>_xlfn.XLOOKUP(Hybridtable[[#This Row],[Planet '#]],SpeedROI[Planet '#],SpeedROI[Breakeven])</f>
        <v/>
      </c>
      <c r="G21" s="68" t="str">
        <f>_xlfn.XLOOKUP(Hybridtable[[#This Row],[Planet '#]],CargoROI[Planet '#],CargoROI[ROI])</f>
        <v/>
      </c>
      <c r="H21" s="68" t="str">
        <f>_xlfn.XLOOKUP(Hybridtable[[#This Row],[Planet '#]],CargoROI[Planet '#],CargoROI[Breakeven])</f>
        <v/>
      </c>
      <c r="I21" s="68" t="str">
        <f>_xlfn.XLOOKUP(Hybridtable[[#This Row],[Planet '#]],UnlockROI[Planet '#],UnlockROI[ROI])</f>
        <v/>
      </c>
      <c r="J21" s="68" t="str">
        <f>_xlfn.XLOOKUP(Hybridtable[[#This Row],[Planet '#]],UnlockROI[Planet '#],UnlockROI[Breakeven])</f>
        <v/>
      </c>
      <c r="K21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1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1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1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1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1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1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1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2" spans="1:18" x14ac:dyDescent="0.3">
      <c r="A22" s="16">
        <v>21</v>
      </c>
      <c r="B22" s="16" t="str">
        <f>_xlfn.XLOOKUP(Hybridtable[[#This Row],[Planet '#]],tblPlanets[Planet '#],tblPlanets[Name])</f>
        <v>Theseus</v>
      </c>
      <c r="C22" s="68" t="str">
        <f>_xlfn.XLOOKUP(Hybridtable[[#This Row],[Planet '#]],MiningROItable[Planet '#],MiningROItable[ROI])</f>
        <v/>
      </c>
      <c r="D22" s="68" t="str">
        <f>_xlfn.XLOOKUP(Hybridtable[[#This Row],[Planet '#]],MiningROItable[Planet '#],MiningROItable[Breakeven])</f>
        <v/>
      </c>
      <c r="E22" s="68" t="str">
        <f>_xlfn.XLOOKUP(Hybridtable[[#This Row],[Planet '#]],SpeedROI[Planet '#],SpeedROI[ROI])</f>
        <v/>
      </c>
      <c r="F22" s="68" t="str">
        <f>_xlfn.XLOOKUP(Hybridtable[[#This Row],[Planet '#]],SpeedROI[Planet '#],SpeedROI[Breakeven])</f>
        <v/>
      </c>
      <c r="G22" s="68" t="str">
        <f>_xlfn.XLOOKUP(Hybridtable[[#This Row],[Planet '#]],CargoROI[Planet '#],CargoROI[ROI])</f>
        <v/>
      </c>
      <c r="H22" s="68" t="str">
        <f>_xlfn.XLOOKUP(Hybridtable[[#This Row],[Planet '#]],CargoROI[Planet '#],CargoROI[Breakeven])</f>
        <v/>
      </c>
      <c r="I22" s="68" t="str">
        <f>_xlfn.XLOOKUP(Hybridtable[[#This Row],[Planet '#]],UnlockROI[Planet '#],UnlockROI[ROI])</f>
        <v/>
      </c>
      <c r="J22" s="68" t="str">
        <f>_xlfn.XLOOKUP(Hybridtable[[#This Row],[Planet '#]],UnlockROI[Planet '#],UnlockROI[Breakeven])</f>
        <v/>
      </c>
      <c r="K22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2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3" spans="1:18" x14ac:dyDescent="0.3">
      <c r="A23" s="16">
        <v>22</v>
      </c>
      <c r="B23" s="16" t="str">
        <f>_xlfn.XLOOKUP(Hybridtable[[#This Row],[Planet '#]],tblPlanets[Planet '#],tblPlanets[Name])</f>
        <v>Zelene</v>
      </c>
      <c r="C23" s="68" t="str">
        <f>_xlfn.XLOOKUP(Hybridtable[[#This Row],[Planet '#]],MiningROItable[Planet '#],MiningROItable[ROI])</f>
        <v/>
      </c>
      <c r="D23" s="68" t="str">
        <f>_xlfn.XLOOKUP(Hybridtable[[#This Row],[Planet '#]],MiningROItable[Planet '#],MiningROItable[Breakeven])</f>
        <v/>
      </c>
      <c r="E23" s="68" t="str">
        <f>_xlfn.XLOOKUP(Hybridtable[[#This Row],[Planet '#]],SpeedROI[Planet '#],SpeedROI[ROI])</f>
        <v/>
      </c>
      <c r="F23" s="68" t="str">
        <f>_xlfn.XLOOKUP(Hybridtable[[#This Row],[Planet '#]],SpeedROI[Planet '#],SpeedROI[Breakeven])</f>
        <v/>
      </c>
      <c r="G23" s="68" t="str">
        <f>_xlfn.XLOOKUP(Hybridtable[[#This Row],[Planet '#]],CargoROI[Planet '#],CargoROI[ROI])</f>
        <v/>
      </c>
      <c r="H23" s="68" t="str">
        <f>_xlfn.XLOOKUP(Hybridtable[[#This Row],[Planet '#]],CargoROI[Planet '#],CargoROI[Breakeven])</f>
        <v/>
      </c>
      <c r="I23" s="68" t="str">
        <f>_xlfn.XLOOKUP(Hybridtable[[#This Row],[Planet '#]],UnlockROI[Planet '#],UnlockROI[ROI])</f>
        <v/>
      </c>
      <c r="J23" s="68" t="str">
        <f>_xlfn.XLOOKUP(Hybridtable[[#This Row],[Planet '#]],UnlockROI[Planet '#],UnlockROI[Breakeven])</f>
        <v/>
      </c>
      <c r="K23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3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4" spans="1:18" x14ac:dyDescent="0.3">
      <c r="A24" s="16">
        <v>23</v>
      </c>
      <c r="B24" s="16" t="str">
        <f>_xlfn.XLOOKUP(Hybridtable[[#This Row],[Planet '#]],tblPlanets[Planet '#],tblPlanets[Name])</f>
        <v>Han</v>
      </c>
      <c r="C24" s="68" t="str">
        <f>_xlfn.XLOOKUP(Hybridtable[[#This Row],[Planet '#]],MiningROItable[Planet '#],MiningROItable[ROI])</f>
        <v/>
      </c>
      <c r="D24" s="68" t="str">
        <f>_xlfn.XLOOKUP(Hybridtable[[#This Row],[Planet '#]],MiningROItable[Planet '#],MiningROItable[Breakeven])</f>
        <v/>
      </c>
      <c r="E24" s="68" t="str">
        <f>_xlfn.XLOOKUP(Hybridtable[[#This Row],[Planet '#]],SpeedROI[Planet '#],SpeedROI[ROI])</f>
        <v/>
      </c>
      <c r="F24" s="68" t="str">
        <f>_xlfn.XLOOKUP(Hybridtable[[#This Row],[Planet '#]],SpeedROI[Planet '#],SpeedROI[Breakeven])</f>
        <v/>
      </c>
      <c r="G24" s="68" t="str">
        <f>_xlfn.XLOOKUP(Hybridtable[[#This Row],[Planet '#]],CargoROI[Planet '#],CargoROI[ROI])</f>
        <v/>
      </c>
      <c r="H24" s="68" t="str">
        <f>_xlfn.XLOOKUP(Hybridtable[[#This Row],[Planet '#]],CargoROI[Planet '#],CargoROI[Breakeven])</f>
        <v/>
      </c>
      <c r="I24" s="68" t="str">
        <f>_xlfn.XLOOKUP(Hybridtable[[#This Row],[Planet '#]],UnlockROI[Planet '#],UnlockROI[ROI])</f>
        <v/>
      </c>
      <c r="J24" s="68" t="str">
        <f>_xlfn.XLOOKUP(Hybridtable[[#This Row],[Planet '#]],UnlockROI[Planet '#],UnlockROI[Breakeven])</f>
        <v/>
      </c>
      <c r="K24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4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5" spans="1:18" x14ac:dyDescent="0.3">
      <c r="A25" s="16">
        <v>24</v>
      </c>
      <c r="B25" s="16" t="str">
        <f>_xlfn.XLOOKUP(Hybridtable[[#This Row],[Planet '#]],tblPlanets[Planet '#],tblPlanets[Name])</f>
        <v>Strennus</v>
      </c>
      <c r="C25" s="68" t="str">
        <f>_xlfn.XLOOKUP(Hybridtable[[#This Row],[Planet '#]],MiningROItable[Planet '#],MiningROItable[ROI])</f>
        <v/>
      </c>
      <c r="D25" s="68" t="str">
        <f>_xlfn.XLOOKUP(Hybridtable[[#This Row],[Planet '#]],MiningROItable[Planet '#],MiningROItable[Breakeven])</f>
        <v/>
      </c>
      <c r="E25" s="68" t="str">
        <f>_xlfn.XLOOKUP(Hybridtable[[#This Row],[Planet '#]],SpeedROI[Planet '#],SpeedROI[ROI])</f>
        <v/>
      </c>
      <c r="F25" s="68" t="str">
        <f>_xlfn.XLOOKUP(Hybridtable[[#This Row],[Planet '#]],SpeedROI[Planet '#],SpeedROI[Breakeven])</f>
        <v/>
      </c>
      <c r="G25" s="68" t="str">
        <f>_xlfn.XLOOKUP(Hybridtable[[#This Row],[Planet '#]],CargoROI[Planet '#],CargoROI[ROI])</f>
        <v/>
      </c>
      <c r="H25" s="68" t="str">
        <f>_xlfn.XLOOKUP(Hybridtable[[#This Row],[Planet '#]],CargoROI[Planet '#],CargoROI[Breakeven])</f>
        <v/>
      </c>
      <c r="I25" s="68" t="str">
        <f>_xlfn.XLOOKUP(Hybridtable[[#This Row],[Planet '#]],UnlockROI[Planet '#],UnlockROI[ROI])</f>
        <v/>
      </c>
      <c r="J25" s="68" t="str">
        <f>_xlfn.XLOOKUP(Hybridtable[[#This Row],[Planet '#]],UnlockROI[Planet '#],UnlockROI[Breakeven])</f>
        <v/>
      </c>
      <c r="K25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5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6" spans="1:18" x14ac:dyDescent="0.3">
      <c r="A26" s="16">
        <v>25</v>
      </c>
      <c r="B26" s="16" t="str">
        <f>_xlfn.XLOOKUP(Hybridtable[[#This Row],[Planet '#]],tblPlanets[Planet '#],tblPlanets[Name])</f>
        <v>Osun</v>
      </c>
      <c r="C26" s="68" t="str">
        <f>_xlfn.XLOOKUP(Hybridtable[[#This Row],[Planet '#]],MiningROItable[Planet '#],MiningROItable[ROI])</f>
        <v/>
      </c>
      <c r="D26" s="68" t="str">
        <f>_xlfn.XLOOKUP(Hybridtable[[#This Row],[Planet '#]],MiningROItable[Planet '#],MiningROItable[Breakeven])</f>
        <v/>
      </c>
      <c r="E26" s="68" t="str">
        <f>_xlfn.XLOOKUP(Hybridtable[[#This Row],[Planet '#]],SpeedROI[Planet '#],SpeedROI[ROI])</f>
        <v/>
      </c>
      <c r="F26" s="68" t="str">
        <f>_xlfn.XLOOKUP(Hybridtable[[#This Row],[Planet '#]],SpeedROI[Planet '#],SpeedROI[Breakeven])</f>
        <v/>
      </c>
      <c r="G26" s="68" t="str">
        <f>_xlfn.XLOOKUP(Hybridtable[[#This Row],[Planet '#]],CargoROI[Planet '#],CargoROI[ROI])</f>
        <v/>
      </c>
      <c r="H26" s="68" t="str">
        <f>_xlfn.XLOOKUP(Hybridtable[[#This Row],[Planet '#]],CargoROI[Planet '#],CargoROI[Breakeven])</f>
        <v/>
      </c>
      <c r="I26" s="68" t="str">
        <f>_xlfn.XLOOKUP(Hybridtable[[#This Row],[Planet '#]],UnlockROI[Planet '#],UnlockROI[ROI])</f>
        <v/>
      </c>
      <c r="J26" s="68" t="str">
        <f>_xlfn.XLOOKUP(Hybridtable[[#This Row],[Planet '#]],UnlockROI[Planet '#],UnlockROI[Breakeven])</f>
        <v/>
      </c>
      <c r="K26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6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7" spans="1:18" x14ac:dyDescent="0.3">
      <c r="A27" s="16">
        <v>26</v>
      </c>
      <c r="B27" s="16" t="str">
        <f>_xlfn.XLOOKUP(Hybridtable[[#This Row],[Planet '#]],tblPlanets[Planet '#],tblPlanets[Name])</f>
        <v>Ploitari</v>
      </c>
      <c r="C27" s="68" t="str">
        <f>_xlfn.XLOOKUP(Hybridtable[[#This Row],[Planet '#]],MiningROItable[Planet '#],MiningROItable[ROI])</f>
        <v/>
      </c>
      <c r="D27" s="68" t="str">
        <f>_xlfn.XLOOKUP(Hybridtable[[#This Row],[Planet '#]],MiningROItable[Planet '#],MiningROItable[Breakeven])</f>
        <v/>
      </c>
      <c r="E27" s="68" t="str">
        <f>_xlfn.XLOOKUP(Hybridtable[[#This Row],[Planet '#]],SpeedROI[Planet '#],SpeedROI[ROI])</f>
        <v/>
      </c>
      <c r="F27" s="68" t="str">
        <f>_xlfn.XLOOKUP(Hybridtable[[#This Row],[Planet '#]],SpeedROI[Planet '#],SpeedROI[Breakeven])</f>
        <v/>
      </c>
      <c r="G27" s="68" t="str">
        <f>_xlfn.XLOOKUP(Hybridtable[[#This Row],[Planet '#]],CargoROI[Planet '#],CargoROI[ROI])</f>
        <v/>
      </c>
      <c r="H27" s="68" t="str">
        <f>_xlfn.XLOOKUP(Hybridtable[[#This Row],[Planet '#]],CargoROI[Planet '#],CargoROI[Breakeven])</f>
        <v/>
      </c>
      <c r="I27" s="68" t="str">
        <f>_xlfn.XLOOKUP(Hybridtable[[#This Row],[Planet '#]],UnlockROI[Planet '#],UnlockROI[ROI])</f>
        <v/>
      </c>
      <c r="J27" s="68" t="str">
        <f>_xlfn.XLOOKUP(Hybridtable[[#This Row],[Planet '#]],UnlockROI[Planet '#],UnlockROI[Breakeven])</f>
        <v/>
      </c>
      <c r="K27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7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8" spans="1:18" x14ac:dyDescent="0.3">
      <c r="A28" s="16">
        <v>27</v>
      </c>
      <c r="B28" s="16" t="str">
        <f>_xlfn.XLOOKUP(Hybridtable[[#This Row],[Planet '#]],tblPlanets[Planet '#],tblPlanets[Name])</f>
        <v>Elysta</v>
      </c>
      <c r="C28" s="68" t="str">
        <f>_xlfn.XLOOKUP(Hybridtable[[#This Row],[Planet '#]],MiningROItable[Planet '#],MiningROItable[ROI])</f>
        <v/>
      </c>
      <c r="D28" s="68" t="str">
        <f>_xlfn.XLOOKUP(Hybridtable[[#This Row],[Planet '#]],MiningROItable[Planet '#],MiningROItable[Breakeven])</f>
        <v/>
      </c>
      <c r="E28" s="68" t="str">
        <f>_xlfn.XLOOKUP(Hybridtable[[#This Row],[Planet '#]],SpeedROI[Planet '#],SpeedROI[ROI])</f>
        <v/>
      </c>
      <c r="F28" s="68" t="str">
        <f>_xlfn.XLOOKUP(Hybridtable[[#This Row],[Planet '#]],SpeedROI[Planet '#],SpeedROI[Breakeven])</f>
        <v/>
      </c>
      <c r="G28" s="68" t="str">
        <f>_xlfn.XLOOKUP(Hybridtable[[#This Row],[Planet '#]],CargoROI[Planet '#],CargoROI[ROI])</f>
        <v/>
      </c>
      <c r="H28" s="68" t="str">
        <f>_xlfn.XLOOKUP(Hybridtable[[#This Row],[Planet '#]],CargoROI[Planet '#],CargoROI[Breakeven])</f>
        <v/>
      </c>
      <c r="I28" s="68" t="str">
        <f>_xlfn.XLOOKUP(Hybridtable[[#This Row],[Planet '#]],UnlockROI[Planet '#],UnlockROI[ROI])</f>
        <v/>
      </c>
      <c r="J28" s="68" t="str">
        <f>_xlfn.XLOOKUP(Hybridtable[[#This Row],[Planet '#]],UnlockROI[Planet '#],UnlockROI[Breakeven])</f>
        <v/>
      </c>
      <c r="K28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8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8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8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8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8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8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8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29" spans="1:18" x14ac:dyDescent="0.3">
      <c r="A29" s="16">
        <v>28</v>
      </c>
      <c r="B29" s="16" t="str">
        <f>_xlfn.XLOOKUP(Hybridtable[[#This Row],[Planet '#]],tblPlanets[Planet '#],tblPlanets[Name])</f>
        <v>Tikkun</v>
      </c>
      <c r="C29" s="68" t="str">
        <f>_xlfn.XLOOKUP(Hybridtable[[#This Row],[Planet '#]],MiningROItable[Planet '#],MiningROItable[ROI])</f>
        <v/>
      </c>
      <c r="D29" s="68" t="str">
        <f>_xlfn.XLOOKUP(Hybridtable[[#This Row],[Planet '#]],MiningROItable[Planet '#],MiningROItable[Breakeven])</f>
        <v/>
      </c>
      <c r="E29" s="68" t="str">
        <f>_xlfn.XLOOKUP(Hybridtable[[#This Row],[Planet '#]],SpeedROI[Planet '#],SpeedROI[ROI])</f>
        <v/>
      </c>
      <c r="F29" s="68" t="str">
        <f>_xlfn.XLOOKUP(Hybridtable[[#This Row],[Planet '#]],SpeedROI[Planet '#],SpeedROI[Breakeven])</f>
        <v/>
      </c>
      <c r="G29" s="68" t="str">
        <f>_xlfn.XLOOKUP(Hybridtable[[#This Row],[Planet '#]],CargoROI[Planet '#],CargoROI[ROI])</f>
        <v/>
      </c>
      <c r="H29" s="68" t="str">
        <f>_xlfn.XLOOKUP(Hybridtable[[#This Row],[Planet '#]],CargoROI[Planet '#],CargoROI[Breakeven])</f>
        <v/>
      </c>
      <c r="I29" s="68" t="str">
        <f>_xlfn.XLOOKUP(Hybridtable[[#This Row],[Planet '#]],UnlockROI[Planet '#],UnlockROI[ROI])</f>
        <v/>
      </c>
      <c r="J29" s="68" t="str">
        <f>_xlfn.XLOOKUP(Hybridtable[[#This Row],[Planet '#]],UnlockROI[Planet '#],UnlockROI[Breakeven])</f>
        <v/>
      </c>
      <c r="K29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29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29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29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29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29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29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29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0" spans="1:18" x14ac:dyDescent="0.3">
      <c r="A30" s="16">
        <v>29</v>
      </c>
      <c r="B30" s="16" t="str">
        <f>_xlfn.XLOOKUP(Hybridtable[[#This Row],[Planet '#]],tblPlanets[Planet '#],tblPlanets[Name])</f>
        <v>Satent</v>
      </c>
      <c r="C30" s="68" t="str">
        <f>_xlfn.XLOOKUP(Hybridtable[[#This Row],[Planet '#]],MiningROItable[Planet '#],MiningROItable[ROI])</f>
        <v/>
      </c>
      <c r="D30" s="68" t="str">
        <f>_xlfn.XLOOKUP(Hybridtable[[#This Row],[Planet '#]],MiningROItable[Planet '#],MiningROItable[Breakeven])</f>
        <v/>
      </c>
      <c r="E30" s="68" t="str">
        <f>_xlfn.XLOOKUP(Hybridtable[[#This Row],[Planet '#]],SpeedROI[Planet '#],SpeedROI[ROI])</f>
        <v/>
      </c>
      <c r="F30" s="68" t="str">
        <f>_xlfn.XLOOKUP(Hybridtable[[#This Row],[Planet '#]],SpeedROI[Planet '#],SpeedROI[Breakeven])</f>
        <v/>
      </c>
      <c r="G30" s="68" t="str">
        <f>_xlfn.XLOOKUP(Hybridtable[[#This Row],[Planet '#]],CargoROI[Planet '#],CargoROI[ROI])</f>
        <v/>
      </c>
      <c r="H30" s="68" t="str">
        <f>_xlfn.XLOOKUP(Hybridtable[[#This Row],[Planet '#]],CargoROI[Planet '#],CargoROI[Breakeven])</f>
        <v/>
      </c>
      <c r="I30" s="68" t="str">
        <f>_xlfn.XLOOKUP(Hybridtable[[#This Row],[Planet '#]],UnlockROI[Planet '#],UnlockROI[ROI])</f>
        <v/>
      </c>
      <c r="J30" s="68" t="str">
        <f>_xlfn.XLOOKUP(Hybridtable[[#This Row],[Planet '#]],UnlockROI[Planet '#],UnlockROI[Breakeven])</f>
        <v/>
      </c>
      <c r="K30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0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0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0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0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0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0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0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1" spans="1:18" x14ac:dyDescent="0.3">
      <c r="A31" s="16">
        <v>30</v>
      </c>
      <c r="B31" s="16" t="str">
        <f>_xlfn.XLOOKUP(Hybridtable[[#This Row],[Planet '#]],tblPlanets[Planet '#],tblPlanets[Name])</f>
        <v>Urla Rast</v>
      </c>
      <c r="C31" s="68" t="str">
        <f>_xlfn.XLOOKUP(Hybridtable[[#This Row],[Planet '#]],MiningROItable[Planet '#],MiningROItable[ROI])</f>
        <v/>
      </c>
      <c r="D31" s="68" t="str">
        <f>_xlfn.XLOOKUP(Hybridtable[[#This Row],[Planet '#]],MiningROItable[Planet '#],MiningROItable[Breakeven])</f>
        <v/>
      </c>
      <c r="E31" s="68" t="str">
        <f>_xlfn.XLOOKUP(Hybridtable[[#This Row],[Planet '#]],SpeedROI[Planet '#],SpeedROI[ROI])</f>
        <v/>
      </c>
      <c r="F31" s="68" t="str">
        <f>_xlfn.XLOOKUP(Hybridtable[[#This Row],[Planet '#]],SpeedROI[Planet '#],SpeedROI[Breakeven])</f>
        <v/>
      </c>
      <c r="G31" s="68" t="str">
        <f>_xlfn.XLOOKUP(Hybridtable[[#This Row],[Planet '#]],CargoROI[Planet '#],CargoROI[ROI])</f>
        <v/>
      </c>
      <c r="H31" s="68" t="str">
        <f>_xlfn.XLOOKUP(Hybridtable[[#This Row],[Planet '#]],CargoROI[Planet '#],CargoROI[Breakeven])</f>
        <v/>
      </c>
      <c r="I31" s="68" t="str">
        <f>_xlfn.XLOOKUP(Hybridtable[[#This Row],[Planet '#]],UnlockROI[Planet '#],UnlockROI[ROI])</f>
        <v/>
      </c>
      <c r="J31" s="68" t="str">
        <f>_xlfn.XLOOKUP(Hybridtable[[#This Row],[Planet '#]],UnlockROI[Planet '#],UnlockROI[Breakeven])</f>
        <v/>
      </c>
      <c r="K31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1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1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1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1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1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1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1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2" spans="1:18" x14ac:dyDescent="0.3">
      <c r="A32" s="16">
        <v>31</v>
      </c>
      <c r="B32" s="16" t="str">
        <f>_xlfn.XLOOKUP(Hybridtable[[#This Row],[Planet '#]],tblPlanets[Planet '#],tblPlanets[Name])</f>
        <v>Vular</v>
      </c>
      <c r="C32" s="68" t="str">
        <f>_xlfn.XLOOKUP(Hybridtable[[#This Row],[Planet '#]],MiningROItable[Planet '#],MiningROItable[ROI])</f>
        <v/>
      </c>
      <c r="D32" s="68" t="str">
        <f>_xlfn.XLOOKUP(Hybridtable[[#This Row],[Planet '#]],MiningROItable[Planet '#],MiningROItable[Breakeven])</f>
        <v/>
      </c>
      <c r="E32" s="68" t="str">
        <f>_xlfn.XLOOKUP(Hybridtable[[#This Row],[Planet '#]],SpeedROI[Planet '#],SpeedROI[ROI])</f>
        <v/>
      </c>
      <c r="F32" s="68" t="str">
        <f>_xlfn.XLOOKUP(Hybridtable[[#This Row],[Planet '#]],SpeedROI[Planet '#],SpeedROI[Breakeven])</f>
        <v/>
      </c>
      <c r="G32" s="68" t="str">
        <f>_xlfn.XLOOKUP(Hybridtable[[#This Row],[Planet '#]],CargoROI[Planet '#],CargoROI[ROI])</f>
        <v/>
      </c>
      <c r="H32" s="68" t="str">
        <f>_xlfn.XLOOKUP(Hybridtable[[#This Row],[Planet '#]],CargoROI[Planet '#],CargoROI[Breakeven])</f>
        <v/>
      </c>
      <c r="I32" s="68" t="str">
        <f>_xlfn.XLOOKUP(Hybridtable[[#This Row],[Planet '#]],UnlockROI[Planet '#],UnlockROI[ROI])</f>
        <v/>
      </c>
      <c r="J32" s="68" t="str">
        <f>_xlfn.XLOOKUP(Hybridtable[[#This Row],[Planet '#]],UnlockROI[Planet '#],UnlockROI[Breakeven])</f>
        <v/>
      </c>
      <c r="K32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2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3" spans="1:18" x14ac:dyDescent="0.3">
      <c r="A33" s="16">
        <v>32</v>
      </c>
      <c r="B33" s="16" t="str">
        <f>_xlfn.XLOOKUP(Hybridtable[[#This Row],[Planet '#]],tblPlanets[Planet '#],tblPlanets[Name])</f>
        <v>Nibiru</v>
      </c>
      <c r="C33" s="68" t="str">
        <f>_xlfn.XLOOKUP(Hybridtable[[#This Row],[Planet '#]],MiningROItable[Planet '#],MiningROItable[ROI])</f>
        <v/>
      </c>
      <c r="D33" s="68" t="str">
        <f>_xlfn.XLOOKUP(Hybridtable[[#This Row],[Planet '#]],MiningROItable[Planet '#],MiningROItable[Breakeven])</f>
        <v/>
      </c>
      <c r="E33" s="68" t="str">
        <f>_xlfn.XLOOKUP(Hybridtable[[#This Row],[Planet '#]],SpeedROI[Planet '#],SpeedROI[ROI])</f>
        <v/>
      </c>
      <c r="F33" s="68" t="str">
        <f>_xlfn.XLOOKUP(Hybridtable[[#This Row],[Planet '#]],SpeedROI[Planet '#],SpeedROI[Breakeven])</f>
        <v/>
      </c>
      <c r="G33" s="68" t="str">
        <f>_xlfn.XLOOKUP(Hybridtable[[#This Row],[Planet '#]],CargoROI[Planet '#],CargoROI[ROI])</f>
        <v/>
      </c>
      <c r="H33" s="68" t="str">
        <f>_xlfn.XLOOKUP(Hybridtable[[#This Row],[Planet '#]],CargoROI[Planet '#],CargoROI[Breakeven])</f>
        <v/>
      </c>
      <c r="I33" s="68" t="str">
        <f>_xlfn.XLOOKUP(Hybridtable[[#This Row],[Planet '#]],UnlockROI[Planet '#],UnlockROI[ROI])</f>
        <v/>
      </c>
      <c r="J33" s="68" t="str">
        <f>_xlfn.XLOOKUP(Hybridtable[[#This Row],[Planet '#]],UnlockROI[Planet '#],UnlockROI[Breakeven])</f>
        <v/>
      </c>
      <c r="K33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3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4" spans="1:18" x14ac:dyDescent="0.3">
      <c r="A34" s="16">
        <v>33</v>
      </c>
      <c r="B34" s="16" t="str">
        <f>_xlfn.XLOOKUP(Hybridtable[[#This Row],[Planet '#]],tblPlanets[Planet '#],tblPlanets[Name])</f>
        <v>Xena</v>
      </c>
      <c r="C34" s="68" t="str">
        <f>_xlfn.XLOOKUP(Hybridtable[[#This Row],[Planet '#]],MiningROItable[Planet '#],MiningROItable[ROI])</f>
        <v/>
      </c>
      <c r="D34" s="68" t="str">
        <f>_xlfn.XLOOKUP(Hybridtable[[#This Row],[Planet '#]],MiningROItable[Planet '#],MiningROItable[Breakeven])</f>
        <v/>
      </c>
      <c r="E34" s="68" t="str">
        <f>_xlfn.XLOOKUP(Hybridtable[[#This Row],[Planet '#]],SpeedROI[Planet '#],SpeedROI[ROI])</f>
        <v/>
      </c>
      <c r="F34" s="68" t="str">
        <f>_xlfn.XLOOKUP(Hybridtable[[#This Row],[Planet '#]],SpeedROI[Planet '#],SpeedROI[Breakeven])</f>
        <v/>
      </c>
      <c r="G34" s="68" t="str">
        <f>_xlfn.XLOOKUP(Hybridtable[[#This Row],[Planet '#]],CargoROI[Planet '#],CargoROI[ROI])</f>
        <v/>
      </c>
      <c r="H34" s="68" t="str">
        <f>_xlfn.XLOOKUP(Hybridtable[[#This Row],[Planet '#]],CargoROI[Planet '#],CargoROI[Breakeven])</f>
        <v/>
      </c>
      <c r="I34" s="68" t="str">
        <f>_xlfn.XLOOKUP(Hybridtable[[#This Row],[Planet '#]],UnlockROI[Planet '#],UnlockROI[ROI])</f>
        <v/>
      </c>
      <c r="J34" s="68" t="str">
        <f>_xlfn.XLOOKUP(Hybridtable[[#This Row],[Planet '#]],UnlockROI[Planet '#],UnlockROI[Breakeven])</f>
        <v/>
      </c>
      <c r="K34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4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5" spans="1:18" x14ac:dyDescent="0.3">
      <c r="A35" s="16">
        <v>34</v>
      </c>
      <c r="B35" s="16" t="str">
        <f>_xlfn.XLOOKUP(Hybridtable[[#This Row],[Planet '#]],tblPlanets[Planet '#],tblPlanets[Name])</f>
        <v>Rupert</v>
      </c>
      <c r="C35" s="68" t="str">
        <f>_xlfn.XLOOKUP(Hybridtable[[#This Row],[Planet '#]],MiningROItable[Planet '#],MiningROItable[ROI])</f>
        <v/>
      </c>
      <c r="D35" s="68" t="str">
        <f>_xlfn.XLOOKUP(Hybridtable[[#This Row],[Planet '#]],MiningROItable[Planet '#],MiningROItable[Breakeven])</f>
        <v/>
      </c>
      <c r="E35" s="68" t="str">
        <f>_xlfn.XLOOKUP(Hybridtable[[#This Row],[Planet '#]],SpeedROI[Planet '#],SpeedROI[ROI])</f>
        <v/>
      </c>
      <c r="F35" s="68" t="str">
        <f>_xlfn.XLOOKUP(Hybridtable[[#This Row],[Planet '#]],SpeedROI[Planet '#],SpeedROI[Breakeven])</f>
        <v/>
      </c>
      <c r="G35" s="68" t="str">
        <f>_xlfn.XLOOKUP(Hybridtable[[#This Row],[Planet '#]],CargoROI[Planet '#],CargoROI[ROI])</f>
        <v/>
      </c>
      <c r="H35" s="68" t="str">
        <f>_xlfn.XLOOKUP(Hybridtable[[#This Row],[Planet '#]],CargoROI[Planet '#],CargoROI[Breakeven])</f>
        <v/>
      </c>
      <c r="I35" s="68" t="str">
        <f>_xlfn.XLOOKUP(Hybridtable[[#This Row],[Planet '#]],UnlockROI[Planet '#],UnlockROI[ROI])</f>
        <v/>
      </c>
      <c r="J35" s="68" t="str">
        <f>_xlfn.XLOOKUP(Hybridtable[[#This Row],[Planet '#]],UnlockROI[Planet '#],UnlockROI[Breakeven])</f>
        <v/>
      </c>
      <c r="K35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5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6" spans="1:18" x14ac:dyDescent="0.3">
      <c r="A36" s="16">
        <v>35</v>
      </c>
      <c r="B36" s="16" t="str">
        <f>_xlfn.XLOOKUP(Hybridtable[[#This Row],[Planet '#]],tblPlanets[Planet '#],tblPlanets[Name])</f>
        <v>Pax</v>
      </c>
      <c r="C36" s="68" t="str">
        <f>_xlfn.XLOOKUP(Hybridtable[[#This Row],[Planet '#]],MiningROItable[Planet '#],MiningROItable[ROI])</f>
        <v/>
      </c>
      <c r="D36" s="68" t="str">
        <f>_xlfn.XLOOKUP(Hybridtable[[#This Row],[Planet '#]],MiningROItable[Planet '#],MiningROItable[Breakeven])</f>
        <v/>
      </c>
      <c r="E36" s="68" t="str">
        <f>_xlfn.XLOOKUP(Hybridtable[[#This Row],[Planet '#]],SpeedROI[Planet '#],SpeedROI[ROI])</f>
        <v/>
      </c>
      <c r="F36" s="68" t="str">
        <f>_xlfn.XLOOKUP(Hybridtable[[#This Row],[Planet '#]],SpeedROI[Planet '#],SpeedROI[Breakeven])</f>
        <v/>
      </c>
      <c r="G36" s="68" t="str">
        <f>_xlfn.XLOOKUP(Hybridtable[[#This Row],[Planet '#]],CargoROI[Planet '#],CargoROI[ROI])</f>
        <v/>
      </c>
      <c r="H36" s="68" t="str">
        <f>_xlfn.XLOOKUP(Hybridtable[[#This Row],[Planet '#]],CargoROI[Planet '#],CargoROI[Breakeven])</f>
        <v/>
      </c>
      <c r="I36" s="68" t="str">
        <f>_xlfn.XLOOKUP(Hybridtable[[#This Row],[Planet '#]],UnlockROI[Planet '#],UnlockROI[ROI])</f>
        <v/>
      </c>
      <c r="J36" s="68" t="str">
        <f>_xlfn.XLOOKUP(Hybridtable[[#This Row],[Planet '#]],UnlockROI[Planet '#],UnlockROI[Breakeven])</f>
        <v/>
      </c>
      <c r="K36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6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7" spans="1:18" x14ac:dyDescent="0.3">
      <c r="A37" s="16">
        <v>36</v>
      </c>
      <c r="B37" s="16" t="str">
        <f>_xlfn.XLOOKUP(Hybridtable[[#This Row],[Planet '#]],tblPlanets[Planet '#],tblPlanets[Name])</f>
        <v>Ivyra</v>
      </c>
      <c r="C37" s="68" t="str">
        <f>_xlfn.XLOOKUP(Hybridtable[[#This Row],[Planet '#]],MiningROItable[Planet '#],MiningROItable[ROI])</f>
        <v/>
      </c>
      <c r="D37" s="68" t="str">
        <f>_xlfn.XLOOKUP(Hybridtable[[#This Row],[Planet '#]],MiningROItable[Planet '#],MiningROItable[Breakeven])</f>
        <v/>
      </c>
      <c r="E37" s="68" t="str">
        <f>_xlfn.XLOOKUP(Hybridtable[[#This Row],[Planet '#]],SpeedROI[Planet '#],SpeedROI[ROI])</f>
        <v/>
      </c>
      <c r="F37" s="68" t="str">
        <f>_xlfn.XLOOKUP(Hybridtable[[#This Row],[Planet '#]],SpeedROI[Planet '#],SpeedROI[Breakeven])</f>
        <v/>
      </c>
      <c r="G37" s="68" t="str">
        <f>_xlfn.XLOOKUP(Hybridtable[[#This Row],[Planet '#]],CargoROI[Planet '#],CargoROI[ROI])</f>
        <v/>
      </c>
      <c r="H37" s="68" t="str">
        <f>_xlfn.XLOOKUP(Hybridtable[[#This Row],[Planet '#]],CargoROI[Planet '#],CargoROI[Breakeven])</f>
        <v/>
      </c>
      <c r="I37" s="68" t="str">
        <f>_xlfn.XLOOKUP(Hybridtable[[#This Row],[Planet '#]],UnlockROI[Planet '#],UnlockROI[ROI])</f>
        <v/>
      </c>
      <c r="J37" s="68" t="str">
        <f>_xlfn.XLOOKUP(Hybridtable[[#This Row],[Planet '#]],UnlockROI[Planet '#],UnlockROI[Breakeven])</f>
        <v/>
      </c>
      <c r="K37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7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8" spans="1:18" x14ac:dyDescent="0.3">
      <c r="A38" s="16">
        <v>37</v>
      </c>
      <c r="B38" s="16" t="str">
        <f>_xlfn.XLOOKUP(Hybridtable[[#This Row],[Planet '#]],tblPlanets[Planet '#],tblPlanets[Name])</f>
        <v>Utritis</v>
      </c>
      <c r="C38" s="68" t="str">
        <f>_xlfn.XLOOKUP(Hybridtable[[#This Row],[Planet '#]],MiningROItable[Planet '#],MiningROItable[ROI])</f>
        <v/>
      </c>
      <c r="D38" s="68" t="str">
        <f>_xlfn.XLOOKUP(Hybridtable[[#This Row],[Planet '#]],MiningROItable[Planet '#],MiningROItable[Breakeven])</f>
        <v/>
      </c>
      <c r="E38" s="68" t="str">
        <f>_xlfn.XLOOKUP(Hybridtable[[#This Row],[Planet '#]],SpeedROI[Planet '#],SpeedROI[ROI])</f>
        <v/>
      </c>
      <c r="F38" s="68" t="str">
        <f>_xlfn.XLOOKUP(Hybridtable[[#This Row],[Planet '#]],SpeedROI[Planet '#],SpeedROI[Breakeven])</f>
        <v/>
      </c>
      <c r="G38" s="68" t="str">
        <f>_xlfn.XLOOKUP(Hybridtable[[#This Row],[Planet '#]],CargoROI[Planet '#],CargoROI[ROI])</f>
        <v/>
      </c>
      <c r="H38" s="68" t="str">
        <f>_xlfn.XLOOKUP(Hybridtable[[#This Row],[Planet '#]],CargoROI[Planet '#],CargoROI[Breakeven])</f>
        <v/>
      </c>
      <c r="I38" s="68" t="str">
        <f>_xlfn.XLOOKUP(Hybridtable[[#This Row],[Planet '#]],UnlockROI[Planet '#],UnlockROI[ROI])</f>
        <v/>
      </c>
      <c r="J38" s="68" t="str">
        <f>_xlfn.XLOOKUP(Hybridtable[[#This Row],[Planet '#]],UnlockROI[Planet '#],UnlockROI[Breakeven])</f>
        <v/>
      </c>
      <c r="K38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8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8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8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8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8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8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8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39" spans="1:18" x14ac:dyDescent="0.3">
      <c r="A39" s="16">
        <v>38</v>
      </c>
      <c r="B39" s="16" t="str">
        <f>_xlfn.XLOOKUP(Hybridtable[[#This Row],[Planet '#]],tblPlanets[Planet '#],tblPlanets[Name])</f>
        <v>Dosie</v>
      </c>
      <c r="C39" s="68" t="str">
        <f>_xlfn.XLOOKUP(Hybridtable[[#This Row],[Planet '#]],MiningROItable[Planet '#],MiningROItable[ROI])</f>
        <v/>
      </c>
      <c r="D39" s="68" t="str">
        <f>_xlfn.XLOOKUP(Hybridtable[[#This Row],[Planet '#]],MiningROItable[Planet '#],MiningROItable[Breakeven])</f>
        <v/>
      </c>
      <c r="E39" s="68" t="str">
        <f>_xlfn.XLOOKUP(Hybridtable[[#This Row],[Planet '#]],SpeedROI[Planet '#],SpeedROI[ROI])</f>
        <v/>
      </c>
      <c r="F39" s="68" t="str">
        <f>_xlfn.XLOOKUP(Hybridtable[[#This Row],[Planet '#]],SpeedROI[Planet '#],SpeedROI[Breakeven])</f>
        <v/>
      </c>
      <c r="G39" s="68" t="str">
        <f>_xlfn.XLOOKUP(Hybridtable[[#This Row],[Planet '#]],CargoROI[Planet '#],CargoROI[ROI])</f>
        <v/>
      </c>
      <c r="H39" s="68" t="str">
        <f>_xlfn.XLOOKUP(Hybridtable[[#This Row],[Planet '#]],CargoROI[Planet '#],CargoROI[Breakeven])</f>
        <v/>
      </c>
      <c r="I39" s="68" t="str">
        <f>_xlfn.XLOOKUP(Hybridtable[[#This Row],[Planet '#]],UnlockROI[Planet '#],UnlockROI[ROI])</f>
        <v/>
      </c>
      <c r="J39" s="68" t="str">
        <f>_xlfn.XLOOKUP(Hybridtable[[#This Row],[Planet '#]],UnlockROI[Planet '#],UnlockROI[Breakeven])</f>
        <v/>
      </c>
      <c r="K39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39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39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39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39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39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39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39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0" spans="1:18" x14ac:dyDescent="0.3">
      <c r="A40" s="16">
        <v>39</v>
      </c>
      <c r="B40" s="16" t="str">
        <f>_xlfn.XLOOKUP(Hybridtable[[#This Row],[Planet '#]],tblPlanets[Planet '#],tblPlanets[Name])</f>
        <v>Zulu</v>
      </c>
      <c r="C40" s="68" t="str">
        <f>_xlfn.XLOOKUP(Hybridtable[[#This Row],[Planet '#]],MiningROItable[Planet '#],MiningROItable[ROI])</f>
        <v/>
      </c>
      <c r="D40" s="68" t="str">
        <f>_xlfn.XLOOKUP(Hybridtable[[#This Row],[Planet '#]],MiningROItable[Planet '#],MiningROItable[Breakeven])</f>
        <v/>
      </c>
      <c r="E40" s="68" t="str">
        <f>_xlfn.XLOOKUP(Hybridtable[[#This Row],[Planet '#]],SpeedROI[Planet '#],SpeedROI[ROI])</f>
        <v/>
      </c>
      <c r="F40" s="68" t="str">
        <f>_xlfn.XLOOKUP(Hybridtable[[#This Row],[Planet '#]],SpeedROI[Planet '#],SpeedROI[Breakeven])</f>
        <v/>
      </c>
      <c r="G40" s="68" t="str">
        <f>_xlfn.XLOOKUP(Hybridtable[[#This Row],[Planet '#]],CargoROI[Planet '#],CargoROI[ROI])</f>
        <v/>
      </c>
      <c r="H40" s="68" t="str">
        <f>_xlfn.XLOOKUP(Hybridtable[[#This Row],[Planet '#]],CargoROI[Planet '#],CargoROI[Breakeven])</f>
        <v/>
      </c>
      <c r="I40" s="68" t="str">
        <f>_xlfn.XLOOKUP(Hybridtable[[#This Row],[Planet '#]],UnlockROI[Planet '#],UnlockROI[ROI])</f>
        <v/>
      </c>
      <c r="J40" s="68" t="str">
        <f>_xlfn.XLOOKUP(Hybridtable[[#This Row],[Planet '#]],UnlockROI[Planet '#],UnlockROI[Breakeven])</f>
        <v/>
      </c>
      <c r="K40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0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0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0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0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0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0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0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1" spans="1:18" x14ac:dyDescent="0.3">
      <c r="A41" s="16">
        <v>40</v>
      </c>
      <c r="B41" s="16" t="str">
        <f>_xlfn.XLOOKUP(Hybridtable[[#This Row],[Planet '#]],tblPlanets[Planet '#],tblPlanets[Name])</f>
        <v>Unicae</v>
      </c>
      <c r="C41" s="68" t="str">
        <f>_xlfn.XLOOKUP(Hybridtable[[#This Row],[Planet '#]],MiningROItable[Planet '#],MiningROItable[ROI])</f>
        <v/>
      </c>
      <c r="D41" s="68" t="str">
        <f>_xlfn.XLOOKUP(Hybridtable[[#This Row],[Planet '#]],MiningROItable[Planet '#],MiningROItable[Breakeven])</f>
        <v/>
      </c>
      <c r="E41" s="68" t="str">
        <f>_xlfn.XLOOKUP(Hybridtable[[#This Row],[Planet '#]],SpeedROI[Planet '#],SpeedROI[ROI])</f>
        <v/>
      </c>
      <c r="F41" s="68" t="str">
        <f>_xlfn.XLOOKUP(Hybridtable[[#This Row],[Planet '#]],SpeedROI[Planet '#],SpeedROI[Breakeven])</f>
        <v/>
      </c>
      <c r="G41" s="68" t="str">
        <f>_xlfn.XLOOKUP(Hybridtable[[#This Row],[Planet '#]],CargoROI[Planet '#],CargoROI[ROI])</f>
        <v/>
      </c>
      <c r="H41" s="68" t="str">
        <f>_xlfn.XLOOKUP(Hybridtable[[#This Row],[Planet '#]],CargoROI[Planet '#],CargoROI[Breakeven])</f>
        <v/>
      </c>
      <c r="I41" s="68" t="str">
        <f>_xlfn.XLOOKUP(Hybridtable[[#This Row],[Planet '#]],UnlockROI[Planet '#],UnlockROI[ROI])</f>
        <v/>
      </c>
      <c r="J41" s="68" t="str">
        <f>_xlfn.XLOOKUP(Hybridtable[[#This Row],[Planet '#]],UnlockROI[Planet '#],UnlockROI[Breakeven])</f>
        <v/>
      </c>
      <c r="K41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1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1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1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1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1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1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1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2" spans="1:18" x14ac:dyDescent="0.3">
      <c r="A42" s="16">
        <v>41</v>
      </c>
      <c r="B42" s="16" t="str">
        <f>_xlfn.XLOOKUP(Hybridtable[[#This Row],[Planet '#]],tblPlanets[Planet '#],tblPlanets[Name])</f>
        <v>Dune</v>
      </c>
      <c r="C42" s="68" t="str">
        <f>_xlfn.XLOOKUP(Hybridtable[[#This Row],[Planet '#]],MiningROItable[Planet '#],MiningROItable[ROI])</f>
        <v/>
      </c>
      <c r="D42" s="68" t="str">
        <f>_xlfn.XLOOKUP(Hybridtable[[#This Row],[Planet '#]],MiningROItable[Planet '#],MiningROItable[Breakeven])</f>
        <v/>
      </c>
      <c r="E42" s="68" t="str">
        <f>_xlfn.XLOOKUP(Hybridtable[[#This Row],[Planet '#]],SpeedROI[Planet '#],SpeedROI[ROI])</f>
        <v/>
      </c>
      <c r="F42" s="68" t="str">
        <f>_xlfn.XLOOKUP(Hybridtable[[#This Row],[Planet '#]],SpeedROI[Planet '#],SpeedROI[Breakeven])</f>
        <v/>
      </c>
      <c r="G42" s="68" t="str">
        <f>_xlfn.XLOOKUP(Hybridtable[[#This Row],[Planet '#]],CargoROI[Planet '#],CargoROI[ROI])</f>
        <v/>
      </c>
      <c r="H42" s="68" t="str">
        <f>_xlfn.XLOOKUP(Hybridtable[[#This Row],[Planet '#]],CargoROI[Planet '#],CargoROI[Breakeven])</f>
        <v/>
      </c>
      <c r="I42" s="68" t="str">
        <f>_xlfn.XLOOKUP(Hybridtable[[#This Row],[Planet '#]],UnlockROI[Planet '#],UnlockROI[ROI])</f>
        <v/>
      </c>
      <c r="J42" s="68" t="str">
        <f>_xlfn.XLOOKUP(Hybridtable[[#This Row],[Planet '#]],UnlockROI[Planet '#],UnlockROI[Breakeven])</f>
        <v/>
      </c>
      <c r="K42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2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3" spans="1:18" x14ac:dyDescent="0.3">
      <c r="A43" s="16">
        <v>42</v>
      </c>
      <c r="B43" s="16" t="str">
        <f>_xlfn.XLOOKUP(Hybridtable[[#This Row],[Planet '#]],tblPlanets[Planet '#],tblPlanets[Name])</f>
        <v>Naraka</v>
      </c>
      <c r="C43" s="68" t="str">
        <f>_xlfn.XLOOKUP(Hybridtable[[#This Row],[Planet '#]],MiningROItable[Planet '#],MiningROItable[ROI])</f>
        <v/>
      </c>
      <c r="D43" s="68" t="str">
        <f>_xlfn.XLOOKUP(Hybridtable[[#This Row],[Planet '#]],MiningROItable[Planet '#],MiningROItable[Breakeven])</f>
        <v/>
      </c>
      <c r="E43" s="68" t="str">
        <f>_xlfn.XLOOKUP(Hybridtable[[#This Row],[Planet '#]],SpeedROI[Planet '#],SpeedROI[ROI])</f>
        <v/>
      </c>
      <c r="F43" s="68" t="str">
        <f>_xlfn.XLOOKUP(Hybridtable[[#This Row],[Planet '#]],SpeedROI[Planet '#],SpeedROI[Breakeven])</f>
        <v/>
      </c>
      <c r="G43" s="68" t="str">
        <f>_xlfn.XLOOKUP(Hybridtable[[#This Row],[Planet '#]],CargoROI[Planet '#],CargoROI[ROI])</f>
        <v/>
      </c>
      <c r="H43" s="68" t="str">
        <f>_xlfn.XLOOKUP(Hybridtable[[#This Row],[Planet '#]],CargoROI[Planet '#],CargoROI[Breakeven])</f>
        <v/>
      </c>
      <c r="I43" s="68" t="str">
        <f>_xlfn.XLOOKUP(Hybridtable[[#This Row],[Planet '#]],UnlockROI[Planet '#],UnlockROI[ROI])</f>
        <v/>
      </c>
      <c r="J43" s="68" t="str">
        <f>_xlfn.XLOOKUP(Hybridtable[[#This Row],[Planet '#]],UnlockROI[Planet '#],UnlockROI[Breakeven])</f>
        <v/>
      </c>
      <c r="K43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3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4" spans="1:18" x14ac:dyDescent="0.3">
      <c r="A44" s="16">
        <v>43</v>
      </c>
      <c r="B44" s="16" t="str">
        <f>_xlfn.XLOOKUP(Hybridtable[[#This Row],[Planet '#]],tblPlanets[Planet '#],tblPlanets[Name])</f>
        <v>Daedalus</v>
      </c>
      <c r="C44" s="68" t="str">
        <f>_xlfn.XLOOKUP(Hybridtable[[#This Row],[Planet '#]],MiningROItable[Planet '#],MiningROItable[ROI])</f>
        <v/>
      </c>
      <c r="D44" s="68" t="str">
        <f>_xlfn.XLOOKUP(Hybridtable[[#This Row],[Planet '#]],MiningROItable[Planet '#],MiningROItable[Breakeven])</f>
        <v/>
      </c>
      <c r="E44" s="68" t="str">
        <f>_xlfn.XLOOKUP(Hybridtable[[#This Row],[Planet '#]],SpeedROI[Planet '#],SpeedROI[ROI])</f>
        <v/>
      </c>
      <c r="F44" s="68" t="str">
        <f>_xlfn.XLOOKUP(Hybridtable[[#This Row],[Planet '#]],SpeedROI[Planet '#],SpeedROI[Breakeven])</f>
        <v/>
      </c>
      <c r="G44" s="68" t="str">
        <f>_xlfn.XLOOKUP(Hybridtable[[#This Row],[Planet '#]],CargoROI[Planet '#],CargoROI[ROI])</f>
        <v/>
      </c>
      <c r="H44" s="68" t="str">
        <f>_xlfn.XLOOKUP(Hybridtable[[#This Row],[Planet '#]],CargoROI[Planet '#],CargoROI[Breakeven])</f>
        <v/>
      </c>
      <c r="I44" s="68" t="str">
        <f>_xlfn.XLOOKUP(Hybridtable[[#This Row],[Planet '#]],UnlockROI[Planet '#],UnlockROI[ROI])</f>
        <v/>
      </c>
      <c r="J44" s="68" t="str">
        <f>_xlfn.XLOOKUP(Hybridtable[[#This Row],[Planet '#]],UnlockROI[Planet '#],UnlockROI[Breakeven])</f>
        <v/>
      </c>
      <c r="K44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4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5" spans="1:18" x14ac:dyDescent="0.3">
      <c r="A45" s="16">
        <v>44</v>
      </c>
      <c r="B45" s="16" t="str">
        <f>_xlfn.XLOOKUP(Hybridtable[[#This Row],[Planet '#]],tblPlanets[Planet '#],tblPlanets[Name])</f>
        <v>Clovis</v>
      </c>
      <c r="C45" s="68" t="str">
        <f>_xlfn.XLOOKUP(Hybridtable[[#This Row],[Planet '#]],MiningROItable[Planet '#],MiningROItable[ROI])</f>
        <v/>
      </c>
      <c r="D45" s="68" t="str">
        <f>_xlfn.XLOOKUP(Hybridtable[[#This Row],[Planet '#]],MiningROItable[Planet '#],MiningROItable[Breakeven])</f>
        <v/>
      </c>
      <c r="E45" s="68" t="str">
        <f>_xlfn.XLOOKUP(Hybridtable[[#This Row],[Planet '#]],SpeedROI[Planet '#],SpeedROI[ROI])</f>
        <v/>
      </c>
      <c r="F45" s="68" t="str">
        <f>_xlfn.XLOOKUP(Hybridtable[[#This Row],[Planet '#]],SpeedROI[Planet '#],SpeedROI[Breakeven])</f>
        <v/>
      </c>
      <c r="G45" s="68" t="str">
        <f>_xlfn.XLOOKUP(Hybridtable[[#This Row],[Planet '#]],CargoROI[Planet '#],CargoROI[ROI])</f>
        <v/>
      </c>
      <c r="H45" s="68" t="str">
        <f>_xlfn.XLOOKUP(Hybridtable[[#This Row],[Planet '#]],CargoROI[Planet '#],CargoROI[Breakeven])</f>
        <v/>
      </c>
      <c r="I45" s="68" t="str">
        <f>_xlfn.XLOOKUP(Hybridtable[[#This Row],[Planet '#]],UnlockROI[Planet '#],UnlockROI[ROI])</f>
        <v/>
      </c>
      <c r="J45" s="68" t="str">
        <f>_xlfn.XLOOKUP(Hybridtable[[#This Row],[Planet '#]],UnlockROI[Planet '#],UnlockROI[Breakeven])</f>
        <v/>
      </c>
      <c r="K45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5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6" spans="1:18" x14ac:dyDescent="0.3">
      <c r="A46" s="16">
        <v>45</v>
      </c>
      <c r="B46" s="16" t="str">
        <f>_xlfn.XLOOKUP(Hybridtable[[#This Row],[Planet '#]],tblPlanets[Planet '#],tblPlanets[Name])</f>
        <v>Zero</v>
      </c>
      <c r="C46" s="68" t="str">
        <f>_xlfn.XLOOKUP(Hybridtable[[#This Row],[Planet '#]],MiningROItable[Planet '#],MiningROItable[ROI])</f>
        <v/>
      </c>
      <c r="D46" s="68" t="str">
        <f>_xlfn.XLOOKUP(Hybridtable[[#This Row],[Planet '#]],MiningROItable[Planet '#],MiningROItable[Breakeven])</f>
        <v/>
      </c>
      <c r="E46" s="68" t="str">
        <f>_xlfn.XLOOKUP(Hybridtable[[#This Row],[Planet '#]],SpeedROI[Planet '#],SpeedROI[ROI])</f>
        <v/>
      </c>
      <c r="F46" s="68" t="str">
        <f>_xlfn.XLOOKUP(Hybridtable[[#This Row],[Planet '#]],SpeedROI[Planet '#],SpeedROI[Breakeven])</f>
        <v/>
      </c>
      <c r="G46" s="68" t="str">
        <f>_xlfn.XLOOKUP(Hybridtable[[#This Row],[Planet '#]],CargoROI[Planet '#],CargoROI[ROI])</f>
        <v/>
      </c>
      <c r="H46" s="68" t="str">
        <f>_xlfn.XLOOKUP(Hybridtable[[#This Row],[Planet '#]],CargoROI[Planet '#],CargoROI[Breakeven])</f>
        <v/>
      </c>
      <c r="I46" s="68" t="str">
        <f>_xlfn.XLOOKUP(Hybridtable[[#This Row],[Planet '#]],UnlockROI[Planet '#],UnlockROI[ROI])</f>
        <v/>
      </c>
      <c r="J46" s="68" t="str">
        <f>_xlfn.XLOOKUP(Hybridtable[[#This Row],[Planet '#]],UnlockROI[Planet '#],UnlockROI[Breakeven])</f>
        <v/>
      </c>
      <c r="K46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6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7" spans="1:18" x14ac:dyDescent="0.3">
      <c r="A47" s="16">
        <v>46</v>
      </c>
      <c r="B47" s="16" t="str">
        <f>_xlfn.XLOOKUP(Hybridtable[[#This Row],[Planet '#]],tblPlanets[Planet '#],tblPlanets[Name])</f>
        <v>Sotomi</v>
      </c>
      <c r="C47" s="68" t="str">
        <f>_xlfn.XLOOKUP(Hybridtable[[#This Row],[Planet '#]],MiningROItable[Planet '#],MiningROItable[ROI])</f>
        <v/>
      </c>
      <c r="D47" s="68" t="str">
        <f>_xlfn.XLOOKUP(Hybridtable[[#This Row],[Planet '#]],MiningROItable[Planet '#],MiningROItable[Breakeven])</f>
        <v/>
      </c>
      <c r="E47" s="68" t="str">
        <f>_xlfn.XLOOKUP(Hybridtable[[#This Row],[Planet '#]],SpeedROI[Planet '#],SpeedROI[ROI])</f>
        <v/>
      </c>
      <c r="F47" s="68" t="str">
        <f>_xlfn.XLOOKUP(Hybridtable[[#This Row],[Planet '#]],SpeedROI[Planet '#],SpeedROI[Breakeven])</f>
        <v/>
      </c>
      <c r="G47" s="68" t="str">
        <f>_xlfn.XLOOKUP(Hybridtable[[#This Row],[Planet '#]],CargoROI[Planet '#],CargoROI[ROI])</f>
        <v/>
      </c>
      <c r="H47" s="68" t="str">
        <f>_xlfn.XLOOKUP(Hybridtable[[#This Row],[Planet '#]],CargoROI[Planet '#],CargoROI[Breakeven])</f>
        <v/>
      </c>
      <c r="I47" s="68" t="str">
        <f>_xlfn.XLOOKUP(Hybridtable[[#This Row],[Planet '#]],UnlockROI[Planet '#],UnlockROI[ROI])</f>
        <v/>
      </c>
      <c r="J47" s="68" t="str">
        <f>_xlfn.XLOOKUP(Hybridtable[[#This Row],[Planet '#]],UnlockROI[Planet '#],UnlockROI[Breakeven])</f>
        <v/>
      </c>
      <c r="K47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7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8" spans="1:18" x14ac:dyDescent="0.3">
      <c r="A48" s="16">
        <v>47</v>
      </c>
      <c r="B48" s="16" t="str">
        <f>_xlfn.XLOOKUP(Hybridtable[[#This Row],[Planet '#]],tblPlanets[Planet '#],tblPlanets[Name])</f>
        <v>Remidian</v>
      </c>
      <c r="C48" s="68" t="str">
        <f>_xlfn.XLOOKUP(Hybridtable[[#This Row],[Planet '#]],MiningROItable[Planet '#],MiningROItable[ROI])</f>
        <v/>
      </c>
      <c r="D48" s="68" t="str">
        <f>_xlfn.XLOOKUP(Hybridtable[[#This Row],[Planet '#]],MiningROItable[Planet '#],MiningROItable[Breakeven])</f>
        <v/>
      </c>
      <c r="E48" s="68" t="str">
        <f>_xlfn.XLOOKUP(Hybridtable[[#This Row],[Planet '#]],SpeedROI[Planet '#],SpeedROI[ROI])</f>
        <v/>
      </c>
      <c r="F48" s="68" t="str">
        <f>_xlfn.XLOOKUP(Hybridtable[[#This Row],[Planet '#]],SpeedROI[Planet '#],SpeedROI[Breakeven])</f>
        <v/>
      </c>
      <c r="G48" s="68" t="str">
        <f>_xlfn.XLOOKUP(Hybridtable[[#This Row],[Planet '#]],CargoROI[Planet '#],CargoROI[ROI])</f>
        <v/>
      </c>
      <c r="H48" s="68" t="str">
        <f>_xlfn.XLOOKUP(Hybridtable[[#This Row],[Planet '#]],CargoROI[Planet '#],CargoROI[Breakeven])</f>
        <v/>
      </c>
      <c r="I48" s="68" t="str">
        <f>_xlfn.XLOOKUP(Hybridtable[[#This Row],[Planet '#]],UnlockROI[Planet '#],UnlockROI[ROI])</f>
        <v/>
      </c>
      <c r="J48" s="68" t="str">
        <f>_xlfn.XLOOKUP(Hybridtable[[#This Row],[Planet '#]],UnlockROI[Planet '#],UnlockROI[Breakeven])</f>
        <v/>
      </c>
      <c r="K48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8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8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8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8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8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8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8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49" spans="1:18" x14ac:dyDescent="0.3">
      <c r="A49" s="16">
        <v>48</v>
      </c>
      <c r="B49" s="16" t="str">
        <f>_xlfn.XLOOKUP(Hybridtable[[#This Row],[Planet '#]],tblPlanets[Planet '#],tblPlanets[Name])</f>
        <v>Muse</v>
      </c>
      <c r="C49" s="68" t="str">
        <f>_xlfn.XLOOKUP(Hybridtable[[#This Row],[Planet '#]],MiningROItable[Planet '#],MiningROItable[ROI])</f>
        <v/>
      </c>
      <c r="D49" s="68" t="str">
        <f>_xlfn.XLOOKUP(Hybridtable[[#This Row],[Planet '#]],MiningROItable[Planet '#],MiningROItable[Breakeven])</f>
        <v/>
      </c>
      <c r="E49" s="68" t="str">
        <f>_xlfn.XLOOKUP(Hybridtable[[#This Row],[Planet '#]],SpeedROI[Planet '#],SpeedROI[ROI])</f>
        <v/>
      </c>
      <c r="F49" s="68" t="str">
        <f>_xlfn.XLOOKUP(Hybridtable[[#This Row],[Planet '#]],SpeedROI[Planet '#],SpeedROI[Breakeven])</f>
        <v/>
      </c>
      <c r="G49" s="68" t="str">
        <f>_xlfn.XLOOKUP(Hybridtable[[#This Row],[Planet '#]],CargoROI[Planet '#],CargoROI[ROI])</f>
        <v/>
      </c>
      <c r="H49" s="68" t="str">
        <f>_xlfn.XLOOKUP(Hybridtable[[#This Row],[Planet '#]],CargoROI[Planet '#],CargoROI[Breakeven])</f>
        <v/>
      </c>
      <c r="I49" s="68" t="str">
        <f>_xlfn.XLOOKUP(Hybridtable[[#This Row],[Planet '#]],UnlockROI[Planet '#],UnlockROI[ROI])</f>
        <v/>
      </c>
      <c r="J49" s="68" t="str">
        <f>_xlfn.XLOOKUP(Hybridtable[[#This Row],[Planet '#]],UnlockROI[Planet '#],UnlockROI[Breakeven])</f>
        <v/>
      </c>
      <c r="K49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49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49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49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49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49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49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49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0" spans="1:18" x14ac:dyDescent="0.3">
      <c r="A50" s="16">
        <v>49</v>
      </c>
      <c r="B50" s="16" t="str">
        <f>_xlfn.XLOOKUP(Hybridtable[[#This Row],[Planet '#]],tblPlanets[Planet '#],tblPlanets[Name])</f>
        <v>Arabis</v>
      </c>
      <c r="C50" s="68" t="str">
        <f>_xlfn.XLOOKUP(Hybridtable[[#This Row],[Planet '#]],MiningROItable[Planet '#],MiningROItable[ROI])</f>
        <v/>
      </c>
      <c r="D50" s="68" t="str">
        <f>_xlfn.XLOOKUP(Hybridtable[[#This Row],[Planet '#]],MiningROItable[Planet '#],MiningROItable[Breakeven])</f>
        <v/>
      </c>
      <c r="E50" s="68" t="str">
        <f>_xlfn.XLOOKUP(Hybridtable[[#This Row],[Planet '#]],SpeedROI[Planet '#],SpeedROI[ROI])</f>
        <v/>
      </c>
      <c r="F50" s="68" t="str">
        <f>_xlfn.XLOOKUP(Hybridtable[[#This Row],[Planet '#]],SpeedROI[Planet '#],SpeedROI[Breakeven])</f>
        <v/>
      </c>
      <c r="G50" s="68" t="str">
        <f>_xlfn.XLOOKUP(Hybridtable[[#This Row],[Planet '#]],CargoROI[Planet '#],CargoROI[ROI])</f>
        <v/>
      </c>
      <c r="H50" s="68" t="str">
        <f>_xlfn.XLOOKUP(Hybridtable[[#This Row],[Planet '#]],CargoROI[Planet '#],CargoROI[Breakeven])</f>
        <v/>
      </c>
      <c r="I50" s="68" t="str">
        <f>_xlfn.XLOOKUP(Hybridtable[[#This Row],[Planet '#]],UnlockROI[Planet '#],UnlockROI[ROI])</f>
        <v/>
      </c>
      <c r="J50" s="68" t="str">
        <f>_xlfn.XLOOKUP(Hybridtable[[#This Row],[Planet '#]],UnlockROI[Planet '#],UnlockROI[Breakeven])</f>
        <v/>
      </c>
      <c r="K50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0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0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0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0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0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0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0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1" spans="1:18" x14ac:dyDescent="0.3">
      <c r="A51" s="16">
        <v>50</v>
      </c>
      <c r="B51" s="16" t="str">
        <f>_xlfn.XLOOKUP(Hybridtable[[#This Row],[Planet '#]],tblPlanets[Planet '#],tblPlanets[Name])</f>
        <v>Vesna</v>
      </c>
      <c r="C51" s="68" t="str">
        <f>_xlfn.XLOOKUP(Hybridtable[[#This Row],[Planet '#]],MiningROItable[Planet '#],MiningROItable[ROI])</f>
        <v/>
      </c>
      <c r="D51" s="68" t="str">
        <f>_xlfn.XLOOKUP(Hybridtable[[#This Row],[Planet '#]],MiningROItable[Planet '#],MiningROItable[Breakeven])</f>
        <v/>
      </c>
      <c r="E51" s="68" t="str">
        <f>_xlfn.XLOOKUP(Hybridtable[[#This Row],[Planet '#]],SpeedROI[Planet '#],SpeedROI[ROI])</f>
        <v/>
      </c>
      <c r="F51" s="68" t="str">
        <f>_xlfn.XLOOKUP(Hybridtable[[#This Row],[Planet '#]],SpeedROI[Planet '#],SpeedROI[Breakeven])</f>
        <v/>
      </c>
      <c r="G51" s="68" t="str">
        <f>_xlfn.XLOOKUP(Hybridtable[[#This Row],[Planet '#]],CargoROI[Planet '#],CargoROI[ROI])</f>
        <v/>
      </c>
      <c r="H51" s="68" t="str">
        <f>_xlfn.XLOOKUP(Hybridtable[[#This Row],[Planet '#]],CargoROI[Planet '#],CargoROI[Breakeven])</f>
        <v/>
      </c>
      <c r="I51" s="68" t="str">
        <f>_xlfn.XLOOKUP(Hybridtable[[#This Row],[Planet '#]],UnlockROI[Planet '#],UnlockROI[ROI])</f>
        <v/>
      </c>
      <c r="J51" s="68" t="str">
        <f>_xlfn.XLOOKUP(Hybridtable[[#This Row],[Planet '#]],UnlockROI[Planet '#],UnlockROI[Breakeven])</f>
        <v/>
      </c>
      <c r="K51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1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1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1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1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1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1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1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2" spans="1:18" x14ac:dyDescent="0.3">
      <c r="A52" s="16">
        <v>51</v>
      </c>
      <c r="B52" s="16" t="str">
        <f>_xlfn.XLOOKUP(Hybridtable[[#This Row],[Planet '#]],tblPlanets[Planet '#],tblPlanets[Name])</f>
        <v>Chandra</v>
      </c>
      <c r="C52" s="68" t="str">
        <f>_xlfn.XLOOKUP(Hybridtable[[#This Row],[Planet '#]],MiningROItable[Planet '#],MiningROItable[ROI])</f>
        <v/>
      </c>
      <c r="D52" s="68" t="str">
        <f>_xlfn.XLOOKUP(Hybridtable[[#This Row],[Planet '#]],MiningROItable[Planet '#],MiningROItable[Breakeven])</f>
        <v/>
      </c>
      <c r="E52" s="68" t="str">
        <f>_xlfn.XLOOKUP(Hybridtable[[#This Row],[Planet '#]],SpeedROI[Planet '#],SpeedROI[ROI])</f>
        <v/>
      </c>
      <c r="F52" s="68" t="str">
        <f>_xlfn.XLOOKUP(Hybridtable[[#This Row],[Planet '#]],SpeedROI[Planet '#],SpeedROI[Breakeven])</f>
        <v/>
      </c>
      <c r="G52" s="68" t="str">
        <f>_xlfn.XLOOKUP(Hybridtable[[#This Row],[Planet '#]],CargoROI[Planet '#],CargoROI[ROI])</f>
        <v/>
      </c>
      <c r="H52" s="68" t="str">
        <f>_xlfn.XLOOKUP(Hybridtable[[#This Row],[Planet '#]],CargoROI[Planet '#],CargoROI[Breakeven])</f>
        <v/>
      </c>
      <c r="I52" s="68" t="str">
        <f>_xlfn.XLOOKUP(Hybridtable[[#This Row],[Planet '#]],UnlockROI[Planet '#],UnlockROI[ROI])</f>
        <v/>
      </c>
      <c r="J52" s="68" t="str">
        <f>_xlfn.XLOOKUP(Hybridtable[[#This Row],[Planet '#]],UnlockROI[Planet '#],UnlockROI[Breakeven])</f>
        <v/>
      </c>
      <c r="K52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2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3" spans="1:18" x14ac:dyDescent="0.3">
      <c r="A53" s="16">
        <v>52</v>
      </c>
      <c r="B53" s="16" t="str">
        <f>_xlfn.XLOOKUP(Hybridtable[[#This Row],[Planet '#]],tblPlanets[Planet '#],tblPlanets[Name])</f>
        <v>Vega</v>
      </c>
      <c r="C53" s="68" t="str">
        <f>_xlfn.XLOOKUP(Hybridtable[[#This Row],[Planet '#]],MiningROItable[Planet '#],MiningROItable[ROI])</f>
        <v/>
      </c>
      <c r="D53" s="68" t="str">
        <f>_xlfn.XLOOKUP(Hybridtable[[#This Row],[Planet '#]],MiningROItable[Planet '#],MiningROItable[Breakeven])</f>
        <v/>
      </c>
      <c r="E53" s="68" t="str">
        <f>_xlfn.XLOOKUP(Hybridtable[[#This Row],[Planet '#]],SpeedROI[Planet '#],SpeedROI[ROI])</f>
        <v/>
      </c>
      <c r="F53" s="68" t="str">
        <f>_xlfn.XLOOKUP(Hybridtable[[#This Row],[Planet '#]],SpeedROI[Planet '#],SpeedROI[Breakeven])</f>
        <v/>
      </c>
      <c r="G53" s="68" t="str">
        <f>_xlfn.XLOOKUP(Hybridtable[[#This Row],[Planet '#]],CargoROI[Planet '#],CargoROI[ROI])</f>
        <v/>
      </c>
      <c r="H53" s="68" t="str">
        <f>_xlfn.XLOOKUP(Hybridtable[[#This Row],[Planet '#]],CargoROI[Planet '#],CargoROI[Breakeven])</f>
        <v/>
      </c>
      <c r="I53" s="68" t="str">
        <f>_xlfn.XLOOKUP(Hybridtable[[#This Row],[Planet '#]],UnlockROI[Planet '#],UnlockROI[ROI])</f>
        <v/>
      </c>
      <c r="J53" s="68" t="str">
        <f>_xlfn.XLOOKUP(Hybridtable[[#This Row],[Planet '#]],UnlockROI[Planet '#],UnlockROI[Breakeven])</f>
        <v/>
      </c>
      <c r="K53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3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4" spans="1:18" x14ac:dyDescent="0.3">
      <c r="A54" s="16">
        <v>53</v>
      </c>
      <c r="B54" s="16" t="str">
        <f>_xlfn.XLOOKUP(Hybridtable[[#This Row],[Planet '#]],tblPlanets[Planet '#],tblPlanets[Name])</f>
        <v>Crius</v>
      </c>
      <c r="C54" s="68" t="str">
        <f>_xlfn.XLOOKUP(Hybridtable[[#This Row],[Planet '#]],MiningROItable[Planet '#],MiningROItable[ROI])</f>
        <v/>
      </c>
      <c r="D54" s="68" t="str">
        <f>_xlfn.XLOOKUP(Hybridtable[[#This Row],[Planet '#]],MiningROItable[Planet '#],MiningROItable[Breakeven])</f>
        <v/>
      </c>
      <c r="E54" s="68" t="str">
        <f>_xlfn.XLOOKUP(Hybridtable[[#This Row],[Planet '#]],SpeedROI[Planet '#],SpeedROI[ROI])</f>
        <v/>
      </c>
      <c r="F54" s="68" t="str">
        <f>_xlfn.XLOOKUP(Hybridtable[[#This Row],[Planet '#]],SpeedROI[Planet '#],SpeedROI[Breakeven])</f>
        <v/>
      </c>
      <c r="G54" s="68" t="str">
        <f>_xlfn.XLOOKUP(Hybridtable[[#This Row],[Planet '#]],CargoROI[Planet '#],CargoROI[ROI])</f>
        <v/>
      </c>
      <c r="H54" s="68" t="str">
        <f>_xlfn.XLOOKUP(Hybridtable[[#This Row],[Planet '#]],CargoROI[Planet '#],CargoROI[Breakeven])</f>
        <v/>
      </c>
      <c r="I54" s="68" t="str">
        <f>_xlfn.XLOOKUP(Hybridtable[[#This Row],[Planet '#]],UnlockROI[Planet '#],UnlockROI[ROI])</f>
        <v/>
      </c>
      <c r="J54" s="68" t="str">
        <f>_xlfn.XLOOKUP(Hybridtable[[#This Row],[Planet '#]],UnlockROI[Planet '#],UnlockROI[Breakeven])</f>
        <v/>
      </c>
      <c r="K54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4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5" spans="1:18" x14ac:dyDescent="0.3">
      <c r="A55" s="16">
        <v>54</v>
      </c>
      <c r="B55" s="16" t="str">
        <f>_xlfn.XLOOKUP(Hybridtable[[#This Row],[Planet '#]],tblPlanets[Planet '#],tblPlanets[Name])</f>
        <v>Singhana</v>
      </c>
      <c r="C55" s="68" t="str">
        <f>_xlfn.XLOOKUP(Hybridtable[[#This Row],[Planet '#]],MiningROItable[Planet '#],MiningROItable[ROI])</f>
        <v/>
      </c>
      <c r="D55" s="68" t="str">
        <f>_xlfn.XLOOKUP(Hybridtable[[#This Row],[Planet '#]],MiningROItable[Planet '#],MiningROItable[Breakeven])</f>
        <v/>
      </c>
      <c r="E55" s="68" t="str">
        <f>_xlfn.XLOOKUP(Hybridtable[[#This Row],[Planet '#]],SpeedROI[Planet '#],SpeedROI[ROI])</f>
        <v/>
      </c>
      <c r="F55" s="68" t="str">
        <f>_xlfn.XLOOKUP(Hybridtable[[#This Row],[Planet '#]],SpeedROI[Planet '#],SpeedROI[Breakeven])</f>
        <v/>
      </c>
      <c r="G55" s="68" t="str">
        <f>_xlfn.XLOOKUP(Hybridtable[[#This Row],[Planet '#]],CargoROI[Planet '#],CargoROI[ROI])</f>
        <v/>
      </c>
      <c r="H55" s="68" t="str">
        <f>_xlfn.XLOOKUP(Hybridtable[[#This Row],[Planet '#]],CargoROI[Planet '#],CargoROI[Breakeven])</f>
        <v/>
      </c>
      <c r="I55" s="68" t="str">
        <f>_xlfn.XLOOKUP(Hybridtable[[#This Row],[Planet '#]],UnlockROI[Planet '#],UnlockROI[ROI])</f>
        <v/>
      </c>
      <c r="J55" s="68" t="str">
        <f>_xlfn.XLOOKUP(Hybridtable[[#This Row],[Planet '#]],UnlockROI[Planet '#],UnlockROI[Breakeven])</f>
        <v/>
      </c>
      <c r="K55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5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6" spans="1:18" x14ac:dyDescent="0.3">
      <c r="A56" s="16">
        <v>55</v>
      </c>
      <c r="B56" s="16" t="str">
        <f>_xlfn.XLOOKUP(Hybridtable[[#This Row],[Planet '#]],tblPlanets[Planet '#],tblPlanets[Name])</f>
        <v>Zumbia</v>
      </c>
      <c r="C56" s="68" t="str">
        <f>_xlfn.XLOOKUP(Hybridtable[[#This Row],[Planet '#]],MiningROItable[Planet '#],MiningROItable[ROI])</f>
        <v/>
      </c>
      <c r="D56" s="68" t="str">
        <f>_xlfn.XLOOKUP(Hybridtable[[#This Row],[Planet '#]],MiningROItable[Planet '#],MiningROItable[Breakeven])</f>
        <v/>
      </c>
      <c r="E56" s="68" t="str">
        <f>_xlfn.XLOOKUP(Hybridtable[[#This Row],[Planet '#]],SpeedROI[Planet '#],SpeedROI[ROI])</f>
        <v/>
      </c>
      <c r="F56" s="68" t="str">
        <f>_xlfn.XLOOKUP(Hybridtable[[#This Row],[Planet '#]],SpeedROI[Planet '#],SpeedROI[Breakeven])</f>
        <v/>
      </c>
      <c r="G56" s="68" t="str">
        <f>_xlfn.XLOOKUP(Hybridtable[[#This Row],[Planet '#]],CargoROI[Planet '#],CargoROI[ROI])</f>
        <v/>
      </c>
      <c r="H56" s="68" t="str">
        <f>_xlfn.XLOOKUP(Hybridtable[[#This Row],[Planet '#]],CargoROI[Planet '#],CargoROI[Breakeven])</f>
        <v/>
      </c>
      <c r="I56" s="68" t="str">
        <f>_xlfn.XLOOKUP(Hybridtable[[#This Row],[Planet '#]],UnlockROI[Planet '#],UnlockROI[ROI])</f>
        <v/>
      </c>
      <c r="J56" s="68" t="str">
        <f>_xlfn.XLOOKUP(Hybridtable[[#This Row],[Planet '#]],UnlockROI[Planet '#],UnlockROI[Breakeven])</f>
        <v/>
      </c>
      <c r="K56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6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7" spans="1:18" x14ac:dyDescent="0.3">
      <c r="A57" s="16">
        <v>56</v>
      </c>
      <c r="B57" s="16" t="str">
        <f>_xlfn.XLOOKUP(Hybridtable[[#This Row],[Planet '#]],tblPlanets[Planet '#],tblPlanets[Name])</f>
        <v>Elysium</v>
      </c>
      <c r="C57" s="68" t="str">
        <f>_xlfn.XLOOKUP(Hybridtable[[#This Row],[Planet '#]],MiningROItable[Planet '#],MiningROItable[ROI])</f>
        <v/>
      </c>
      <c r="D57" s="68" t="str">
        <f>_xlfn.XLOOKUP(Hybridtable[[#This Row],[Planet '#]],MiningROItable[Planet '#],MiningROItable[Breakeven])</f>
        <v/>
      </c>
      <c r="E57" s="68" t="str">
        <f>_xlfn.XLOOKUP(Hybridtable[[#This Row],[Planet '#]],SpeedROI[Planet '#],SpeedROI[ROI])</f>
        <v/>
      </c>
      <c r="F57" s="68" t="str">
        <f>_xlfn.XLOOKUP(Hybridtable[[#This Row],[Planet '#]],SpeedROI[Planet '#],SpeedROI[Breakeven])</f>
        <v/>
      </c>
      <c r="G57" s="68" t="str">
        <f>_xlfn.XLOOKUP(Hybridtable[[#This Row],[Planet '#]],CargoROI[Planet '#],CargoROI[ROI])</f>
        <v/>
      </c>
      <c r="H57" s="68" t="str">
        <f>_xlfn.XLOOKUP(Hybridtable[[#This Row],[Planet '#]],CargoROI[Planet '#],CargoROI[Breakeven])</f>
        <v/>
      </c>
      <c r="I57" s="68" t="str">
        <f>_xlfn.XLOOKUP(Hybridtable[[#This Row],[Planet '#]],UnlockROI[Planet '#],UnlockROI[ROI])</f>
        <v/>
      </c>
      <c r="J57" s="68" t="str">
        <f>_xlfn.XLOOKUP(Hybridtable[[#This Row],[Planet '#]],UnlockROI[Planet '#],UnlockROI[Breakeven])</f>
        <v/>
      </c>
      <c r="K57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7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8" spans="1:18" x14ac:dyDescent="0.3">
      <c r="A58" s="16">
        <v>57</v>
      </c>
      <c r="B58" s="16" t="str">
        <f>_xlfn.XLOOKUP(Hybridtable[[#This Row],[Planet '#]],tblPlanets[Planet '#],tblPlanets[Name])</f>
        <v>Nyota</v>
      </c>
      <c r="C58" s="68" t="str">
        <f>_xlfn.XLOOKUP(Hybridtable[[#This Row],[Planet '#]],MiningROItable[Planet '#],MiningROItable[ROI])</f>
        <v/>
      </c>
      <c r="D58" s="68" t="str">
        <f>_xlfn.XLOOKUP(Hybridtable[[#This Row],[Planet '#]],MiningROItable[Planet '#],MiningROItable[Breakeven])</f>
        <v/>
      </c>
      <c r="E58" s="68" t="str">
        <f>_xlfn.XLOOKUP(Hybridtable[[#This Row],[Planet '#]],SpeedROI[Planet '#],SpeedROI[ROI])</f>
        <v/>
      </c>
      <c r="F58" s="68" t="str">
        <f>_xlfn.XLOOKUP(Hybridtable[[#This Row],[Planet '#]],SpeedROI[Planet '#],SpeedROI[Breakeven])</f>
        <v/>
      </c>
      <c r="G58" s="68" t="str">
        <f>_xlfn.XLOOKUP(Hybridtable[[#This Row],[Planet '#]],CargoROI[Planet '#],CargoROI[ROI])</f>
        <v/>
      </c>
      <c r="H58" s="68" t="str">
        <f>_xlfn.XLOOKUP(Hybridtable[[#This Row],[Planet '#]],CargoROI[Planet '#],CargoROI[Breakeven])</f>
        <v/>
      </c>
      <c r="I58" s="68" t="str">
        <f>_xlfn.XLOOKUP(Hybridtable[[#This Row],[Planet '#]],UnlockROI[Planet '#],UnlockROI[ROI])</f>
        <v/>
      </c>
      <c r="J58" s="68" t="str">
        <f>_xlfn.XLOOKUP(Hybridtable[[#This Row],[Planet '#]],UnlockROI[Planet '#],UnlockROI[Breakeven])</f>
        <v/>
      </c>
      <c r="K58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8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8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8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8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8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8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8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59" spans="1:18" x14ac:dyDescent="0.3">
      <c r="A59" s="16">
        <v>58</v>
      </c>
      <c r="B59" s="16" t="str">
        <f>_xlfn.XLOOKUP(Hybridtable[[#This Row],[Planet '#]],tblPlanets[Planet '#],tblPlanets[Name])</f>
        <v>Doral</v>
      </c>
      <c r="C59" s="68" t="str">
        <f>_xlfn.XLOOKUP(Hybridtable[[#This Row],[Planet '#]],MiningROItable[Planet '#],MiningROItable[ROI])</f>
        <v/>
      </c>
      <c r="D59" s="68" t="str">
        <f>_xlfn.XLOOKUP(Hybridtable[[#This Row],[Planet '#]],MiningROItable[Planet '#],MiningROItable[Breakeven])</f>
        <v/>
      </c>
      <c r="E59" s="68" t="str">
        <f>_xlfn.XLOOKUP(Hybridtable[[#This Row],[Planet '#]],SpeedROI[Planet '#],SpeedROI[ROI])</f>
        <v/>
      </c>
      <c r="F59" s="68" t="str">
        <f>_xlfn.XLOOKUP(Hybridtable[[#This Row],[Planet '#]],SpeedROI[Planet '#],SpeedROI[Breakeven])</f>
        <v/>
      </c>
      <c r="G59" s="68" t="str">
        <f>_xlfn.XLOOKUP(Hybridtable[[#This Row],[Planet '#]],CargoROI[Planet '#],CargoROI[ROI])</f>
        <v/>
      </c>
      <c r="H59" s="68" t="str">
        <f>_xlfn.XLOOKUP(Hybridtable[[#This Row],[Planet '#]],CargoROI[Planet '#],CargoROI[Breakeven])</f>
        <v/>
      </c>
      <c r="I59" s="68" t="str">
        <f>_xlfn.XLOOKUP(Hybridtable[[#This Row],[Planet '#]],UnlockROI[Planet '#],UnlockROI[ROI])</f>
        <v/>
      </c>
      <c r="J59" s="68" t="str">
        <f>_xlfn.XLOOKUP(Hybridtable[[#This Row],[Planet '#]],UnlockROI[Planet '#],UnlockROI[Breakeven])</f>
        <v/>
      </c>
      <c r="K59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59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59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59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59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59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59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59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0" spans="1:18" x14ac:dyDescent="0.3">
      <c r="A60" s="16">
        <v>59</v>
      </c>
      <c r="B60" s="16" t="str">
        <f>_xlfn.XLOOKUP(Hybridtable[[#This Row],[Planet '#]],tblPlanets[Planet '#],tblPlanets[Name])</f>
        <v>Nikara</v>
      </c>
      <c r="C60" s="68" t="str">
        <f>_xlfn.XLOOKUP(Hybridtable[[#This Row],[Planet '#]],MiningROItable[Planet '#],MiningROItable[ROI])</f>
        <v/>
      </c>
      <c r="D60" s="68" t="str">
        <f>_xlfn.XLOOKUP(Hybridtable[[#This Row],[Planet '#]],MiningROItable[Planet '#],MiningROItable[Breakeven])</f>
        <v/>
      </c>
      <c r="E60" s="68" t="str">
        <f>_xlfn.XLOOKUP(Hybridtable[[#This Row],[Planet '#]],SpeedROI[Planet '#],SpeedROI[ROI])</f>
        <v/>
      </c>
      <c r="F60" s="68" t="str">
        <f>_xlfn.XLOOKUP(Hybridtable[[#This Row],[Planet '#]],SpeedROI[Planet '#],SpeedROI[Breakeven])</f>
        <v/>
      </c>
      <c r="G60" s="68" t="str">
        <f>_xlfn.XLOOKUP(Hybridtable[[#This Row],[Planet '#]],CargoROI[Planet '#],CargoROI[ROI])</f>
        <v/>
      </c>
      <c r="H60" s="68" t="str">
        <f>_xlfn.XLOOKUP(Hybridtable[[#This Row],[Planet '#]],CargoROI[Planet '#],CargoROI[Breakeven])</f>
        <v/>
      </c>
      <c r="I60" s="68" t="str">
        <f>_xlfn.XLOOKUP(Hybridtable[[#This Row],[Planet '#]],UnlockROI[Planet '#],UnlockROI[ROI])</f>
        <v/>
      </c>
      <c r="J60" s="68" t="str">
        <f>_xlfn.XLOOKUP(Hybridtable[[#This Row],[Planet '#]],UnlockROI[Planet '#],UnlockROI[Breakeven])</f>
        <v/>
      </c>
      <c r="K60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0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0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0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0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0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0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0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1" spans="1:18" x14ac:dyDescent="0.3">
      <c r="A61" s="16">
        <v>60</v>
      </c>
      <c r="B61" s="16" t="str">
        <f>_xlfn.XLOOKUP(Hybridtable[[#This Row],[Planet '#]],tblPlanets[Planet '#],tblPlanets[Name])</f>
        <v>Limbo</v>
      </c>
      <c r="C61" s="68" t="str">
        <f>_xlfn.XLOOKUP(Hybridtable[[#This Row],[Planet '#]],MiningROItable[Planet '#],MiningROItable[ROI])</f>
        <v/>
      </c>
      <c r="D61" s="68" t="str">
        <f>_xlfn.XLOOKUP(Hybridtable[[#This Row],[Planet '#]],MiningROItable[Planet '#],MiningROItable[Breakeven])</f>
        <v/>
      </c>
      <c r="E61" s="68" t="str">
        <f>_xlfn.XLOOKUP(Hybridtable[[#This Row],[Planet '#]],SpeedROI[Planet '#],SpeedROI[ROI])</f>
        <v/>
      </c>
      <c r="F61" s="68" t="str">
        <f>_xlfn.XLOOKUP(Hybridtable[[#This Row],[Planet '#]],SpeedROI[Planet '#],SpeedROI[Breakeven])</f>
        <v/>
      </c>
      <c r="G61" s="68" t="str">
        <f>_xlfn.XLOOKUP(Hybridtable[[#This Row],[Planet '#]],CargoROI[Planet '#],CargoROI[ROI])</f>
        <v/>
      </c>
      <c r="H61" s="68" t="str">
        <f>_xlfn.XLOOKUP(Hybridtable[[#This Row],[Planet '#]],CargoROI[Planet '#],CargoROI[Breakeven])</f>
        <v/>
      </c>
      <c r="I61" s="68" t="str">
        <f>_xlfn.XLOOKUP(Hybridtable[[#This Row],[Planet '#]],UnlockROI[Planet '#],UnlockROI[ROI])</f>
        <v/>
      </c>
      <c r="J61" s="68" t="str">
        <f>_xlfn.XLOOKUP(Hybridtable[[#This Row],[Planet '#]],UnlockROI[Planet '#],UnlockROI[Breakeven])</f>
        <v/>
      </c>
      <c r="K61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1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1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1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1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1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1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1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2" spans="1:18" x14ac:dyDescent="0.3">
      <c r="A62" s="16">
        <v>61</v>
      </c>
      <c r="B62" s="16" t="str">
        <f>_xlfn.XLOOKUP(Hybridtable[[#This Row],[Planet '#]],tblPlanets[Planet '#],tblPlanets[Name])</f>
        <v>Bob</v>
      </c>
      <c r="C62" s="68" t="str">
        <f>_xlfn.XLOOKUP(Hybridtable[[#This Row],[Planet '#]],MiningROItable[Planet '#],MiningROItable[ROI])</f>
        <v/>
      </c>
      <c r="D62" s="68" t="str">
        <f>_xlfn.XLOOKUP(Hybridtable[[#This Row],[Planet '#]],MiningROItable[Planet '#],MiningROItable[Breakeven])</f>
        <v/>
      </c>
      <c r="E62" s="68" t="str">
        <f>_xlfn.XLOOKUP(Hybridtable[[#This Row],[Planet '#]],SpeedROI[Planet '#],SpeedROI[ROI])</f>
        <v/>
      </c>
      <c r="F62" s="68" t="str">
        <f>_xlfn.XLOOKUP(Hybridtable[[#This Row],[Planet '#]],SpeedROI[Planet '#],SpeedROI[Breakeven])</f>
        <v/>
      </c>
      <c r="G62" s="68" t="str">
        <f>_xlfn.XLOOKUP(Hybridtable[[#This Row],[Planet '#]],CargoROI[Planet '#],CargoROI[ROI])</f>
        <v/>
      </c>
      <c r="H62" s="68" t="str">
        <f>_xlfn.XLOOKUP(Hybridtable[[#This Row],[Planet '#]],CargoROI[Planet '#],CargoROI[Breakeven])</f>
        <v/>
      </c>
      <c r="I62" s="68" t="str">
        <f>_xlfn.XLOOKUP(Hybridtable[[#This Row],[Planet '#]],UnlockROI[Planet '#],UnlockROI[ROI])</f>
        <v/>
      </c>
      <c r="J62" s="68" t="str">
        <f>_xlfn.XLOOKUP(Hybridtable[[#This Row],[Planet '#]],UnlockROI[Planet '#],UnlockROI[Breakeven])</f>
        <v/>
      </c>
      <c r="K62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2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3" spans="1:18" x14ac:dyDescent="0.3">
      <c r="A63" s="16">
        <v>62</v>
      </c>
      <c r="B63" s="16" t="str">
        <f>_xlfn.XLOOKUP(Hybridtable[[#This Row],[Planet '#]],tblPlanets[Planet '#],tblPlanets[Name])</f>
        <v>Midas</v>
      </c>
      <c r="C63" s="68" t="str">
        <f>_xlfn.XLOOKUP(Hybridtable[[#This Row],[Planet '#]],MiningROItable[Planet '#],MiningROItable[ROI])</f>
        <v/>
      </c>
      <c r="D63" s="68" t="str">
        <f>_xlfn.XLOOKUP(Hybridtable[[#This Row],[Planet '#]],MiningROItable[Planet '#],MiningROItable[Breakeven])</f>
        <v/>
      </c>
      <c r="E63" s="68" t="str">
        <f>_xlfn.XLOOKUP(Hybridtable[[#This Row],[Planet '#]],SpeedROI[Planet '#],SpeedROI[ROI])</f>
        <v/>
      </c>
      <c r="F63" s="68" t="str">
        <f>_xlfn.XLOOKUP(Hybridtable[[#This Row],[Planet '#]],SpeedROI[Planet '#],SpeedROI[Breakeven])</f>
        <v/>
      </c>
      <c r="G63" s="68" t="str">
        <f>_xlfn.XLOOKUP(Hybridtable[[#This Row],[Planet '#]],CargoROI[Planet '#],CargoROI[ROI])</f>
        <v/>
      </c>
      <c r="H63" s="68" t="str">
        <f>_xlfn.XLOOKUP(Hybridtable[[#This Row],[Planet '#]],CargoROI[Planet '#],CargoROI[Breakeven])</f>
        <v/>
      </c>
      <c r="I63" s="68" t="str">
        <f>_xlfn.XLOOKUP(Hybridtable[[#This Row],[Planet '#]],UnlockROI[Planet '#],UnlockROI[ROI])</f>
        <v/>
      </c>
      <c r="J63" s="68" t="str">
        <f>_xlfn.XLOOKUP(Hybridtable[[#This Row],[Planet '#]],UnlockROI[Planet '#],UnlockROI[Breakeven])</f>
        <v/>
      </c>
      <c r="K63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3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4" spans="1:18" x14ac:dyDescent="0.3">
      <c r="A64" s="16">
        <v>63</v>
      </c>
      <c r="B64" s="16" t="str">
        <f>_xlfn.XLOOKUP(Hybridtable[[#This Row],[Planet '#]],tblPlanets[Planet '#],tblPlanets[Name])</f>
        <v>Antigone</v>
      </c>
      <c r="C64" s="68" t="str">
        <f>_xlfn.XLOOKUP(Hybridtable[[#This Row],[Planet '#]],MiningROItable[Planet '#],MiningROItable[ROI])</f>
        <v/>
      </c>
      <c r="D64" s="68" t="str">
        <f>_xlfn.XLOOKUP(Hybridtable[[#This Row],[Planet '#]],MiningROItable[Planet '#],MiningROItable[Breakeven])</f>
        <v/>
      </c>
      <c r="E64" s="68" t="str">
        <f>_xlfn.XLOOKUP(Hybridtable[[#This Row],[Planet '#]],SpeedROI[Planet '#],SpeedROI[ROI])</f>
        <v/>
      </c>
      <c r="F64" s="68" t="str">
        <f>_xlfn.XLOOKUP(Hybridtable[[#This Row],[Planet '#]],SpeedROI[Planet '#],SpeedROI[Breakeven])</f>
        <v/>
      </c>
      <c r="G64" s="68" t="str">
        <f>_xlfn.XLOOKUP(Hybridtable[[#This Row],[Planet '#]],CargoROI[Planet '#],CargoROI[ROI])</f>
        <v/>
      </c>
      <c r="H64" s="68" t="str">
        <f>_xlfn.XLOOKUP(Hybridtable[[#This Row],[Planet '#]],CargoROI[Planet '#],CargoROI[Breakeven])</f>
        <v/>
      </c>
      <c r="I64" s="68" t="str">
        <f>_xlfn.XLOOKUP(Hybridtable[[#This Row],[Planet '#]],UnlockROI[Planet '#],UnlockROI[ROI])</f>
        <v/>
      </c>
      <c r="J64" s="68" t="str">
        <f>_xlfn.XLOOKUP(Hybridtable[[#This Row],[Planet '#]],UnlockROI[Planet '#],UnlockROI[Breakeven])</f>
        <v/>
      </c>
      <c r="K64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4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5" spans="1:18" x14ac:dyDescent="0.3">
      <c r="A65" s="16">
        <v>64</v>
      </c>
      <c r="B65" s="16" t="str">
        <f>_xlfn.XLOOKUP(Hybridtable[[#This Row],[Planet '#]],tblPlanets[Planet '#],tblPlanets[Name])</f>
        <v>Hecate</v>
      </c>
      <c r="C65" s="68" t="str">
        <f>_xlfn.XLOOKUP(Hybridtable[[#This Row],[Planet '#]],MiningROItable[Planet '#],MiningROItable[ROI])</f>
        <v/>
      </c>
      <c r="D65" s="68" t="str">
        <f>_xlfn.XLOOKUP(Hybridtable[[#This Row],[Planet '#]],MiningROItable[Planet '#],MiningROItable[Breakeven])</f>
        <v/>
      </c>
      <c r="E65" s="68" t="str">
        <f>_xlfn.XLOOKUP(Hybridtable[[#This Row],[Planet '#]],SpeedROI[Planet '#],SpeedROI[ROI])</f>
        <v/>
      </c>
      <c r="F65" s="68" t="str">
        <f>_xlfn.XLOOKUP(Hybridtable[[#This Row],[Planet '#]],SpeedROI[Planet '#],SpeedROI[Breakeven])</f>
        <v/>
      </c>
      <c r="G65" s="68" t="str">
        <f>_xlfn.XLOOKUP(Hybridtable[[#This Row],[Planet '#]],CargoROI[Planet '#],CargoROI[ROI])</f>
        <v/>
      </c>
      <c r="H65" s="68" t="str">
        <f>_xlfn.XLOOKUP(Hybridtable[[#This Row],[Planet '#]],CargoROI[Planet '#],CargoROI[Breakeven])</f>
        <v/>
      </c>
      <c r="I65" s="68" t="str">
        <f>_xlfn.XLOOKUP(Hybridtable[[#This Row],[Planet '#]],UnlockROI[Planet '#],UnlockROI[ROI])</f>
        <v/>
      </c>
      <c r="J65" s="68" t="str">
        <f>_xlfn.XLOOKUP(Hybridtable[[#This Row],[Planet '#]],UnlockROI[Planet '#],UnlockROI[Breakeven])</f>
        <v/>
      </c>
      <c r="K65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5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6" spans="1:18" x14ac:dyDescent="0.3">
      <c r="A66" s="16">
        <v>65</v>
      </c>
      <c r="B66" s="16" t="str">
        <f>_xlfn.XLOOKUP(Hybridtable[[#This Row],[Planet '#]],tblPlanets[Planet '#],tblPlanets[Name])</f>
        <v>Sterop</v>
      </c>
      <c r="C66" s="68" t="str">
        <f>_xlfn.XLOOKUP(Hybridtable[[#This Row],[Planet '#]],MiningROItable[Planet '#],MiningROItable[ROI])</f>
        <v/>
      </c>
      <c r="D66" s="68" t="str">
        <f>_xlfn.XLOOKUP(Hybridtable[[#This Row],[Planet '#]],MiningROItable[Planet '#],MiningROItable[Breakeven])</f>
        <v/>
      </c>
      <c r="E66" s="68" t="str">
        <f>_xlfn.XLOOKUP(Hybridtable[[#This Row],[Planet '#]],SpeedROI[Planet '#],SpeedROI[ROI])</f>
        <v/>
      </c>
      <c r="F66" s="68" t="str">
        <f>_xlfn.XLOOKUP(Hybridtable[[#This Row],[Planet '#]],SpeedROI[Planet '#],SpeedROI[Breakeven])</f>
        <v/>
      </c>
      <c r="G66" s="68" t="str">
        <f>_xlfn.XLOOKUP(Hybridtable[[#This Row],[Planet '#]],CargoROI[Planet '#],CargoROI[ROI])</f>
        <v/>
      </c>
      <c r="H66" s="68" t="str">
        <f>_xlfn.XLOOKUP(Hybridtable[[#This Row],[Planet '#]],CargoROI[Planet '#],CargoROI[Breakeven])</f>
        <v/>
      </c>
      <c r="I66" s="68" t="str">
        <f>_xlfn.XLOOKUP(Hybridtable[[#This Row],[Planet '#]],UnlockROI[Planet '#],UnlockROI[ROI])</f>
        <v/>
      </c>
      <c r="J66" s="68" t="str">
        <f>_xlfn.XLOOKUP(Hybridtable[[#This Row],[Planet '#]],UnlockROI[Planet '#],UnlockROI[Breakeven])</f>
        <v/>
      </c>
      <c r="K66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6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7" spans="1:18" x14ac:dyDescent="0.3">
      <c r="A67" s="16">
        <v>66</v>
      </c>
      <c r="B67" s="16" t="str">
        <f>_xlfn.XLOOKUP(Hybridtable[[#This Row],[Planet '#]],tblPlanets[Planet '#],tblPlanets[Name])</f>
        <v>Lavinia</v>
      </c>
      <c r="C67" s="68" t="str">
        <f>_xlfn.XLOOKUP(Hybridtable[[#This Row],[Planet '#]],MiningROItable[Planet '#],MiningROItable[ROI])</f>
        <v/>
      </c>
      <c r="D67" s="68" t="str">
        <f>_xlfn.XLOOKUP(Hybridtable[[#This Row],[Planet '#]],MiningROItable[Planet '#],MiningROItable[Breakeven])</f>
        <v/>
      </c>
      <c r="E67" s="68" t="str">
        <f>_xlfn.XLOOKUP(Hybridtable[[#This Row],[Planet '#]],SpeedROI[Planet '#],SpeedROI[ROI])</f>
        <v/>
      </c>
      <c r="F67" s="68" t="str">
        <f>_xlfn.XLOOKUP(Hybridtable[[#This Row],[Planet '#]],SpeedROI[Planet '#],SpeedROI[Breakeven])</f>
        <v/>
      </c>
      <c r="G67" s="68" t="str">
        <f>_xlfn.XLOOKUP(Hybridtable[[#This Row],[Planet '#]],CargoROI[Planet '#],CargoROI[ROI])</f>
        <v/>
      </c>
      <c r="H67" s="68" t="str">
        <f>_xlfn.XLOOKUP(Hybridtable[[#This Row],[Planet '#]],CargoROI[Planet '#],CargoROI[Breakeven])</f>
        <v/>
      </c>
      <c r="I67" s="68" t="str">
        <f>_xlfn.XLOOKUP(Hybridtable[[#This Row],[Planet '#]],UnlockROI[Planet '#],UnlockROI[ROI])</f>
        <v/>
      </c>
      <c r="J67" s="68" t="str">
        <f>_xlfn.XLOOKUP(Hybridtable[[#This Row],[Planet '#]],UnlockROI[Planet '#],UnlockROI[Breakeven])</f>
        <v/>
      </c>
      <c r="K67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7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8" spans="1:18" x14ac:dyDescent="0.3">
      <c r="A68" s="16">
        <v>67</v>
      </c>
      <c r="B68" s="16" t="str">
        <f>_xlfn.XLOOKUP(Hybridtable[[#This Row],[Planet '#]],tblPlanets[Planet '#],tblPlanets[Name])</f>
        <v>Ren</v>
      </c>
      <c r="C68" s="68" t="str">
        <f>_xlfn.XLOOKUP(Hybridtable[[#This Row],[Planet '#]],MiningROItable[Planet '#],MiningROItable[ROI])</f>
        <v/>
      </c>
      <c r="D68" s="68" t="str">
        <f>_xlfn.XLOOKUP(Hybridtable[[#This Row],[Planet '#]],MiningROItable[Planet '#],MiningROItable[Breakeven])</f>
        <v/>
      </c>
      <c r="E68" s="68" t="str">
        <f>_xlfn.XLOOKUP(Hybridtable[[#This Row],[Planet '#]],SpeedROI[Planet '#],SpeedROI[ROI])</f>
        <v/>
      </c>
      <c r="F68" s="68" t="str">
        <f>_xlfn.XLOOKUP(Hybridtable[[#This Row],[Planet '#]],SpeedROI[Planet '#],SpeedROI[Breakeven])</f>
        <v/>
      </c>
      <c r="G68" s="68" t="str">
        <f>_xlfn.XLOOKUP(Hybridtable[[#This Row],[Planet '#]],CargoROI[Planet '#],CargoROI[ROI])</f>
        <v/>
      </c>
      <c r="H68" s="68" t="str">
        <f>_xlfn.XLOOKUP(Hybridtable[[#This Row],[Planet '#]],CargoROI[Planet '#],CargoROI[Breakeven])</f>
        <v/>
      </c>
      <c r="I68" s="68" t="str">
        <f>_xlfn.XLOOKUP(Hybridtable[[#This Row],[Planet '#]],UnlockROI[Planet '#],UnlockROI[ROI])</f>
        <v/>
      </c>
      <c r="J68" s="68" t="str">
        <f>_xlfn.XLOOKUP(Hybridtable[[#This Row],[Planet '#]],UnlockROI[Planet '#],UnlockROI[Breakeven])</f>
        <v/>
      </c>
      <c r="K68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8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8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8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8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8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8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8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69" spans="1:18" x14ac:dyDescent="0.3">
      <c r="A69" s="16">
        <v>68</v>
      </c>
      <c r="B69" s="16" t="str">
        <f>_xlfn.XLOOKUP(Hybridtable[[#This Row],[Planet '#]],tblPlanets[Planet '#],tblPlanets[Name])</f>
        <v>Gorgons</v>
      </c>
      <c r="C69" s="68" t="str">
        <f>_xlfn.XLOOKUP(Hybridtable[[#This Row],[Planet '#]],MiningROItable[Planet '#],MiningROItable[ROI])</f>
        <v/>
      </c>
      <c r="D69" s="68" t="str">
        <f>_xlfn.XLOOKUP(Hybridtable[[#This Row],[Planet '#]],MiningROItable[Planet '#],MiningROItable[Breakeven])</f>
        <v/>
      </c>
      <c r="E69" s="68" t="str">
        <f>_xlfn.XLOOKUP(Hybridtable[[#This Row],[Planet '#]],SpeedROI[Planet '#],SpeedROI[ROI])</f>
        <v/>
      </c>
      <c r="F69" s="68" t="str">
        <f>_xlfn.XLOOKUP(Hybridtable[[#This Row],[Planet '#]],SpeedROI[Planet '#],SpeedROI[Breakeven])</f>
        <v/>
      </c>
      <c r="G69" s="68" t="str">
        <f>_xlfn.XLOOKUP(Hybridtable[[#This Row],[Planet '#]],CargoROI[Planet '#],CargoROI[ROI])</f>
        <v/>
      </c>
      <c r="H69" s="68" t="str">
        <f>_xlfn.XLOOKUP(Hybridtable[[#This Row],[Planet '#]],CargoROI[Planet '#],CargoROI[Breakeven])</f>
        <v/>
      </c>
      <c r="I69" s="68" t="str">
        <f>_xlfn.XLOOKUP(Hybridtable[[#This Row],[Planet '#]],UnlockROI[Planet '#],UnlockROI[ROI])</f>
        <v/>
      </c>
      <c r="J69" s="68" t="str">
        <f>_xlfn.XLOOKUP(Hybridtable[[#This Row],[Planet '#]],UnlockROI[Planet '#],UnlockROI[Breakeven])</f>
        <v/>
      </c>
      <c r="K69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69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69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69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69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69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69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69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0" spans="1:18" x14ac:dyDescent="0.3">
      <c r="A70" s="16">
        <v>69</v>
      </c>
      <c r="B70" s="16" t="str">
        <f>_xlfn.XLOOKUP(Hybridtable[[#This Row],[Planet '#]],tblPlanets[Planet '#],tblPlanets[Name])</f>
        <v>Pontus</v>
      </c>
      <c r="C70" s="68" t="str">
        <f>_xlfn.XLOOKUP(Hybridtable[[#This Row],[Planet '#]],MiningROItable[Planet '#],MiningROItable[ROI])</f>
        <v/>
      </c>
      <c r="D70" s="68" t="str">
        <f>_xlfn.XLOOKUP(Hybridtable[[#This Row],[Planet '#]],MiningROItable[Planet '#],MiningROItable[Breakeven])</f>
        <v/>
      </c>
      <c r="E70" s="68" t="str">
        <f>_xlfn.XLOOKUP(Hybridtable[[#This Row],[Planet '#]],SpeedROI[Planet '#],SpeedROI[ROI])</f>
        <v/>
      </c>
      <c r="F70" s="68" t="str">
        <f>_xlfn.XLOOKUP(Hybridtable[[#This Row],[Planet '#]],SpeedROI[Planet '#],SpeedROI[Breakeven])</f>
        <v/>
      </c>
      <c r="G70" s="68" t="str">
        <f>_xlfn.XLOOKUP(Hybridtable[[#This Row],[Planet '#]],CargoROI[Planet '#],CargoROI[ROI])</f>
        <v/>
      </c>
      <c r="H70" s="68" t="str">
        <f>_xlfn.XLOOKUP(Hybridtable[[#This Row],[Planet '#]],CargoROI[Planet '#],CargoROI[Breakeven])</f>
        <v/>
      </c>
      <c r="I70" s="68" t="str">
        <f>_xlfn.XLOOKUP(Hybridtable[[#This Row],[Planet '#]],UnlockROI[Planet '#],UnlockROI[ROI])</f>
        <v/>
      </c>
      <c r="J70" s="68" t="str">
        <f>_xlfn.XLOOKUP(Hybridtable[[#This Row],[Planet '#]],UnlockROI[Planet '#],UnlockROI[Breakeven])</f>
        <v/>
      </c>
      <c r="K70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0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0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0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0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0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0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0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1" spans="1:18" x14ac:dyDescent="0.3">
      <c r="A71" s="16">
        <v>70</v>
      </c>
      <c r="B71" s="16" t="str">
        <f>_xlfn.XLOOKUP(Hybridtable[[#This Row],[Planet '#]],tblPlanets[Planet '#],tblPlanets[Name])</f>
        <v>Leto</v>
      </c>
      <c r="C71" s="68" t="str">
        <f>_xlfn.XLOOKUP(Hybridtable[[#This Row],[Planet '#]],MiningROItable[Planet '#],MiningROItable[ROI])</f>
        <v/>
      </c>
      <c r="D71" s="68" t="str">
        <f>_xlfn.XLOOKUP(Hybridtable[[#This Row],[Planet '#]],MiningROItable[Planet '#],MiningROItable[Breakeven])</f>
        <v/>
      </c>
      <c r="E71" s="68" t="str">
        <f>_xlfn.XLOOKUP(Hybridtable[[#This Row],[Planet '#]],SpeedROI[Planet '#],SpeedROI[ROI])</f>
        <v/>
      </c>
      <c r="F71" s="68" t="str">
        <f>_xlfn.XLOOKUP(Hybridtable[[#This Row],[Planet '#]],SpeedROI[Planet '#],SpeedROI[Breakeven])</f>
        <v/>
      </c>
      <c r="G71" s="68" t="str">
        <f>_xlfn.XLOOKUP(Hybridtable[[#This Row],[Planet '#]],CargoROI[Planet '#],CargoROI[ROI])</f>
        <v/>
      </c>
      <c r="H71" s="68" t="str">
        <f>_xlfn.XLOOKUP(Hybridtable[[#This Row],[Planet '#]],CargoROI[Planet '#],CargoROI[Breakeven])</f>
        <v/>
      </c>
      <c r="I71" s="68" t="str">
        <f>_xlfn.XLOOKUP(Hybridtable[[#This Row],[Planet '#]],UnlockROI[Planet '#],UnlockROI[ROI])</f>
        <v/>
      </c>
      <c r="J71" s="68" t="str">
        <f>_xlfn.XLOOKUP(Hybridtable[[#This Row],[Planet '#]],UnlockROI[Planet '#],UnlockROI[Breakeven])</f>
        <v/>
      </c>
      <c r="K71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1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1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1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1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1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1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1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2" spans="1:18" x14ac:dyDescent="0.3">
      <c r="A72" s="16">
        <v>71</v>
      </c>
      <c r="B72" s="16" t="str">
        <f>_xlfn.XLOOKUP(Hybridtable[[#This Row],[Planet '#]],tblPlanets[Planet '#],tblPlanets[Name])</f>
        <v>Laconia</v>
      </c>
      <c r="C72" s="68" t="str">
        <f>_xlfn.XLOOKUP(Hybridtable[[#This Row],[Planet '#]],MiningROItable[Planet '#],MiningROItable[ROI])</f>
        <v/>
      </c>
      <c r="D72" s="68" t="str">
        <f>_xlfn.XLOOKUP(Hybridtable[[#This Row],[Planet '#]],MiningROItable[Planet '#],MiningROItable[Breakeven])</f>
        <v/>
      </c>
      <c r="E72" s="68" t="str">
        <f>_xlfn.XLOOKUP(Hybridtable[[#This Row],[Planet '#]],SpeedROI[Planet '#],SpeedROI[ROI])</f>
        <v/>
      </c>
      <c r="F72" s="68" t="str">
        <f>_xlfn.XLOOKUP(Hybridtable[[#This Row],[Planet '#]],SpeedROI[Planet '#],SpeedROI[Breakeven])</f>
        <v/>
      </c>
      <c r="G72" s="68" t="str">
        <f>_xlfn.XLOOKUP(Hybridtable[[#This Row],[Planet '#]],CargoROI[Planet '#],CargoROI[ROI])</f>
        <v/>
      </c>
      <c r="H72" s="68" t="str">
        <f>_xlfn.XLOOKUP(Hybridtable[[#This Row],[Planet '#]],CargoROI[Planet '#],CargoROI[Breakeven])</f>
        <v/>
      </c>
      <c r="I72" s="68" t="str">
        <f>_xlfn.XLOOKUP(Hybridtable[[#This Row],[Planet '#]],UnlockROI[Planet '#],UnlockROI[ROI])</f>
        <v/>
      </c>
      <c r="J72" s="68" t="str">
        <f>_xlfn.XLOOKUP(Hybridtable[[#This Row],[Planet '#]],UnlockROI[Planet '#],UnlockROI[Breakeven])</f>
        <v/>
      </c>
      <c r="K72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2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2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2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2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2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2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2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3" spans="1:18" x14ac:dyDescent="0.3">
      <c r="A73" s="16">
        <v>72</v>
      </c>
      <c r="B73" s="16" t="str">
        <f>_xlfn.XLOOKUP(Hybridtable[[#This Row],[Planet '#]],tblPlanets[Planet '#],tblPlanets[Name])</f>
        <v>Awohali</v>
      </c>
      <c r="C73" s="68" t="str">
        <f>_xlfn.XLOOKUP(Hybridtable[[#This Row],[Planet '#]],MiningROItable[Planet '#],MiningROItable[ROI])</f>
        <v/>
      </c>
      <c r="D73" s="68" t="str">
        <f>_xlfn.XLOOKUP(Hybridtable[[#This Row],[Planet '#]],MiningROItable[Planet '#],MiningROItable[Breakeven])</f>
        <v/>
      </c>
      <c r="E73" s="68" t="str">
        <f>_xlfn.XLOOKUP(Hybridtable[[#This Row],[Planet '#]],SpeedROI[Planet '#],SpeedROI[ROI])</f>
        <v/>
      </c>
      <c r="F73" s="68" t="str">
        <f>_xlfn.XLOOKUP(Hybridtable[[#This Row],[Planet '#]],SpeedROI[Planet '#],SpeedROI[Breakeven])</f>
        <v/>
      </c>
      <c r="G73" s="68" t="str">
        <f>_xlfn.XLOOKUP(Hybridtable[[#This Row],[Planet '#]],CargoROI[Planet '#],CargoROI[ROI])</f>
        <v/>
      </c>
      <c r="H73" s="68" t="str">
        <f>_xlfn.XLOOKUP(Hybridtable[[#This Row],[Planet '#]],CargoROI[Planet '#],CargoROI[Breakeven])</f>
        <v/>
      </c>
      <c r="I73" s="68" t="str">
        <f>_xlfn.XLOOKUP(Hybridtable[[#This Row],[Planet '#]],UnlockROI[Planet '#],UnlockROI[ROI])</f>
        <v/>
      </c>
      <c r="J73" s="68" t="str">
        <f>_xlfn.XLOOKUP(Hybridtable[[#This Row],[Planet '#]],UnlockROI[Planet '#],UnlockROI[Breakeven])</f>
        <v/>
      </c>
      <c r="K73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3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3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3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3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3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3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3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4" spans="1:18" x14ac:dyDescent="0.3">
      <c r="A74" s="16">
        <v>73</v>
      </c>
      <c r="B74" s="16" t="str">
        <f>_xlfn.XLOOKUP(Hybridtable[[#This Row],[Planet '#]],tblPlanets[Planet '#],tblPlanets[Name])</f>
        <v>Pegasi</v>
      </c>
      <c r="C74" s="68" t="str">
        <f>_xlfn.XLOOKUP(Hybridtable[[#This Row],[Planet '#]],MiningROItable[Planet '#],MiningROItable[ROI])</f>
        <v/>
      </c>
      <c r="D74" s="68" t="str">
        <f>_xlfn.XLOOKUP(Hybridtable[[#This Row],[Planet '#]],MiningROItable[Planet '#],MiningROItable[Breakeven])</f>
        <v/>
      </c>
      <c r="E74" s="68" t="str">
        <f>_xlfn.XLOOKUP(Hybridtable[[#This Row],[Planet '#]],SpeedROI[Planet '#],SpeedROI[ROI])</f>
        <v/>
      </c>
      <c r="F74" s="68" t="str">
        <f>_xlfn.XLOOKUP(Hybridtable[[#This Row],[Planet '#]],SpeedROI[Planet '#],SpeedROI[Breakeven])</f>
        <v/>
      </c>
      <c r="G74" s="68" t="str">
        <f>_xlfn.XLOOKUP(Hybridtable[[#This Row],[Planet '#]],CargoROI[Planet '#],CargoROI[ROI])</f>
        <v/>
      </c>
      <c r="H74" s="68" t="str">
        <f>_xlfn.XLOOKUP(Hybridtable[[#This Row],[Planet '#]],CargoROI[Planet '#],CargoROI[Breakeven])</f>
        <v/>
      </c>
      <c r="I74" s="68" t="str">
        <f>_xlfn.XLOOKUP(Hybridtable[[#This Row],[Planet '#]],UnlockROI[Planet '#],UnlockROI[ROI])</f>
        <v/>
      </c>
      <c r="J74" s="68" t="str">
        <f>_xlfn.XLOOKUP(Hybridtable[[#This Row],[Planet '#]],UnlockROI[Planet '#],UnlockROI[Breakeven])</f>
        <v/>
      </c>
      <c r="K74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4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4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4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4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4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4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4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5" spans="1:18" x14ac:dyDescent="0.3">
      <c r="A75" s="16">
        <v>74</v>
      </c>
      <c r="B75" s="16" t="str">
        <f>_xlfn.XLOOKUP(Hybridtable[[#This Row],[Planet '#]],tblPlanets[Planet '#],tblPlanets[Name])</f>
        <v>Typhon</v>
      </c>
      <c r="C75" s="68" t="str">
        <f>_xlfn.XLOOKUP(Hybridtable[[#This Row],[Planet '#]],MiningROItable[Planet '#],MiningROItable[ROI])</f>
        <v/>
      </c>
      <c r="D75" s="68" t="str">
        <f>_xlfn.XLOOKUP(Hybridtable[[#This Row],[Planet '#]],MiningROItable[Planet '#],MiningROItable[Breakeven])</f>
        <v/>
      </c>
      <c r="E75" s="68" t="str">
        <f>_xlfn.XLOOKUP(Hybridtable[[#This Row],[Planet '#]],SpeedROI[Planet '#],SpeedROI[ROI])</f>
        <v/>
      </c>
      <c r="F75" s="68" t="str">
        <f>_xlfn.XLOOKUP(Hybridtable[[#This Row],[Planet '#]],SpeedROI[Planet '#],SpeedROI[Breakeven])</f>
        <v/>
      </c>
      <c r="G75" s="68" t="str">
        <f>_xlfn.XLOOKUP(Hybridtable[[#This Row],[Planet '#]],CargoROI[Planet '#],CargoROI[ROI])</f>
        <v/>
      </c>
      <c r="H75" s="68" t="str">
        <f>_xlfn.XLOOKUP(Hybridtable[[#This Row],[Planet '#]],CargoROI[Planet '#],CargoROI[Breakeven])</f>
        <v/>
      </c>
      <c r="I75" s="68" t="str">
        <f>_xlfn.XLOOKUP(Hybridtable[[#This Row],[Planet '#]],UnlockROI[Planet '#],UnlockROI[ROI])</f>
        <v/>
      </c>
      <c r="J75" s="68" t="str">
        <f>_xlfn.XLOOKUP(Hybridtable[[#This Row],[Planet '#]],UnlockROI[Planet '#],UnlockROI[Breakeven])</f>
        <v/>
      </c>
      <c r="K75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5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5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5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5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5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5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5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6" spans="1:18" x14ac:dyDescent="0.3">
      <c r="A76" s="16">
        <v>75</v>
      </c>
      <c r="B76" s="16" t="str">
        <f>_xlfn.XLOOKUP(Hybridtable[[#This Row],[Planet '#]],tblPlanets[Planet '#],tblPlanets[Name])</f>
        <v>Surtur</v>
      </c>
      <c r="C76" s="68" t="str">
        <f>_xlfn.XLOOKUP(Hybridtable[[#This Row],[Planet '#]],MiningROItable[Planet '#],MiningROItable[ROI])</f>
        <v/>
      </c>
      <c r="D76" s="68" t="str">
        <f>_xlfn.XLOOKUP(Hybridtable[[#This Row],[Planet '#]],MiningROItable[Planet '#],MiningROItable[Breakeven])</f>
        <v/>
      </c>
      <c r="E76" s="68" t="str">
        <f>_xlfn.XLOOKUP(Hybridtable[[#This Row],[Planet '#]],SpeedROI[Planet '#],SpeedROI[ROI])</f>
        <v/>
      </c>
      <c r="F76" s="68" t="str">
        <f>_xlfn.XLOOKUP(Hybridtable[[#This Row],[Planet '#]],SpeedROI[Planet '#],SpeedROI[Breakeven])</f>
        <v/>
      </c>
      <c r="G76" s="68" t="str">
        <f>_xlfn.XLOOKUP(Hybridtable[[#This Row],[Planet '#]],CargoROI[Planet '#],CargoROI[ROI])</f>
        <v/>
      </c>
      <c r="H76" s="68" t="str">
        <f>_xlfn.XLOOKUP(Hybridtable[[#This Row],[Planet '#]],CargoROI[Planet '#],CargoROI[Breakeven])</f>
        <v/>
      </c>
      <c r="I76" s="68" t="str">
        <f>_xlfn.XLOOKUP(Hybridtable[[#This Row],[Planet '#]],UnlockROI[Planet '#],UnlockROI[ROI])</f>
        <v/>
      </c>
      <c r="J76" s="68" t="str">
        <f>_xlfn.XLOOKUP(Hybridtable[[#This Row],[Planet '#]],UnlockROI[Planet '#],UnlockROI[Breakeven])</f>
        <v/>
      </c>
      <c r="K76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6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6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6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6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6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6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6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  <row r="77" spans="1:18" x14ac:dyDescent="0.3">
      <c r="A77" s="16">
        <v>76</v>
      </c>
      <c r="B77" s="16" t="str">
        <f>_xlfn.XLOOKUP(Hybridtable[[#This Row],[Planet '#]],tblPlanets[Planet '#],tblPlanets[Name])</f>
        <v>Vesta</v>
      </c>
      <c r="C77" s="68" t="str">
        <f>_xlfn.XLOOKUP(Hybridtable[[#This Row],[Planet '#]],MiningROItable[Planet '#],MiningROItable[ROI])</f>
        <v/>
      </c>
      <c r="D77" s="68" t="str">
        <f>_xlfn.XLOOKUP(Hybridtable[[#This Row],[Planet '#]],MiningROItable[Planet '#],MiningROItable[Breakeven])</f>
        <v/>
      </c>
      <c r="E77" s="68" t="str">
        <f>_xlfn.XLOOKUP(Hybridtable[[#This Row],[Planet '#]],SpeedROI[Planet '#],SpeedROI[ROI])</f>
        <v/>
      </c>
      <c r="F77" s="68" t="str">
        <f>_xlfn.XLOOKUP(Hybridtable[[#This Row],[Planet '#]],SpeedROI[Planet '#],SpeedROI[Breakeven])</f>
        <v/>
      </c>
      <c r="G77" s="68" t="str">
        <f>_xlfn.XLOOKUP(Hybridtable[[#This Row],[Planet '#]],CargoROI[Planet '#],CargoROI[ROI])</f>
        <v/>
      </c>
      <c r="H77" s="68" t="str">
        <f>_xlfn.XLOOKUP(Hybridtable[[#This Row],[Planet '#]],CargoROI[Planet '#],CargoROI[Breakeven])</f>
        <v/>
      </c>
      <c r="I77" s="68" t="str">
        <f>_xlfn.XLOOKUP(Hybridtable[[#This Row],[Planet '#]],UnlockROI[Planet '#],UnlockROI[ROI])</f>
        <v/>
      </c>
      <c r="J77" s="68" t="str">
        <f>_xlfn.XLOOKUP(Hybridtable[[#This Row],[Planet '#]],UnlockROI[Planet '#],UnlockROI[Breakeven])</f>
        <v/>
      </c>
      <c r="K77" s="69" t="str">
        <f>IF(
   NOT(ISNUMBER(Hybridtable[[#This Row],[Mining ROI/hr]])),
   "",
   IF(
      COUNT(Hybridtable[Mining ROI/hr],Hybridtable[Speed ROI/hr],Hybridtable[Cargo ROI/hr],Hybridtable[Unlock ROI/hr])&lt;=1,
      1,
      1 - (
         COUNTIF(Hybridtable[Mining ROI/hr],"&gt;"&amp;Hybridtable[[#This Row],[Mining ROI/hr]]) +
         COUNTIF(Hybridtable[Speed ROI/hr],"&gt;"&amp;Hybridtable[[#This Row],[Mining ROI/hr]]) +
         COUNTIF(Hybridtable[Cargo ROI/hr],"&gt;"&amp;Hybridtable[[#This Row],[Mining ROI/hr]]) +
         COUNTIF(Hybridtable[Unlock ROI/hr],"&gt;"&amp;Hybridtable[[#This Row],[Mining ROI/hr]])
      ) /
      (COUNT(Hybridtable[Mining ROI/hr],Hybridtable[Speed ROI/hr],Hybridtable[Cargo ROI/hr],Hybridtable[Unlock ROI/hr]) - 1)
   )
)</f>
        <v/>
      </c>
      <c r="L77" s="69" t="str">
        <f>IF(
   NOT(ISNUMBER(Hybridtable[[#This Row],[Mining Breakeven (sec)]])),
   "",
   IF(
      COUNT(Hybridtable[Mining Breakeven (sec)],Hybridtable[Speed Breakeven (sec)],Hybridtable[Cargo Breakeven (sec)],Hybridtable[Unlock Breakeven (sec)])&lt;=1,
      1,
      1 - (
         COUNTIF(Hybridtable[Mining Breakeven (sec)],"&lt;"&amp;Hybridtable[[#This Row],[Mining Breakeven (sec)]]) +
         COUNTIF(Hybridtable[Speed Breakeven (sec)],"&lt;"&amp;Hybridtable[[#This Row],[Mining Breakeven (sec)]]) +
         COUNTIF(Hybridtable[Cargo Breakeven (sec)],"&lt;"&amp;Hybridtable[[#This Row],[Mining Breakeven (sec)]]) +
         COUNTIF(Hybridtable[Unlock Breakeven (sec)],"&lt;"&amp;Hybridtable[[#This Row],[Mining Breakeven (sec)]])
      ) /
      (COUNT(Hybridtable[Mining Breakeven (sec)],Hybridtable[Speed Breakeven (sec)],Hybridtable[Cargo Breakeven (sec)],Hybridtable[Unlock Breakeven (sec)]) - 1)
   )
)</f>
        <v/>
      </c>
      <c r="M77" s="69" t="str">
        <f>IF(
   NOT(ISNUMBER(Hybridtable[[#This Row],[Speed ROI/hr]])),
   "",
   IF(
      COUNT(Hybridtable[Mining ROI/hr],Hybridtable[Speed ROI/hr],Hybridtable[Cargo ROI/hr],Hybridtable[Unlock ROI/hr])&lt;=1,
      1,
      1 - (
         COUNTIF(Hybridtable[Mining ROI/hr],"&gt;"&amp;Hybridtable[[#This Row],[Speed ROI/hr]]) +
         COUNTIF(Hybridtable[Speed ROI/hr],"&gt;"&amp;Hybridtable[[#This Row],[Speed ROI/hr]]) +
         COUNTIF(Hybridtable[Cargo ROI/hr],"&gt;"&amp;Hybridtable[[#This Row],[Speed ROI/hr]]) +
         COUNTIF(Hybridtable[Unlock ROI/hr],"&gt;"&amp;Hybridtable[[#This Row],[Speed ROI/hr]])
      ) /
      (COUNT(Hybridtable[Mining ROI/hr],Hybridtable[Speed ROI/hr],Hybridtable[Cargo ROI/hr],Hybridtable[Unlock ROI/hr]) - 1)
   )
)</f>
        <v/>
      </c>
      <c r="N77" s="69" t="str">
        <f>IF(
   NOT(ISNUMBER(Hybridtable[[#This Row],[Speed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Row],[Speed Breakeven (sec)]]) +
         COUNTIF(Hybridtable[Speed Breakeven (sec)],"&lt;"&amp;Hybridtable[[#This Row],[Speed Breakeven (sec)]]) +
         COUNTIF(Hybridtable[Cargo Breakeven (sec)],"&lt;"&amp;Hybridtable[[#This Row],[Speed Breakeven (sec)]]) +
         COUNTIF(Hybridtable[Unlock Breakeven (sec)],"&lt;"&amp;Hybridtable[[#This Row],[Speed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O77" s="69" t="str">
        <f>IF(
   NOT(ISNUMBER(Hybridtable[[#This Row],[Cargo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Row],[Cargo ROI/hr]]) +
         COUNTIF(Hybridtable[Speed ROI/hr],"&gt;"&amp;Hybridtable[[#This Row],[Cargo ROI/hr]]) +
         COUNTIF(Hybridtable[Cargo ROI/hr],"&gt;"&amp;Hybridtable[[#This Row],[Cargo ROI/hr]]) +
         COUNTIF(Hybridtable[Unlock ROI/hr],"&gt;"&amp;Hybridtable[[#This Row],[Cargo ROI/hr]])
      ) /
      (COUNT(
         Hybridtable[Mining ROI/hr],
         Hybridtable[Speed ROI/hr],
         Hybridtable[Cargo ROI/hr],
         Hybridtable[Unlock ROI/hr]
      ) - 1)
   )
)</f>
        <v/>
      </c>
      <c r="P77" s="69" t="str">
        <f>IF(
   NOT(ISNUMBER(Hybridtable[[#This Row],[Cargo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Row],[Cargo Breakeven (sec)]]) +
         COUNTIF(Hybridtable[Speed Breakeven (sec)],"&lt;"&amp;Hybridtable[[#This Row],[Cargo Breakeven (sec)]]) +
         COUNTIF(Hybridtable[Cargo Breakeven (sec)],"&lt;"&amp;Hybridtable[[#This Row],[Cargo Breakeven (sec)]]) +
         COUNTIF(Hybridtable[Unlock Breakeven (sec)],"&lt;"&amp;Hybridtable[[#This Row],[Cargo Breakeven (sec)]])
      ) /
      (COUNT(
         Hybridtable[Mining Breakeven (sec)],
         Hybridtable[Speed Breakeven (sec)],
         Hybridtable[Cargo Breakeven (sec)],
         Hybridtable[Unlock Breakeven (sec)]
      ) - 1)
   )
)</f>
        <v/>
      </c>
      <c r="Q77" s="69" t="str">
        <f>IF(
   NOT(ISNUMBER(Hybridtable[[#This Row],[Unlock ROI/hr]])),
   "",
   IF(
      COUNT(
         Hybridtable[Mining ROI/hr],
         Hybridtable[Speed ROI/hr],
         Hybridtable[Cargo ROI/hr],
         Hybridtable[Unlock ROI/hr]
      )&lt;=1,
      1,
      1 - (
         COUNTIF(Hybridtable[Mining ROI/hr],"&gt;"&amp;Hybridtable[[#This Row],[Unlock ROI/hr]]) +
         COUNTIF(Hybridtable[Speed ROI/hr],"&gt;"&amp;Hybridtable[[#This Row],[Unlock ROI/hr]]) +
         COUNTIF(Hybridtable[Cargo ROI/hr],"&gt;"&amp;Hybridtable[[#This Row],[Unlock ROI/hr]]) +
         COUNTIF(Hybridtable[Unlock ROI/hr],"&gt;"&amp;Hybridtable[[#This Row],[Unlock ROI/hr]])
      ) /
      (COUNT(
         Hybridtable[Mining ROI/hr],
         Hybridtable[Speed ROI/hr],
         Hybridtable[Cargo ROI/hr],
         Hybridtable[Unlock ROI/hr]
      ) - 1)
   )
)</f>
        <v/>
      </c>
      <c r="R77" s="69" t="str">
        <f>IF(
   NOT(ISNUMBER(Hybridtable[[#This Row],[Unlock Breakeven (sec)]])),
   "",
   IF(
      COUNT(
         Hybridtable[Mining Breakeven (sec)],
         Hybridtable[Speed Breakeven (sec)],
         Hybridtable[Cargo Breakeven (sec)],
         Hybridtable[Unlock Breakeven (sec)]
      )&lt;=1,
      1,
      1 - (
         COUNTIF(Hybridtable[Mining Breakeven (sec)],"&lt;"&amp;Hybridtable[[#This Row],[Unlock Breakeven (sec)]]) +
         COUNTIF(Hybridtable[Speed Breakeven (sec)],"&lt;"&amp;Hybridtable[[#This Row],[Unlock Breakeven (sec)]]) +
         COUNTIF(Hybridtable[Cargo Breakeven (sec)],"&lt;"&amp;Hybridtable[[#This Row],[Unlock Breakeven (sec)]]) +
         COUNTIF(Hybridtable[Unlock Breakeven (sec)],"&lt;"&amp;Hybridtable[[#This Row],[Unlock Breakeven (sec)]])
      ) /
      (COUNT(
         Hybridtable[Mining Breakeven (sec)],
         Hybridtable[Speed Breakeven (sec)],
         Hybridtable[Cargo Breakeven (sec)],
         Hybridtable[Unlock Breakeven (sec)]
      ) - 1)
   )
)</f>
        <v/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761D3-1D53-42B1-98CE-EDB2ECDB1833}">
  <sheetPr codeName="Sheet16"/>
  <dimension ref="A1:T305"/>
  <sheetViews>
    <sheetView workbookViewId="0">
      <selection activeCell="H18" sqref="H18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16.6640625" bestFit="1" customWidth="1"/>
    <col min="4" max="4" width="10.77734375" bestFit="1" customWidth="1"/>
    <col min="5" max="5" width="18.77734375" bestFit="1" customWidth="1"/>
    <col min="6" max="6" width="13.5546875" bestFit="1" customWidth="1"/>
    <col min="7" max="7" width="12.6640625" bestFit="1" customWidth="1"/>
    <col min="8" max="8" width="18.44140625" customWidth="1"/>
    <col min="9" max="9" width="16.21875" bestFit="1" customWidth="1"/>
    <col min="10" max="10" width="14.6640625" bestFit="1" customWidth="1"/>
    <col min="11" max="11" width="12" hidden="1" customWidth="1"/>
    <col min="14" max="14" width="7.33203125" hidden="1" customWidth="1"/>
    <col min="15" max="15" width="9.88671875" hidden="1" customWidth="1"/>
    <col min="16" max="16" width="8.21875" hidden="1" customWidth="1"/>
    <col min="17" max="17" width="7.109375" hidden="1" customWidth="1"/>
    <col min="18" max="18" width="6.21875" hidden="1" customWidth="1"/>
    <col min="19" max="19" width="11.88671875" hidden="1" customWidth="1"/>
    <col min="20" max="20" width="8.88671875" hidden="1" customWidth="1"/>
  </cols>
  <sheetData>
    <row r="1" spans="1:20" x14ac:dyDescent="0.3">
      <c r="A1" s="16" t="s">
        <v>0</v>
      </c>
      <c r="B1" s="16" t="s">
        <v>155</v>
      </c>
      <c r="C1" s="16" t="s">
        <v>225</v>
      </c>
      <c r="D1" s="16" t="s">
        <v>251</v>
      </c>
      <c r="E1" s="16" t="s">
        <v>224</v>
      </c>
      <c r="F1" s="16" t="s">
        <v>231</v>
      </c>
      <c r="G1" s="16" t="s">
        <v>232</v>
      </c>
      <c r="H1" s="16" t="s">
        <v>236</v>
      </c>
      <c r="I1" s="16" t="s">
        <v>233</v>
      </c>
      <c r="J1" s="16" t="s">
        <v>235</v>
      </c>
      <c r="K1" s="16" t="s">
        <v>237</v>
      </c>
      <c r="L1" s="16" t="s">
        <v>234</v>
      </c>
      <c r="N1" t="s">
        <v>220</v>
      </c>
      <c r="O1" t="s">
        <v>0</v>
      </c>
      <c r="P1" t="s">
        <v>155</v>
      </c>
      <c r="Q1" t="s">
        <v>238</v>
      </c>
      <c r="R1" t="s">
        <v>178</v>
      </c>
      <c r="S1" t="s">
        <v>187</v>
      </c>
      <c r="T1" t="s">
        <v>223</v>
      </c>
    </row>
    <row r="2" spans="1:20" x14ac:dyDescent="0.3">
      <c r="A2" s="16">
        <f t="shared" ref="A2:A16" si="0">INT((ROW()-ROW($A$2))/4)+1</f>
        <v>1</v>
      </c>
      <c r="B2" s="68" t="str">
        <f>_xlfn.XLOOKUP(UpgradeScores[[#This Row],[Planet '#]],Hybridtable[Planet '#],Hybridtable[Name])</f>
        <v>Balor</v>
      </c>
      <c r="C2" s="68" t="s">
        <v>226</v>
      </c>
      <c r="D2" s="78" cm="1">
        <f t="array" ref="D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23.642750818695983</v>
      </c>
      <c r="E2" s="78" cm="1">
        <f t="array" ref="E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9135.9927470535076</v>
      </c>
      <c r="F2" s="77" cm="1">
        <f t="array" ref="F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0.2857142857142857</v>
      </c>
      <c r="G2" s="77" cm="1">
        <f t="array" ref="G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0.1428571428571429</v>
      </c>
      <c r="H2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0.51671096607805467</v>
      </c>
      <c r="I2" s="79">
        <f>IF(COUNT(F2:G2)&lt;2,"",$N$16*UpgradeScores[[#This Row],[ROI Score]]+$O$16*UpgradeScores[[#This Row],[BE Score]])</f>
        <v>0.2142857142857143</v>
      </c>
      <c r="J2" s="79">
        <f t="shared" ref="J2:J65" si="1">IF(COUNT(F2:G2)&lt;2,"",SQRT(F2*G2))</f>
        <v>0.20203050891044216</v>
      </c>
      <c r="K2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7.0060020000000005</v>
      </c>
      <c r="L2" s="68">
        <f>IF(UpgradeScores[[#This Row],[Grade]]="", "",
   _xlfn.RANK.EQ(UpgradeScores[[#This Row],[Grade]], UpgradeScores[Grade], 1)
)</f>
        <v>7</v>
      </c>
      <c r="N2">
        <v>1</v>
      </c>
      <c r="O2">
        <f>IFERROR(INDEX(UpgradeScores[Planet '#], MATCH(Table10[[#This Row],[Rank]], UpgradeScores[Ranking], 0)),"")</f>
        <v>6</v>
      </c>
      <c r="P2" t="str">
        <f>IFERROR(INDEX(UpgradeScores[Name], MATCH(Table10[[#This Row],[Rank]], UpgradeScores[Ranking], 0)),"")</f>
        <v>Newton</v>
      </c>
      <c r="Q2" t="str">
        <f>IFERROR(INDEX(UpgradeScores[Upgrade Type], MATCH(Table10[[#This Row],[Rank]], UpgradeScores[Ranking], 0)),"")</f>
        <v>Mining</v>
      </c>
      <c r="R2">
        <f>IFERROR(INDEX(UpgradeScores[ROI/hr.], MATCH(Table10[[#This Row],[Rank]], UpgradeScores[Ranking], 0)),"")</f>
        <v>123.42047662379188</v>
      </c>
      <c r="S2">
        <f>IFERROR(INDEX(UpgradeScores[Breakeven (sec)], MATCH(Table10[[#This Row],[Rank]], UpgradeScores[Ranking], 0)),"")</f>
        <v>247.59375729872198</v>
      </c>
      <c r="T2">
        <f>IFERROR(INDEX(UpgradeScores[Hybrid Score], MATCH(Table10[[#This Row],[Rank]], UpgradeScores[Ranking], 0)),"")</f>
        <v>1</v>
      </c>
    </row>
    <row r="3" spans="1:20" x14ac:dyDescent="0.3">
      <c r="A3" s="16">
        <f t="shared" si="0"/>
        <v>1</v>
      </c>
      <c r="B3" s="68" t="str">
        <f>_xlfn.XLOOKUP(UpgradeScores[[#This Row],[Planet '#]],Hybridtable[Planet '#],Hybridtable[Name])</f>
        <v>Balor</v>
      </c>
      <c r="C3" s="68" t="s">
        <v>227</v>
      </c>
      <c r="D3" s="78" t="str" cm="1">
        <f t="array" ref="D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" s="78" t="str" cm="1">
        <f t="array" ref="E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" s="77" t="str" cm="1">
        <f t="array" ref="F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" s="77" t="str" cm="1">
        <f t="array" ref="G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" s="79" t="str">
        <f>IF(COUNT(F3:G3)&lt;2,"",$N$16*UpgradeScores[[#This Row],[ROI Score]]+$O$16*UpgradeScores[[#This Row],[BE Score]])</f>
        <v/>
      </c>
      <c r="J3" s="79" t="str">
        <f t="shared" si="1"/>
        <v/>
      </c>
      <c r="K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" s="68" t="str">
        <f>IF(UpgradeScores[[#This Row],[Grade]]="", "",
   _xlfn.RANK.EQ(UpgradeScores[[#This Row],[Grade]], UpgradeScores[Grade], 1)
)</f>
        <v/>
      </c>
      <c r="N3">
        <v>2</v>
      </c>
      <c r="O3">
        <f>IFERROR(INDEX(UpgradeScores[Planet '#], MATCH(Table10[[#This Row],[Rank]], UpgradeScores[Ranking], 0)),"")</f>
        <v>7</v>
      </c>
      <c r="P3" t="str">
        <f>IFERROR(INDEX(UpgradeScores[Name], MATCH(Table10[[#This Row],[Rank]], UpgradeScores[Ranking], 0)),"")</f>
        <v>Widow</v>
      </c>
      <c r="Q3" t="str">
        <f>IFERROR(INDEX(UpgradeScores[Upgrade Type], MATCH(Table10[[#This Row],[Rank]], UpgradeScores[Ranking], 0)),"")</f>
        <v>Cargo</v>
      </c>
      <c r="R3">
        <f>IFERROR(INDEX(UpgradeScores[ROI/hr.], MATCH(Table10[[#This Row],[Rank]], UpgradeScores[Ranking], 0)),"")</f>
        <v>25.344773154362386</v>
      </c>
      <c r="S3">
        <f>IFERROR(INDEX(UpgradeScores[Breakeven (sec)], MATCH(Table10[[#This Row],[Rank]], UpgradeScores[Ranking], 0)),"")</f>
        <v>2116.4127085811929</v>
      </c>
      <c r="T3">
        <f>IFERROR(INDEX(UpgradeScores[Hybrid Score], MATCH(Table10[[#This Row],[Rank]], UpgradeScores[Ranking], 0)),"")</f>
        <v>0.7142857142857143</v>
      </c>
    </row>
    <row r="4" spans="1:20" x14ac:dyDescent="0.3">
      <c r="A4" s="16">
        <f t="shared" si="0"/>
        <v>1</v>
      </c>
      <c r="B4" s="68" t="str">
        <f>_xlfn.XLOOKUP(UpgradeScores[[#This Row],[Planet '#]],Hybridtable[Planet '#],Hybridtable[Name])</f>
        <v>Balor</v>
      </c>
      <c r="C4" s="68" t="s">
        <v>159</v>
      </c>
      <c r="D4" s="78" t="str" cm="1">
        <f t="array" ref="D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" s="78" t="str" cm="1">
        <f t="array" ref="E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" s="77" t="str" cm="1">
        <f t="array" ref="F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" s="77" t="str" cm="1">
        <f t="array" ref="G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" s="79" t="str">
        <f>IF(COUNT(F4:G4)&lt;2,"",$N$16*UpgradeScores[[#This Row],[ROI Score]]+$O$16*UpgradeScores[[#This Row],[BE Score]])</f>
        <v/>
      </c>
      <c r="J4" s="79" t="str">
        <f t="shared" si="1"/>
        <v/>
      </c>
      <c r="K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" s="68" t="str">
        <f>IF(UpgradeScores[[#This Row],[Grade]]="", "",
   _xlfn.RANK.EQ(UpgradeScores[[#This Row],[Grade]], UpgradeScores[Grade], 1)
)</f>
        <v/>
      </c>
      <c r="N4">
        <v>3</v>
      </c>
      <c r="O4">
        <f>IFERROR(INDEX(UpgradeScores[Planet '#], MATCH(Table10[[#This Row],[Rank]], UpgradeScores[Ranking], 0)),"")</f>
        <v>7</v>
      </c>
      <c r="P4" t="str">
        <f>IFERROR(INDEX(UpgradeScores[Name], MATCH(Table10[[#This Row],[Rank]], UpgradeScores[Ranking], 0)),"")</f>
        <v>Widow</v>
      </c>
      <c r="Q4" t="str">
        <f>IFERROR(INDEX(UpgradeScores[Upgrade Type], MATCH(Table10[[#This Row],[Rank]], UpgradeScores[Ranking], 0)),"")</f>
        <v>Speed</v>
      </c>
      <c r="R4">
        <f>IFERROR(INDEX(UpgradeScores[ROI/hr.], MATCH(Table10[[#This Row],[Rank]], UpgradeScores[Ranking], 0)),"")</f>
        <v>25.344773154362386</v>
      </c>
      <c r="S4">
        <f>IFERROR(INDEX(UpgradeScores[Breakeven (sec)], MATCH(Table10[[#This Row],[Rank]], UpgradeScores[Ranking], 0)),"")</f>
        <v>2116.4127085811929</v>
      </c>
      <c r="T4">
        <f>IFERROR(INDEX(UpgradeScores[Hybrid Score], MATCH(Table10[[#This Row],[Rank]], UpgradeScores[Ranking], 0)),"")</f>
        <v>0.7142857142857143</v>
      </c>
    </row>
    <row r="5" spans="1:20" x14ac:dyDescent="0.3">
      <c r="A5" s="16">
        <f t="shared" si="0"/>
        <v>1</v>
      </c>
      <c r="B5" s="68" t="str">
        <f>_xlfn.XLOOKUP(UpgradeScores[[#This Row],[Planet '#]],Hybridtable[Planet '#],Hybridtable[Name])</f>
        <v>Balor</v>
      </c>
      <c r="C5" s="68" t="s">
        <v>228</v>
      </c>
      <c r="D5" s="78" t="str" cm="1">
        <f t="array" ref="D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" s="78" t="str" cm="1">
        <f t="array" ref="E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" s="77" t="str" cm="1">
        <f t="array" ref="F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" s="77" t="str" cm="1">
        <f t="array" ref="G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" s="79" t="str">
        <f>IF(COUNT(F5:G5)&lt;2,"",$N$16*UpgradeScores[[#This Row],[ROI Score]]+$O$16*UpgradeScores[[#This Row],[BE Score]])</f>
        <v/>
      </c>
      <c r="J5" s="79" t="str">
        <f t="shared" si="1"/>
        <v/>
      </c>
      <c r="K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" s="68" t="str">
        <f>IF(UpgradeScores[[#This Row],[Grade]]="", "",
   _xlfn.RANK.EQ(UpgradeScores[[#This Row],[Grade]], UpgradeScores[Grade], 1)
)</f>
        <v/>
      </c>
      <c r="N5">
        <v>4</v>
      </c>
      <c r="O5">
        <f>IFERROR(INDEX(UpgradeScores[Planet '#], MATCH(Table10[[#This Row],[Rank]], UpgradeScores[Ranking], 0)),"")</f>
        <v>3</v>
      </c>
      <c r="P5" t="str">
        <f>IFERROR(INDEX(UpgradeScores[Name], MATCH(Table10[[#This Row],[Rank]], UpgradeScores[Ranking], 0)),"")</f>
        <v>Anadius</v>
      </c>
      <c r="Q5" t="str">
        <f>IFERROR(INDEX(UpgradeScores[Upgrade Type], MATCH(Table10[[#This Row],[Rank]], UpgradeScores[Ranking], 0)),"")</f>
        <v>Mining</v>
      </c>
      <c r="R5">
        <f>IFERROR(INDEX(UpgradeScores[ROI/hr.], MATCH(Table10[[#This Row],[Rank]], UpgradeScores[Ranking], 0)),"")</f>
        <v>27.905345851695756</v>
      </c>
      <c r="S5">
        <f>IFERROR(INDEX(UpgradeScores[Breakeven (sec)], MATCH(Table10[[#This Row],[Rank]], UpgradeScores[Ranking], 0)),"")</f>
        <v>7740.4523544679196</v>
      </c>
      <c r="T5">
        <f>IFERROR(INDEX(UpgradeScores[Hybrid Score], MATCH(Table10[[#This Row],[Rank]], UpgradeScores[Ranking], 0)),"")</f>
        <v>0.6428571428571429</v>
      </c>
    </row>
    <row r="6" spans="1:20" x14ac:dyDescent="0.3">
      <c r="A6" s="16">
        <f t="shared" si="0"/>
        <v>2</v>
      </c>
      <c r="B6" s="68" t="str">
        <f>_xlfn.XLOOKUP(UpgradeScores[[#This Row],[Planet '#]],Hybridtable[Planet '#],Hybridtable[Name])</f>
        <v>Drasta</v>
      </c>
      <c r="C6" s="68" t="s">
        <v>226</v>
      </c>
      <c r="D6" s="78" cm="1">
        <f t="array" ref="D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22.496603773584916</v>
      </c>
      <c r="E6" s="78" cm="1">
        <f t="array" ref="E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9601.4492753623163</v>
      </c>
      <c r="F6" s="77" cm="1">
        <f t="array" ref="F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0.1428571428571429</v>
      </c>
      <c r="G6" s="77" cm="1">
        <f t="array" ref="G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0</v>
      </c>
      <c r="H6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0.34519274376417219</v>
      </c>
      <c r="I6" s="79">
        <f>IF(COUNT(F6:G6)&lt;2,"",$N$16*UpgradeScores[[#This Row],[ROI Score]]+$O$16*UpgradeScores[[#This Row],[BE Score]])</f>
        <v>7.1428571428571452E-2</v>
      </c>
      <c r="J6" s="79">
        <f t="shared" si="1"/>
        <v>0</v>
      </c>
      <c r="K6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8.0070029999999992</v>
      </c>
      <c r="L6" s="68">
        <f>IF(UpgradeScores[[#This Row],[Grade]]="", "",
   _xlfn.RANK.EQ(UpgradeScores[[#This Row],[Grade]], UpgradeScores[Grade], 1)
)</f>
        <v>8</v>
      </c>
      <c r="N6">
        <v>5</v>
      </c>
      <c r="O6">
        <f>IFERROR(INDEX(UpgradeScores[Planet '#], MATCH(Table10[[#This Row],[Rank]], UpgradeScores[Ranking], 0)),"")</f>
        <v>4</v>
      </c>
      <c r="P6" t="str">
        <f>IFERROR(INDEX(UpgradeScores[Name], MATCH(Table10[[#This Row],[Rank]], UpgradeScores[Ranking], 0)),"")</f>
        <v>Dholen</v>
      </c>
      <c r="Q6" t="str">
        <f>IFERROR(INDEX(UpgradeScores[Upgrade Type], MATCH(Table10[[#This Row],[Rank]], UpgradeScores[Ranking], 0)),"")</f>
        <v>Mining</v>
      </c>
      <c r="R6">
        <f>IFERROR(INDEX(UpgradeScores[ROI/hr.], MATCH(Table10[[#This Row],[Rank]], UpgradeScores[Ranking], 0)),"")</f>
        <v>27.897319000129524</v>
      </c>
      <c r="S6">
        <f>IFERROR(INDEX(UpgradeScores[Breakeven (sec)], MATCH(Table10[[#This Row],[Rank]], UpgradeScores[Ranking], 0)),"")</f>
        <v>7742.6795026073041</v>
      </c>
      <c r="T6">
        <f>IFERROR(INDEX(UpgradeScores[Hybrid Score], MATCH(Table10[[#This Row],[Rank]], UpgradeScores[Ranking], 0)),"")</f>
        <v>0.5</v>
      </c>
    </row>
    <row r="7" spans="1:20" x14ac:dyDescent="0.3">
      <c r="A7" s="16">
        <f t="shared" si="0"/>
        <v>2</v>
      </c>
      <c r="B7" s="68" t="str">
        <f>_xlfn.XLOOKUP(UpgradeScores[[#This Row],[Planet '#]],Hybridtable[Planet '#],Hybridtable[Name])</f>
        <v>Drasta</v>
      </c>
      <c r="C7" s="68" t="s">
        <v>227</v>
      </c>
      <c r="D7" s="78" t="str" cm="1">
        <f t="array" ref="D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" s="78" t="str" cm="1">
        <f t="array" ref="E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" s="77" t="str" cm="1">
        <f t="array" ref="F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" s="77" t="str" cm="1">
        <f t="array" ref="G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" s="79" t="str">
        <f>IF(COUNT(F7:G7)&lt;2,"",$N$16*UpgradeScores[[#This Row],[ROI Score]]+$O$16*UpgradeScores[[#This Row],[BE Score]])</f>
        <v/>
      </c>
      <c r="J7" s="79" t="str">
        <f t="shared" si="1"/>
        <v/>
      </c>
      <c r="K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" s="68" t="str">
        <f>IF(UpgradeScores[[#This Row],[Grade]]="", "",
   _xlfn.RANK.EQ(UpgradeScores[[#This Row],[Grade]], UpgradeScores[Grade], 1)
)</f>
        <v/>
      </c>
      <c r="N7">
        <v>6</v>
      </c>
      <c r="O7">
        <f>IFERROR(INDEX(UpgradeScores[Planet '#], MATCH(Table10[[#This Row],[Rank]], UpgradeScores[Ranking], 0)),"")</f>
        <v>5</v>
      </c>
      <c r="P7" t="str">
        <f>IFERROR(INDEX(UpgradeScores[Name], MATCH(Table10[[#This Row],[Rank]], UpgradeScores[Ranking], 0)),"")</f>
        <v>Verr</v>
      </c>
      <c r="Q7" t="str">
        <f>IFERROR(INDEX(UpgradeScores[Upgrade Type], MATCH(Table10[[#This Row],[Rank]], UpgradeScores[Ranking], 0)),"")</f>
        <v>Mining</v>
      </c>
      <c r="R7">
        <f>IFERROR(INDEX(UpgradeScores[ROI/hr.], MATCH(Table10[[#This Row],[Rank]], UpgradeScores[Ranking], 0)),"")</f>
        <v>9.2779089762692735</v>
      </c>
      <c r="S7">
        <f>IFERROR(INDEX(UpgradeScores[Breakeven (sec)], MATCH(Table10[[#This Row],[Rank]], UpgradeScores[Ranking], 0)),"")</f>
        <v>3817.8881081098252</v>
      </c>
      <c r="T7">
        <f>IFERROR(INDEX(UpgradeScores[Hybrid Score], MATCH(Table10[[#This Row],[Rank]], UpgradeScores[Ranking], 0)),"")</f>
        <v>0.2857142857142857</v>
      </c>
    </row>
    <row r="8" spans="1:20" x14ac:dyDescent="0.3">
      <c r="A8" s="16">
        <f t="shared" si="0"/>
        <v>2</v>
      </c>
      <c r="B8" s="68" t="str">
        <f>_xlfn.XLOOKUP(UpgradeScores[[#This Row],[Planet '#]],Hybridtable[Planet '#],Hybridtable[Name])</f>
        <v>Drasta</v>
      </c>
      <c r="C8" s="68" t="s">
        <v>159</v>
      </c>
      <c r="D8" s="78" t="str" cm="1">
        <f t="array" ref="D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" s="78" t="str" cm="1">
        <f t="array" ref="E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" s="77" t="str" cm="1">
        <f t="array" ref="F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" s="77" t="str" cm="1">
        <f t="array" ref="G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" s="79" t="str">
        <f>IF(COUNT(F8:G8)&lt;2,"",$N$16*UpgradeScores[[#This Row],[ROI Score]]+$O$16*UpgradeScores[[#This Row],[BE Score]])</f>
        <v/>
      </c>
      <c r="J8" s="79" t="str">
        <f t="shared" si="1"/>
        <v/>
      </c>
      <c r="K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" s="68" t="str">
        <f>IF(UpgradeScores[[#This Row],[Grade]]="", "",
   _xlfn.RANK.EQ(UpgradeScores[[#This Row],[Grade]], UpgradeScores[Grade], 1)
)</f>
        <v/>
      </c>
      <c r="N8">
        <v>7</v>
      </c>
      <c r="O8">
        <f>IFERROR(INDEX(UpgradeScores[Planet '#], MATCH(Table10[[#This Row],[Rank]], UpgradeScores[Ranking], 0)),"")</f>
        <v>1</v>
      </c>
      <c r="P8" t="str">
        <f>IFERROR(INDEX(UpgradeScores[Name], MATCH(Table10[[#This Row],[Rank]], UpgradeScores[Ranking], 0)),"")</f>
        <v>Balor</v>
      </c>
      <c r="Q8" t="str">
        <f>IFERROR(INDEX(UpgradeScores[Upgrade Type], MATCH(Table10[[#This Row],[Rank]], UpgradeScores[Ranking], 0)),"")</f>
        <v>Mining</v>
      </c>
      <c r="R8">
        <f>IFERROR(INDEX(UpgradeScores[ROI/hr.], MATCH(Table10[[#This Row],[Rank]], UpgradeScores[Ranking], 0)),"")</f>
        <v>23.642750818695983</v>
      </c>
      <c r="S8">
        <f>IFERROR(INDEX(UpgradeScores[Breakeven (sec)], MATCH(Table10[[#This Row],[Rank]], UpgradeScores[Ranking], 0)),"")</f>
        <v>9135.9927470535076</v>
      </c>
      <c r="T8">
        <f>IFERROR(INDEX(UpgradeScores[Hybrid Score], MATCH(Table10[[#This Row],[Rank]], UpgradeScores[Ranking], 0)),"")</f>
        <v>0.2142857142857143</v>
      </c>
    </row>
    <row r="9" spans="1:20" x14ac:dyDescent="0.3">
      <c r="A9" s="16">
        <f t="shared" si="0"/>
        <v>2</v>
      </c>
      <c r="B9" s="68" t="str">
        <f>_xlfn.XLOOKUP(UpgradeScores[[#This Row],[Planet '#]],Hybridtable[Planet '#],Hybridtable[Name])</f>
        <v>Drasta</v>
      </c>
      <c r="C9" s="68" t="s">
        <v>228</v>
      </c>
      <c r="D9" s="78" t="str" cm="1">
        <f t="array" ref="D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" s="78" t="str" cm="1">
        <f t="array" ref="E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" s="77" t="str" cm="1">
        <f t="array" ref="F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" s="77" t="str" cm="1">
        <f t="array" ref="G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" s="79" t="str">
        <f>IF(COUNT(F9:G9)&lt;2,"",$N$16*UpgradeScores[[#This Row],[ROI Score]]+$O$16*UpgradeScores[[#This Row],[BE Score]])</f>
        <v/>
      </c>
      <c r="J9" s="79" t="str">
        <f t="shared" si="1"/>
        <v/>
      </c>
      <c r="K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" s="68" t="str">
        <f>IF(UpgradeScores[[#This Row],[Grade]]="", "",
   _xlfn.RANK.EQ(UpgradeScores[[#This Row],[Grade]], UpgradeScores[Grade], 1)
)</f>
        <v/>
      </c>
      <c r="N9">
        <v>8</v>
      </c>
      <c r="O9">
        <f>IFERROR(INDEX(UpgradeScores[Planet '#], MATCH(Table10[[#This Row],[Rank]], UpgradeScores[Ranking], 0)),"")</f>
        <v>2</v>
      </c>
      <c r="P9" t="str">
        <f>IFERROR(INDEX(UpgradeScores[Name], MATCH(Table10[[#This Row],[Rank]], UpgradeScores[Ranking], 0)),"")</f>
        <v>Drasta</v>
      </c>
      <c r="Q9" t="str">
        <f>IFERROR(INDEX(UpgradeScores[Upgrade Type], MATCH(Table10[[#This Row],[Rank]], UpgradeScores[Ranking], 0)),"")</f>
        <v>Mining</v>
      </c>
      <c r="R9">
        <f>IFERROR(INDEX(UpgradeScores[ROI/hr.], MATCH(Table10[[#This Row],[Rank]], UpgradeScores[Ranking], 0)),"")</f>
        <v>22.496603773584916</v>
      </c>
      <c r="S9">
        <f>IFERROR(INDEX(UpgradeScores[Breakeven (sec)], MATCH(Table10[[#This Row],[Rank]], UpgradeScores[Ranking], 0)),"")</f>
        <v>9601.4492753623163</v>
      </c>
      <c r="T9">
        <f>IFERROR(INDEX(UpgradeScores[Hybrid Score], MATCH(Table10[[#This Row],[Rank]], UpgradeScores[Ranking], 0)),"")</f>
        <v>7.1428571428571452E-2</v>
      </c>
    </row>
    <row r="10" spans="1:20" x14ac:dyDescent="0.3">
      <c r="A10" s="16">
        <f t="shared" si="0"/>
        <v>3</v>
      </c>
      <c r="B10" s="68" t="str">
        <f>_xlfn.XLOOKUP(UpgradeScores[[#This Row],[Planet '#]],Hybridtable[Planet '#],Hybridtable[Name])</f>
        <v>Anadius</v>
      </c>
      <c r="C10" s="68" t="s">
        <v>226</v>
      </c>
      <c r="D10" s="78" cm="1">
        <f t="array" ref="D1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27.905345851695756</v>
      </c>
      <c r="E10" s="78" cm="1">
        <f t="array" ref="E1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7740.4523544679196</v>
      </c>
      <c r="F10" s="77" cm="1">
        <f t="array" ref="F1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0.85714285714285721</v>
      </c>
      <c r="G10" s="77" cm="1">
        <f t="array" ref="G1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0.4285714285714286</v>
      </c>
      <c r="H10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0.24255510131532176</v>
      </c>
      <c r="I10" s="79">
        <f>IF(COUNT(F10:G10)&lt;2,"",$N$16*UpgradeScores[[#This Row],[ROI Score]]+$O$16*UpgradeScores[[#This Row],[BE Score]])</f>
        <v>0.6428571428571429</v>
      </c>
      <c r="J10" s="79">
        <f t="shared" si="1"/>
        <v>0.60609152673132649</v>
      </c>
      <c r="K10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4.0040039999999992</v>
      </c>
      <c r="L10" s="68">
        <f>IF(UpgradeScores[[#This Row],[Grade]]="", "",
   _xlfn.RANK.EQ(UpgradeScores[[#This Row],[Grade]], UpgradeScores[Grade], 1)
)</f>
        <v>4</v>
      </c>
      <c r="N10">
        <v>9</v>
      </c>
      <c r="O10" t="str">
        <f>IFERROR(INDEX(UpgradeScores[Planet '#], MATCH(Table10[[#This Row],[Rank]], UpgradeScores[Ranking], 0)),"")</f>
        <v/>
      </c>
      <c r="P10" t="str">
        <f>IFERROR(INDEX(UpgradeScores[Name], MATCH(Table10[[#This Row],[Rank]], UpgradeScores[Ranking], 0)),"")</f>
        <v/>
      </c>
      <c r="Q10" t="str">
        <f>IFERROR(INDEX(UpgradeScores[Upgrade Type], MATCH(Table10[[#This Row],[Rank]], UpgradeScores[Ranking], 0)),"")</f>
        <v/>
      </c>
      <c r="R10" t="str">
        <f>IFERROR(INDEX(UpgradeScores[ROI/hr.], MATCH(Table10[[#This Row],[Rank]], UpgradeScores[Ranking], 0)),"")</f>
        <v/>
      </c>
      <c r="S10" t="str">
        <f>IFERROR(INDEX(UpgradeScores[Breakeven (sec)], MATCH(Table10[[#This Row],[Rank]], UpgradeScores[Ranking], 0)),"")</f>
        <v/>
      </c>
      <c r="T10" t="str">
        <f>IFERROR(INDEX(UpgradeScores[Hybrid Score], MATCH(Table10[[#This Row],[Rank]], UpgradeScores[Ranking], 0)),"")</f>
        <v/>
      </c>
    </row>
    <row r="11" spans="1:20" x14ac:dyDescent="0.3">
      <c r="A11" s="16">
        <f t="shared" si="0"/>
        <v>3</v>
      </c>
      <c r="B11" s="68" t="str">
        <f>_xlfn.XLOOKUP(UpgradeScores[[#This Row],[Planet '#]],Hybridtable[Planet '#],Hybridtable[Name])</f>
        <v>Anadius</v>
      </c>
      <c r="C11" s="68" t="s">
        <v>227</v>
      </c>
      <c r="D11" s="78" t="str" cm="1">
        <f t="array" ref="D1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" s="78" t="str" cm="1">
        <f t="array" ref="E1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" s="77" t="str" cm="1">
        <f t="array" ref="F1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" s="77" t="str" cm="1">
        <f t="array" ref="G1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" s="79" t="str">
        <f>IF(COUNT(F11:G11)&lt;2,"",$N$16*UpgradeScores[[#This Row],[ROI Score]]+$O$16*UpgradeScores[[#This Row],[BE Score]])</f>
        <v/>
      </c>
      <c r="J11" s="79" t="str">
        <f t="shared" si="1"/>
        <v/>
      </c>
      <c r="K1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" s="68" t="str">
        <f>IF(UpgradeScores[[#This Row],[Grade]]="", "",
   _xlfn.RANK.EQ(UpgradeScores[[#This Row],[Grade]], UpgradeScores[Grade], 1)
)</f>
        <v/>
      </c>
      <c r="N11">
        <v>10</v>
      </c>
      <c r="O11" t="str">
        <f>IFERROR(INDEX(UpgradeScores[Planet '#], MATCH(Table10[[#This Row],[Rank]], UpgradeScores[Ranking], 0)),"")</f>
        <v/>
      </c>
      <c r="P11" t="str">
        <f>IFERROR(INDEX(UpgradeScores[Name], MATCH(Table10[[#This Row],[Rank]], UpgradeScores[Ranking], 0)),"")</f>
        <v/>
      </c>
      <c r="Q11" t="str">
        <f>IFERROR(INDEX(UpgradeScores[Upgrade Type], MATCH(Table10[[#This Row],[Rank]], UpgradeScores[Ranking], 0)),"")</f>
        <v/>
      </c>
      <c r="R11" t="str">
        <f>IFERROR(INDEX(UpgradeScores[ROI/hr.], MATCH(Table10[[#This Row],[Rank]], UpgradeScores[Ranking], 0)),"")</f>
        <v/>
      </c>
      <c r="S11" t="str">
        <f>IFERROR(INDEX(UpgradeScores[Breakeven (sec)], MATCH(Table10[[#This Row],[Rank]], UpgradeScores[Ranking], 0)),"")</f>
        <v/>
      </c>
      <c r="T11" t="str">
        <f>IFERROR(INDEX(UpgradeScores[Hybrid Score], MATCH(Table10[[#This Row],[Rank]], UpgradeScores[Ranking], 0)),"")</f>
        <v/>
      </c>
    </row>
    <row r="12" spans="1:20" x14ac:dyDescent="0.3">
      <c r="A12" s="16">
        <f t="shared" si="0"/>
        <v>3</v>
      </c>
      <c r="B12" s="68" t="str">
        <f>_xlfn.XLOOKUP(UpgradeScores[[#This Row],[Planet '#]],Hybridtable[Planet '#],Hybridtable[Name])</f>
        <v>Anadius</v>
      </c>
      <c r="C12" s="68" t="s">
        <v>159</v>
      </c>
      <c r="D12" s="78" t="str" cm="1">
        <f t="array" ref="D1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" s="78" t="str" cm="1">
        <f t="array" ref="E1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" s="77" t="str" cm="1">
        <f t="array" ref="F1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" s="77" t="str" cm="1">
        <f t="array" ref="G1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" s="79" t="str">
        <f>IF(COUNT(F12:G12)&lt;2,"",$N$16*UpgradeScores[[#This Row],[ROI Score]]+$O$16*UpgradeScores[[#This Row],[BE Score]])</f>
        <v/>
      </c>
      <c r="J12" s="79" t="str">
        <f t="shared" si="1"/>
        <v/>
      </c>
      <c r="K1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" s="68" t="str">
        <f>IF(UpgradeScores[[#This Row],[Grade]]="", "",
   _xlfn.RANK.EQ(UpgradeScores[[#This Row],[Grade]], UpgradeScores[Grade], 1)
)</f>
        <v/>
      </c>
    </row>
    <row r="13" spans="1:20" x14ac:dyDescent="0.3">
      <c r="A13" s="16">
        <f t="shared" si="0"/>
        <v>3</v>
      </c>
      <c r="B13" s="68" t="str">
        <f>_xlfn.XLOOKUP(UpgradeScores[[#This Row],[Planet '#]],Hybridtable[Planet '#],Hybridtable[Name])</f>
        <v>Anadius</v>
      </c>
      <c r="C13" s="68" t="s">
        <v>228</v>
      </c>
      <c r="D13" s="78" t="str" cm="1">
        <f t="array" ref="D1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" s="78" t="str" cm="1">
        <f t="array" ref="E1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" s="77" t="str" cm="1">
        <f t="array" ref="F1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" s="77" t="str" cm="1">
        <f t="array" ref="G1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" s="79" t="str">
        <f>IF(COUNT(F13:G13)&lt;2,"",$N$16*UpgradeScores[[#This Row],[ROI Score]]+$O$16*UpgradeScores[[#This Row],[BE Score]])</f>
        <v/>
      </c>
      <c r="J13" s="79" t="str">
        <f t="shared" si="1"/>
        <v/>
      </c>
      <c r="K1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" s="68" t="str">
        <f>IF(UpgradeScores[[#This Row],[Grade]]="", "",
   _xlfn.RANK.EQ(UpgradeScores[[#This Row],[Grade]], UpgradeScores[Grade], 1)
)</f>
        <v/>
      </c>
    </row>
    <row r="14" spans="1:20" x14ac:dyDescent="0.3">
      <c r="A14" s="16">
        <f t="shared" si="0"/>
        <v>4</v>
      </c>
      <c r="B14" s="68" t="str">
        <f>_xlfn.XLOOKUP(UpgradeScores[[#This Row],[Planet '#]],Hybridtable[Planet '#],Hybridtable[Name])</f>
        <v>Dholen</v>
      </c>
      <c r="C14" s="68" t="s">
        <v>226</v>
      </c>
      <c r="D14" s="78" cm="1">
        <f t="array" ref="D1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27.897319000129524</v>
      </c>
      <c r="E14" s="78" cm="1">
        <f t="array" ref="E1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7742.6795026073041</v>
      </c>
      <c r="F14" s="77" cm="1">
        <f t="array" ref="F1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0.7142857142857143</v>
      </c>
      <c r="G14" s="77" cm="1">
        <f t="array" ref="G1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0.2857142857142857</v>
      </c>
      <c r="H14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0.80651791261130668</v>
      </c>
      <c r="I14" s="79">
        <f>IF(COUNT(F14:G14)&lt;2,"",$N$16*UpgradeScores[[#This Row],[ROI Score]]+$O$16*UpgradeScores[[#This Row],[BE Score]])</f>
        <v>0.5</v>
      </c>
      <c r="J14" s="79">
        <f t="shared" si="1"/>
        <v>0.45175395145262565</v>
      </c>
      <c r="K14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5.005001</v>
      </c>
      <c r="L14" s="68">
        <f>IF(UpgradeScores[[#This Row],[Grade]]="", "",
   _xlfn.RANK.EQ(UpgradeScores[[#This Row],[Grade]], UpgradeScores[Grade], 1)
)</f>
        <v>5</v>
      </c>
    </row>
    <row r="15" spans="1:20" x14ac:dyDescent="0.3">
      <c r="A15" s="16">
        <f t="shared" si="0"/>
        <v>4</v>
      </c>
      <c r="B15" s="68" t="str">
        <f>_xlfn.XLOOKUP(UpgradeScores[[#This Row],[Planet '#]],Hybridtable[Planet '#],Hybridtable[Name])</f>
        <v>Dholen</v>
      </c>
      <c r="C15" s="68" t="s">
        <v>227</v>
      </c>
      <c r="D15" s="78" t="str" cm="1">
        <f t="array" ref="D1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" s="78" t="str" cm="1">
        <f t="array" ref="E1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" s="77" t="str" cm="1">
        <f t="array" ref="F1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" s="77" t="str" cm="1">
        <f t="array" ref="G1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" s="79" t="str">
        <f>IF(COUNT(F15:G15)&lt;2,"",$N$16*UpgradeScores[[#This Row],[ROI Score]]+$O$16*UpgradeScores[[#This Row],[BE Score]])</f>
        <v/>
      </c>
      <c r="J15" s="79" t="str">
        <f t="shared" si="1"/>
        <v/>
      </c>
      <c r="K1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" s="68" t="str">
        <f>IF(UpgradeScores[[#This Row],[Grade]]="", "",
   _xlfn.RANK.EQ(UpgradeScores[[#This Row],[Grade]], UpgradeScores[Grade], 1)
)</f>
        <v/>
      </c>
      <c r="N15" t="s">
        <v>178</v>
      </c>
      <c r="O15" t="s">
        <v>187</v>
      </c>
    </row>
    <row r="16" spans="1:20" x14ac:dyDescent="0.3">
      <c r="A16" s="16">
        <f t="shared" si="0"/>
        <v>4</v>
      </c>
      <c r="B16" s="68" t="str">
        <f>_xlfn.XLOOKUP(UpgradeScores[[#This Row],[Planet '#]],Hybridtable[Planet '#],Hybridtable[Name])</f>
        <v>Dholen</v>
      </c>
      <c r="C16" s="68" t="s">
        <v>159</v>
      </c>
      <c r="D16" s="78" t="str" cm="1">
        <f t="array" ref="D1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" s="78" t="str" cm="1">
        <f t="array" ref="E1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" s="77" t="str" cm="1">
        <f t="array" ref="F1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" s="77" t="str" cm="1">
        <f t="array" ref="G1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" s="79" t="str">
        <f>IF(COUNT(F16:G16)&lt;2,"",$N$16*UpgradeScores[[#This Row],[ROI Score]]+$O$16*UpgradeScores[[#This Row],[BE Score]])</f>
        <v/>
      </c>
      <c r="J16" s="79" t="str">
        <f t="shared" si="1"/>
        <v/>
      </c>
      <c r="K1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" s="68" t="str">
        <f>IF(UpgradeScores[[#This Row],[Grade]]="", "",
   _xlfn.RANK.EQ(UpgradeScores[[#This Row],[Grade]], UpgradeScores[Grade], 1)
)</f>
        <v/>
      </c>
      <c r="N16">
        <f>1-Dashboard!J10/100</f>
        <v>0.5</v>
      </c>
      <c r="O16">
        <f>Dashboard!J10/100</f>
        <v>0.5</v>
      </c>
      <c r="P16">
        <f>SUM(N16,O16)</f>
        <v>1</v>
      </c>
    </row>
    <row r="17" spans="1:12" x14ac:dyDescent="0.3">
      <c r="A17" s="16">
        <f t="shared" ref="A17:A48" si="2">INT((ROW()-ROW($A$2))/4)+1</f>
        <v>4</v>
      </c>
      <c r="B17" s="68" t="str">
        <f>_xlfn.XLOOKUP(UpgradeScores[[#This Row],[Planet '#]],Hybridtable[Planet '#],Hybridtable[Name])</f>
        <v>Dholen</v>
      </c>
      <c r="C17" s="68" t="s">
        <v>228</v>
      </c>
      <c r="D17" s="78" t="str" cm="1">
        <f t="array" ref="D1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" s="78" t="str" cm="1">
        <f t="array" ref="E1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" s="77" t="str" cm="1">
        <f t="array" ref="F1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" s="77" t="str" cm="1">
        <f t="array" ref="G1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" s="79" t="str">
        <f>IF(COUNT(F17:G17)&lt;2,"",$N$16*UpgradeScores[[#This Row],[ROI Score]]+$O$16*UpgradeScores[[#This Row],[BE Score]])</f>
        <v/>
      </c>
      <c r="J17" s="79" t="str">
        <f t="shared" si="1"/>
        <v/>
      </c>
      <c r="K1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" s="68" t="str">
        <f>IF(UpgradeScores[[#This Row],[Grade]]="", "",
   _xlfn.RANK.EQ(UpgradeScores[[#This Row],[Grade]], UpgradeScores[Grade], 1)
)</f>
        <v/>
      </c>
    </row>
    <row r="18" spans="1:12" x14ac:dyDescent="0.3">
      <c r="A18" s="16">
        <f t="shared" si="2"/>
        <v>5</v>
      </c>
      <c r="B18" s="68" t="str">
        <f>_xlfn.XLOOKUP(UpgradeScores[[#This Row],[Planet '#]],Hybridtable[Planet '#],Hybridtable[Name])</f>
        <v>Verr</v>
      </c>
      <c r="C18" s="68" t="s">
        <v>226</v>
      </c>
      <c r="D18" s="78" cm="1">
        <f t="array" ref="D1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9.2779089762692735</v>
      </c>
      <c r="E18" s="78" cm="1">
        <f t="array" ref="E1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3817.8881081098252</v>
      </c>
      <c r="F18" s="77" cm="1">
        <f t="array" ref="F1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0</v>
      </c>
      <c r="G18" s="77" cm="1">
        <f t="array" ref="G1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0.5714285714285714</v>
      </c>
      <c r="H18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0</v>
      </c>
      <c r="I18" s="79">
        <f>IF(COUNT(F18:G18)&lt;2,"",$N$16*UpgradeScores[[#This Row],[ROI Score]]+$O$16*UpgradeScores[[#This Row],[BE Score]])</f>
        <v>0.2857142857142857</v>
      </c>
      <c r="J18" s="79">
        <f t="shared" si="1"/>
        <v>0</v>
      </c>
      <c r="K18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6.0070069999999998</v>
      </c>
      <c r="L18" s="68">
        <f>IF(UpgradeScores[[#This Row],[Grade]]="", "",
   _xlfn.RANK.EQ(UpgradeScores[[#This Row],[Grade]], UpgradeScores[Grade], 1)
)</f>
        <v>6</v>
      </c>
    </row>
    <row r="19" spans="1:12" x14ac:dyDescent="0.3">
      <c r="A19" s="16">
        <f t="shared" si="2"/>
        <v>5</v>
      </c>
      <c r="B19" s="68" t="str">
        <f>_xlfn.XLOOKUP(UpgradeScores[[#This Row],[Planet '#]],Hybridtable[Planet '#],Hybridtable[Name])</f>
        <v>Verr</v>
      </c>
      <c r="C19" s="68" t="s">
        <v>227</v>
      </c>
      <c r="D19" s="78" t="str" cm="1">
        <f t="array" ref="D1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" s="78" t="str" cm="1">
        <f t="array" ref="E1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" s="77" t="str" cm="1">
        <f t="array" ref="F1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" s="77" t="str" cm="1">
        <f t="array" ref="G1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" s="79" t="str">
        <f>IF(COUNT(F19:G19)&lt;2,"",$N$16*UpgradeScores[[#This Row],[ROI Score]]+$O$16*UpgradeScores[[#This Row],[BE Score]])</f>
        <v/>
      </c>
      <c r="J19" s="79" t="str">
        <f t="shared" si="1"/>
        <v/>
      </c>
      <c r="K1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" s="68" t="str">
        <f>IF(UpgradeScores[[#This Row],[Grade]]="", "",
   _xlfn.RANK.EQ(UpgradeScores[[#This Row],[Grade]], UpgradeScores[Grade], 1)
)</f>
        <v/>
      </c>
    </row>
    <row r="20" spans="1:12" x14ac:dyDescent="0.3">
      <c r="A20" s="16">
        <f t="shared" si="2"/>
        <v>5</v>
      </c>
      <c r="B20" s="68" t="str">
        <f>_xlfn.XLOOKUP(UpgradeScores[[#This Row],[Planet '#]],Hybridtable[Planet '#],Hybridtable[Name])</f>
        <v>Verr</v>
      </c>
      <c r="C20" s="68" t="s">
        <v>159</v>
      </c>
      <c r="D20" s="78" t="str" cm="1">
        <f t="array" ref="D2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" s="78" t="str" cm="1">
        <f t="array" ref="E2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" s="77" t="str" cm="1">
        <f t="array" ref="F2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" s="77" t="str" cm="1">
        <f t="array" ref="G2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" s="79" t="str">
        <f>IF(COUNT(F20:G20)&lt;2,"",$N$16*UpgradeScores[[#This Row],[ROI Score]]+$O$16*UpgradeScores[[#This Row],[BE Score]])</f>
        <v/>
      </c>
      <c r="J20" s="79" t="str">
        <f t="shared" si="1"/>
        <v/>
      </c>
      <c r="K2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" s="68" t="str">
        <f>IF(UpgradeScores[[#This Row],[Grade]]="", "",
   _xlfn.RANK.EQ(UpgradeScores[[#This Row],[Grade]], UpgradeScores[Grade], 1)
)</f>
        <v/>
      </c>
    </row>
    <row r="21" spans="1:12" x14ac:dyDescent="0.3">
      <c r="A21" s="16">
        <f t="shared" si="2"/>
        <v>5</v>
      </c>
      <c r="B21" s="68" t="str">
        <f>_xlfn.XLOOKUP(UpgradeScores[[#This Row],[Planet '#]],Hybridtable[Planet '#],Hybridtable[Name])</f>
        <v>Verr</v>
      </c>
      <c r="C21" s="68" t="s">
        <v>228</v>
      </c>
      <c r="D21" s="78" t="str" cm="1">
        <f t="array" ref="D2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" s="78" t="str" cm="1">
        <f t="array" ref="E2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" s="77" t="str" cm="1">
        <f t="array" ref="F2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" s="77" t="str" cm="1">
        <f t="array" ref="G2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" s="79" t="str">
        <f>IF(COUNT(F21:G21)&lt;2,"",$N$16*UpgradeScores[[#This Row],[ROI Score]]+$O$16*UpgradeScores[[#This Row],[BE Score]])</f>
        <v/>
      </c>
      <c r="J21" s="79" t="str">
        <f t="shared" si="1"/>
        <v/>
      </c>
      <c r="K2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" s="68" t="str">
        <f>IF(UpgradeScores[[#This Row],[Grade]]="", "",
   _xlfn.RANK.EQ(UpgradeScores[[#This Row],[Grade]], UpgradeScores[Grade], 1)
)</f>
        <v/>
      </c>
    </row>
    <row r="22" spans="1:12" x14ac:dyDescent="0.3">
      <c r="A22" s="16">
        <f t="shared" si="2"/>
        <v>6</v>
      </c>
      <c r="B22" s="68" t="str">
        <f>_xlfn.XLOOKUP(UpgradeScores[[#This Row],[Planet '#]],Hybridtable[Planet '#],Hybridtable[Name])</f>
        <v>Newton</v>
      </c>
      <c r="C22" s="68" t="s">
        <v>226</v>
      </c>
      <c r="D22" s="78" cm="1">
        <f t="array" ref="D2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123.42047662379188</v>
      </c>
      <c r="E22" s="78" cm="1">
        <f t="array" ref="E2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247.59375729872198</v>
      </c>
      <c r="F22" s="77" cm="1">
        <f t="array" ref="F2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1</v>
      </c>
      <c r="G22" s="77" cm="1">
        <f t="array" ref="G2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1</v>
      </c>
      <c r="H22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0</v>
      </c>
      <c r="I22" s="79">
        <f>IF(COUNT(F22:G22)&lt;2,"",$N$16*UpgradeScores[[#This Row],[ROI Score]]+$O$16*UpgradeScores[[#This Row],[BE Score]])</f>
        <v>1</v>
      </c>
      <c r="J22" s="79">
        <f t="shared" si="1"/>
        <v>1</v>
      </c>
      <c r="K22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1.001007</v>
      </c>
      <c r="L22" s="68">
        <f>IF(UpgradeScores[[#This Row],[Grade]]="", "",
   _xlfn.RANK.EQ(UpgradeScores[[#This Row],[Grade]], UpgradeScores[Grade], 1)
)</f>
        <v>1</v>
      </c>
    </row>
    <row r="23" spans="1:12" x14ac:dyDescent="0.3">
      <c r="A23" s="16">
        <f t="shared" si="2"/>
        <v>6</v>
      </c>
      <c r="B23" s="68" t="str">
        <f>_xlfn.XLOOKUP(UpgradeScores[[#This Row],[Planet '#]],Hybridtable[Planet '#],Hybridtable[Name])</f>
        <v>Newton</v>
      </c>
      <c r="C23" s="68" t="s">
        <v>227</v>
      </c>
      <c r="D23" s="78" t="str" cm="1">
        <f t="array" ref="D2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" s="78" t="str" cm="1">
        <f t="array" ref="E2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" s="77" t="str" cm="1">
        <f t="array" ref="F2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" s="77" t="str" cm="1">
        <f t="array" ref="G2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" s="79" t="str">
        <f>IF(COUNT(F23:G23)&lt;2,"",$N$16*UpgradeScores[[#This Row],[ROI Score]]+$O$16*UpgradeScores[[#This Row],[BE Score]])</f>
        <v/>
      </c>
      <c r="J23" s="79" t="str">
        <f t="shared" si="1"/>
        <v/>
      </c>
      <c r="K2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" s="68" t="str">
        <f>IF(UpgradeScores[[#This Row],[Grade]]="", "",
   _xlfn.RANK.EQ(UpgradeScores[[#This Row],[Grade]], UpgradeScores[Grade], 1)
)</f>
        <v/>
      </c>
    </row>
    <row r="24" spans="1:12" x14ac:dyDescent="0.3">
      <c r="A24" s="16">
        <f t="shared" si="2"/>
        <v>6</v>
      </c>
      <c r="B24" s="68" t="str">
        <f>_xlfn.XLOOKUP(UpgradeScores[[#This Row],[Planet '#]],Hybridtable[Planet '#],Hybridtable[Name])</f>
        <v>Newton</v>
      </c>
      <c r="C24" s="68" t="s">
        <v>159</v>
      </c>
      <c r="D24" s="78" t="str" cm="1">
        <f t="array" ref="D2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" s="78" t="str" cm="1">
        <f t="array" ref="E2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" s="77" t="str" cm="1">
        <f t="array" ref="F2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" s="77" t="str" cm="1">
        <f t="array" ref="G2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" s="79" t="str">
        <f>IF(COUNT(F24:G24)&lt;2,"",$N$16*UpgradeScores[[#This Row],[ROI Score]]+$O$16*UpgradeScores[[#This Row],[BE Score]])</f>
        <v/>
      </c>
      <c r="J24" s="79" t="str">
        <f t="shared" si="1"/>
        <v/>
      </c>
      <c r="K2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" s="68" t="str">
        <f>IF(UpgradeScores[[#This Row],[Grade]]="", "",
   _xlfn.RANK.EQ(UpgradeScores[[#This Row],[Grade]], UpgradeScores[Grade], 1)
)</f>
        <v/>
      </c>
    </row>
    <row r="25" spans="1:12" x14ac:dyDescent="0.3">
      <c r="A25" s="16">
        <f t="shared" si="2"/>
        <v>6</v>
      </c>
      <c r="B25" s="68" t="str">
        <f>_xlfn.XLOOKUP(UpgradeScores[[#This Row],[Planet '#]],Hybridtable[Planet '#],Hybridtable[Name])</f>
        <v>Newton</v>
      </c>
      <c r="C25" s="68" t="s">
        <v>228</v>
      </c>
      <c r="D25" s="78" t="str" cm="1">
        <f t="array" ref="D2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" s="78" t="str" cm="1">
        <f t="array" ref="E2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" s="77" t="str" cm="1">
        <f t="array" ref="F2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" s="77" t="str" cm="1">
        <f t="array" ref="G2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" s="79" t="str">
        <f>IF(COUNT(F25:G25)&lt;2,"",$N$16*UpgradeScores[[#This Row],[ROI Score]]+$O$16*UpgradeScores[[#This Row],[BE Score]])</f>
        <v/>
      </c>
      <c r="J25" s="79" t="str">
        <f t="shared" si="1"/>
        <v/>
      </c>
      <c r="K2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" s="68" t="str">
        <f>IF(UpgradeScores[[#This Row],[Grade]]="", "",
   _xlfn.RANK.EQ(UpgradeScores[[#This Row],[Grade]], UpgradeScores[Grade], 1)
)</f>
        <v/>
      </c>
    </row>
    <row r="26" spans="1:12" x14ac:dyDescent="0.3">
      <c r="A26" s="16">
        <f t="shared" si="2"/>
        <v>7</v>
      </c>
      <c r="B26" s="68" t="str">
        <f>_xlfn.XLOOKUP(UpgradeScores[[#This Row],[Planet '#]],Hybridtable[Planet '#],Hybridtable[Name])</f>
        <v>Widow</v>
      </c>
      <c r="C26" s="68" t="s">
        <v>226</v>
      </c>
      <c r="D26" s="78" t="str" cm="1">
        <f t="array" ref="D2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" s="78" t="str" cm="1">
        <f t="array" ref="E2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" s="77" t="str" cm="1">
        <f t="array" ref="F2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" s="77" t="str" cm="1">
        <f t="array" ref="G2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" s="79" t="str">
        <f>IF(COUNT(F26:G26)&lt;2,"",$N$16*UpgradeScores[[#This Row],[ROI Score]]+$O$16*UpgradeScores[[#This Row],[BE Score]])</f>
        <v/>
      </c>
      <c r="J26" s="79" t="str">
        <f t="shared" si="1"/>
        <v/>
      </c>
      <c r="K2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" s="68" t="str">
        <f>IF(UpgradeScores[[#This Row],[Grade]]="", "",
   _xlfn.RANK.EQ(UpgradeScores[[#This Row],[Grade]], UpgradeScores[Grade], 1)
)</f>
        <v/>
      </c>
    </row>
    <row r="27" spans="1:12" x14ac:dyDescent="0.3">
      <c r="A27" s="16">
        <f t="shared" si="2"/>
        <v>7</v>
      </c>
      <c r="B27" s="68" t="str">
        <f>_xlfn.XLOOKUP(UpgradeScores[[#This Row],[Planet '#]],Hybridtable[Planet '#],Hybridtable[Name])</f>
        <v>Widow</v>
      </c>
      <c r="C27" s="68" t="s">
        <v>227</v>
      </c>
      <c r="D27" s="78" cm="1">
        <f t="array" ref="D2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25.344773154362386</v>
      </c>
      <c r="E27" s="78" cm="1">
        <f t="array" ref="E2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2116.4127085811929</v>
      </c>
      <c r="F27" s="77" cm="1">
        <f t="array" ref="F2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0.5714285714285714</v>
      </c>
      <c r="G27" s="77" cm="1">
        <f t="array" ref="G2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0.85714285714285721</v>
      </c>
      <c r="H27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9.8631868131868083E-2</v>
      </c>
      <c r="I27" s="79">
        <f>IF(COUNT(F27:G27)&lt;2,"",$N$16*UpgradeScores[[#This Row],[ROI Score]]+$O$16*UpgradeScores[[#This Row],[BE Score]])</f>
        <v>0.7142857142857143</v>
      </c>
      <c r="J27" s="79">
        <f t="shared" si="1"/>
        <v>0.6998542122237652</v>
      </c>
      <c r="K27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2.0020059999999997</v>
      </c>
      <c r="L27" s="68">
        <f>IF(UpgradeScores[[#This Row],[Grade]]="", "",
   _xlfn.RANK.EQ(UpgradeScores[[#This Row],[Grade]], UpgradeScores[Grade], 1)
)</f>
        <v>3</v>
      </c>
    </row>
    <row r="28" spans="1:12" x14ac:dyDescent="0.3">
      <c r="A28" s="16">
        <f t="shared" si="2"/>
        <v>7</v>
      </c>
      <c r="B28" s="68" t="str">
        <f>_xlfn.XLOOKUP(UpgradeScores[[#This Row],[Planet '#]],Hybridtable[Planet '#],Hybridtable[Name])</f>
        <v>Widow</v>
      </c>
      <c r="C28" s="68" t="s">
        <v>159</v>
      </c>
      <c r="D28" s="78" cm="1">
        <f t="array" ref="D2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>25.344773154362386</v>
      </c>
      <c r="E28" s="78" cm="1">
        <f t="array" ref="E2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>2116.4127085811929</v>
      </c>
      <c r="F28" s="77" cm="1">
        <f t="array" ref="F2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>0.5714285714285714</v>
      </c>
      <c r="G28" s="77" cm="1">
        <f t="array" ref="G2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>0.85714285714285721</v>
      </c>
      <c r="H28" s="82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>0.21881428571428563</v>
      </c>
      <c r="I28" s="79">
        <f>IF(COUNT(F28:G28)&lt;2,"",$N$16*UpgradeScores[[#This Row],[ROI Score]]+$O$16*UpgradeScores[[#This Row],[BE Score]])</f>
        <v>0.7142857142857143</v>
      </c>
      <c r="J28" s="79">
        <f t="shared" si="1"/>
        <v>0.6998542122237652</v>
      </c>
      <c r="K28" s="68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>2.0020049999999996</v>
      </c>
      <c r="L28" s="68">
        <f>IF(UpgradeScores[[#This Row],[Grade]]="", "",
   _xlfn.RANK.EQ(UpgradeScores[[#This Row],[Grade]], UpgradeScores[Grade], 1)
)</f>
        <v>2</v>
      </c>
    </row>
    <row r="29" spans="1:12" x14ac:dyDescent="0.3">
      <c r="A29" s="16">
        <f t="shared" si="2"/>
        <v>7</v>
      </c>
      <c r="B29" s="68" t="str">
        <f>_xlfn.XLOOKUP(UpgradeScores[[#This Row],[Planet '#]],Hybridtable[Planet '#],Hybridtable[Name])</f>
        <v>Widow</v>
      </c>
      <c r="C29" s="68" t="s">
        <v>228</v>
      </c>
      <c r="D29" s="78" t="str" cm="1">
        <f t="array" ref="D2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" s="78" t="str" cm="1">
        <f t="array" ref="E2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" s="77" t="str" cm="1">
        <f t="array" ref="F2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" s="77" t="str" cm="1">
        <f t="array" ref="G2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" s="79" t="str">
        <f>IF(COUNT(F29:G29)&lt;2,"",$N$16*UpgradeScores[[#This Row],[ROI Score]]+$O$16*UpgradeScores[[#This Row],[BE Score]])</f>
        <v/>
      </c>
      <c r="J29" s="79" t="str">
        <f t="shared" si="1"/>
        <v/>
      </c>
      <c r="K2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" s="68" t="str">
        <f>IF(UpgradeScores[[#This Row],[Grade]]="", "",
   _xlfn.RANK.EQ(UpgradeScores[[#This Row],[Grade]], UpgradeScores[Grade], 1)
)</f>
        <v/>
      </c>
    </row>
    <row r="30" spans="1:12" x14ac:dyDescent="0.3">
      <c r="A30" s="16">
        <f t="shared" si="2"/>
        <v>8</v>
      </c>
      <c r="B30" s="68" t="str">
        <f>_xlfn.XLOOKUP(UpgradeScores[[#This Row],[Planet '#]],Hybridtable[Planet '#],Hybridtable[Name])</f>
        <v>Acheron</v>
      </c>
      <c r="C30" s="68" t="s">
        <v>226</v>
      </c>
      <c r="D30" s="78" t="str" cm="1">
        <f t="array" ref="D3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0" s="78" t="str" cm="1">
        <f t="array" ref="E3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0" s="77" t="str" cm="1">
        <f t="array" ref="F3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0" s="77" t="str" cm="1">
        <f t="array" ref="G3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0" s="79" t="str">
        <f>IF(COUNT(F30:G30)&lt;2,"",$N$16*UpgradeScores[[#This Row],[ROI Score]]+$O$16*UpgradeScores[[#This Row],[BE Score]])</f>
        <v/>
      </c>
      <c r="J30" s="79" t="str">
        <f t="shared" si="1"/>
        <v/>
      </c>
      <c r="K3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0" s="68" t="str">
        <f>IF(UpgradeScores[[#This Row],[Grade]]="", "",
   _xlfn.RANK.EQ(UpgradeScores[[#This Row],[Grade]], UpgradeScores[Grade], 1)
)</f>
        <v/>
      </c>
    </row>
    <row r="31" spans="1:12" x14ac:dyDescent="0.3">
      <c r="A31" s="16">
        <f t="shared" si="2"/>
        <v>8</v>
      </c>
      <c r="B31" s="68" t="str">
        <f>_xlfn.XLOOKUP(UpgradeScores[[#This Row],[Planet '#]],Hybridtable[Planet '#],Hybridtable[Name])</f>
        <v>Acheron</v>
      </c>
      <c r="C31" s="68" t="s">
        <v>227</v>
      </c>
      <c r="D31" s="78" t="str" cm="1">
        <f t="array" ref="D3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1" s="78" t="str" cm="1">
        <f t="array" ref="E3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1" s="77" t="str" cm="1">
        <f t="array" ref="F3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1" s="77" t="str" cm="1">
        <f t="array" ref="G3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1" s="79" t="str">
        <f>IF(COUNT(F31:G31)&lt;2,"",$N$16*UpgradeScores[[#This Row],[ROI Score]]+$O$16*UpgradeScores[[#This Row],[BE Score]])</f>
        <v/>
      </c>
      <c r="J31" s="79" t="str">
        <f t="shared" si="1"/>
        <v/>
      </c>
      <c r="K3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1" s="68" t="str">
        <f>IF(UpgradeScores[[#This Row],[Grade]]="", "",
   _xlfn.RANK.EQ(UpgradeScores[[#This Row],[Grade]], UpgradeScores[Grade], 1)
)</f>
        <v/>
      </c>
    </row>
    <row r="32" spans="1:12" x14ac:dyDescent="0.3">
      <c r="A32" s="16">
        <f t="shared" si="2"/>
        <v>8</v>
      </c>
      <c r="B32" s="68" t="str">
        <f>_xlfn.XLOOKUP(UpgradeScores[[#This Row],[Planet '#]],Hybridtable[Planet '#],Hybridtable[Name])</f>
        <v>Acheron</v>
      </c>
      <c r="C32" s="68" t="s">
        <v>159</v>
      </c>
      <c r="D32" s="78" t="str" cm="1">
        <f t="array" ref="D3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2" s="78" t="str" cm="1">
        <f t="array" ref="E3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2" s="77" t="str" cm="1">
        <f t="array" ref="F3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2" s="77" t="str" cm="1">
        <f t="array" ref="G3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2" s="79" t="str">
        <f>IF(COUNT(F32:G32)&lt;2,"",$N$16*UpgradeScores[[#This Row],[ROI Score]]+$O$16*UpgradeScores[[#This Row],[BE Score]])</f>
        <v/>
      </c>
      <c r="J32" s="79" t="str">
        <f t="shared" si="1"/>
        <v/>
      </c>
      <c r="K3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2" s="68" t="str">
        <f>IF(UpgradeScores[[#This Row],[Grade]]="", "",
   _xlfn.RANK.EQ(UpgradeScores[[#This Row],[Grade]], UpgradeScores[Grade], 1)
)</f>
        <v/>
      </c>
    </row>
    <row r="33" spans="1:12" x14ac:dyDescent="0.3">
      <c r="A33" s="16">
        <f t="shared" si="2"/>
        <v>8</v>
      </c>
      <c r="B33" s="68" t="str">
        <f>_xlfn.XLOOKUP(UpgradeScores[[#This Row],[Planet '#]],Hybridtable[Planet '#],Hybridtable[Name])</f>
        <v>Acheron</v>
      </c>
      <c r="C33" s="68" t="s">
        <v>228</v>
      </c>
      <c r="D33" s="78" t="str" cm="1">
        <f t="array" ref="D3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3" s="78" t="str" cm="1">
        <f t="array" ref="E3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3" s="77" t="str" cm="1">
        <f t="array" ref="F3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3" s="77" t="str" cm="1">
        <f t="array" ref="G3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3" s="79" t="str">
        <f>IF(COUNT(F33:G33)&lt;2,"",$N$16*UpgradeScores[[#This Row],[ROI Score]]+$O$16*UpgradeScores[[#This Row],[BE Score]])</f>
        <v/>
      </c>
      <c r="J33" s="79" t="str">
        <f t="shared" si="1"/>
        <v/>
      </c>
      <c r="K3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3" s="68" t="str">
        <f>IF(UpgradeScores[[#This Row],[Grade]]="", "",
   _xlfn.RANK.EQ(UpgradeScores[[#This Row],[Grade]], UpgradeScores[Grade], 1)
)</f>
        <v/>
      </c>
    </row>
    <row r="34" spans="1:12" x14ac:dyDescent="0.3">
      <c r="A34" s="16">
        <f t="shared" si="2"/>
        <v>9</v>
      </c>
      <c r="B34" s="68" t="str">
        <f>_xlfn.XLOOKUP(UpgradeScores[[#This Row],[Planet '#]],Hybridtable[Planet '#],Hybridtable[Name])</f>
        <v>Yangtze</v>
      </c>
      <c r="C34" s="68" t="s">
        <v>226</v>
      </c>
      <c r="D34" s="78" t="str" cm="1">
        <f t="array" ref="D3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4" s="78" t="str" cm="1">
        <f t="array" ref="E3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4" s="77" t="str" cm="1">
        <f t="array" ref="F3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4" s="77" t="str" cm="1">
        <f t="array" ref="G3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4" s="79" t="str">
        <f>IF(COUNT(F34:G34)&lt;2,"",$N$16*UpgradeScores[[#This Row],[ROI Score]]+$O$16*UpgradeScores[[#This Row],[BE Score]])</f>
        <v/>
      </c>
      <c r="J34" s="79" t="str">
        <f t="shared" si="1"/>
        <v/>
      </c>
      <c r="K3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4" s="68" t="str">
        <f>IF(UpgradeScores[[#This Row],[Grade]]="", "",
   _xlfn.RANK.EQ(UpgradeScores[[#This Row],[Grade]], UpgradeScores[Grade], 1)
)</f>
        <v/>
      </c>
    </row>
    <row r="35" spans="1:12" x14ac:dyDescent="0.3">
      <c r="A35" s="16">
        <f t="shared" si="2"/>
        <v>9</v>
      </c>
      <c r="B35" s="68" t="str">
        <f>_xlfn.XLOOKUP(UpgradeScores[[#This Row],[Planet '#]],Hybridtable[Planet '#],Hybridtable[Name])</f>
        <v>Yangtze</v>
      </c>
      <c r="C35" s="68" t="s">
        <v>227</v>
      </c>
      <c r="D35" s="78" t="str" cm="1">
        <f t="array" ref="D3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5" s="78" t="str" cm="1">
        <f t="array" ref="E3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5" s="77" t="str" cm="1">
        <f t="array" ref="F3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5" s="77" t="str" cm="1">
        <f t="array" ref="G3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5" s="79" t="str">
        <f>IF(COUNT(F35:G35)&lt;2,"",$N$16*UpgradeScores[[#This Row],[ROI Score]]+$O$16*UpgradeScores[[#This Row],[BE Score]])</f>
        <v/>
      </c>
      <c r="J35" s="79" t="str">
        <f t="shared" si="1"/>
        <v/>
      </c>
      <c r="K3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5" s="68" t="str">
        <f>IF(UpgradeScores[[#This Row],[Grade]]="", "",
   _xlfn.RANK.EQ(UpgradeScores[[#This Row],[Grade]], UpgradeScores[Grade], 1)
)</f>
        <v/>
      </c>
    </row>
    <row r="36" spans="1:12" x14ac:dyDescent="0.3">
      <c r="A36" s="16">
        <f t="shared" si="2"/>
        <v>9</v>
      </c>
      <c r="B36" s="68" t="str">
        <f>_xlfn.XLOOKUP(UpgradeScores[[#This Row],[Planet '#]],Hybridtable[Planet '#],Hybridtable[Name])</f>
        <v>Yangtze</v>
      </c>
      <c r="C36" s="68" t="s">
        <v>159</v>
      </c>
      <c r="D36" s="78" t="str" cm="1">
        <f t="array" ref="D3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6" s="78" t="str" cm="1">
        <f t="array" ref="E3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6" s="77" t="str" cm="1">
        <f t="array" ref="F3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6" s="77" t="str" cm="1">
        <f t="array" ref="G3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6" s="79" t="str">
        <f>IF(COUNT(F36:G36)&lt;2,"",$N$16*UpgradeScores[[#This Row],[ROI Score]]+$O$16*UpgradeScores[[#This Row],[BE Score]])</f>
        <v/>
      </c>
      <c r="J36" s="79" t="str">
        <f t="shared" si="1"/>
        <v/>
      </c>
      <c r="K3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6" s="68" t="str">
        <f>IF(UpgradeScores[[#This Row],[Grade]]="", "",
   _xlfn.RANK.EQ(UpgradeScores[[#This Row],[Grade]], UpgradeScores[Grade], 1)
)</f>
        <v/>
      </c>
    </row>
    <row r="37" spans="1:12" x14ac:dyDescent="0.3">
      <c r="A37" s="16">
        <f t="shared" si="2"/>
        <v>9</v>
      </c>
      <c r="B37" s="68" t="str">
        <f>_xlfn.XLOOKUP(UpgradeScores[[#This Row],[Planet '#]],Hybridtable[Planet '#],Hybridtable[Name])</f>
        <v>Yangtze</v>
      </c>
      <c r="C37" s="68" t="s">
        <v>228</v>
      </c>
      <c r="D37" s="78" t="str" cm="1">
        <f t="array" ref="D3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7" s="78" t="str" cm="1">
        <f t="array" ref="E3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7" s="77" t="str" cm="1">
        <f t="array" ref="F3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7" s="77" t="str" cm="1">
        <f t="array" ref="G3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7" s="79" t="str">
        <f>IF(COUNT(F37:G37)&lt;2,"",$N$16*UpgradeScores[[#This Row],[ROI Score]]+$O$16*UpgradeScores[[#This Row],[BE Score]])</f>
        <v/>
      </c>
      <c r="J37" s="79" t="str">
        <f t="shared" si="1"/>
        <v/>
      </c>
      <c r="K3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7" s="68" t="str">
        <f>IF(UpgradeScores[[#This Row],[Grade]]="", "",
   _xlfn.RANK.EQ(UpgradeScores[[#This Row],[Grade]], UpgradeScores[Grade], 1)
)</f>
        <v/>
      </c>
    </row>
    <row r="38" spans="1:12" x14ac:dyDescent="0.3">
      <c r="A38" s="16">
        <f t="shared" si="2"/>
        <v>10</v>
      </c>
      <c r="B38" s="68" t="str">
        <f>_xlfn.XLOOKUP(UpgradeScores[[#This Row],[Planet '#]],Hybridtable[Planet '#],Hybridtable[Name])</f>
        <v>Solveig</v>
      </c>
      <c r="C38" s="68" t="s">
        <v>226</v>
      </c>
      <c r="D38" s="78" t="str" cm="1">
        <f t="array" ref="D3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8" s="78" t="str" cm="1">
        <f t="array" ref="E3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8" s="77" t="str" cm="1">
        <f t="array" ref="F3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8" s="77" t="str" cm="1">
        <f t="array" ref="G3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8" s="79" t="str">
        <f>IF(COUNT(F38:G38)&lt;2,"",$N$16*UpgradeScores[[#This Row],[ROI Score]]+$O$16*UpgradeScores[[#This Row],[BE Score]])</f>
        <v/>
      </c>
      <c r="J38" s="79" t="str">
        <f t="shared" si="1"/>
        <v/>
      </c>
      <c r="K3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8" s="68" t="str">
        <f>IF(UpgradeScores[[#This Row],[Grade]]="", "",
   _xlfn.RANK.EQ(UpgradeScores[[#This Row],[Grade]], UpgradeScores[Grade], 1)
)</f>
        <v/>
      </c>
    </row>
    <row r="39" spans="1:12" x14ac:dyDescent="0.3">
      <c r="A39" s="16">
        <f t="shared" si="2"/>
        <v>10</v>
      </c>
      <c r="B39" s="68" t="str">
        <f>_xlfn.XLOOKUP(UpgradeScores[[#This Row],[Planet '#]],Hybridtable[Planet '#],Hybridtable[Name])</f>
        <v>Solveig</v>
      </c>
      <c r="C39" s="68" t="s">
        <v>227</v>
      </c>
      <c r="D39" s="78" t="str" cm="1">
        <f t="array" ref="D3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9" s="78" t="str" cm="1">
        <f t="array" ref="E3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9" s="77" t="str" cm="1">
        <f t="array" ref="F3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9" s="77" t="str" cm="1">
        <f t="array" ref="G3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9" s="79" t="str">
        <f>IF(COUNT(F39:G39)&lt;2,"",$N$16*UpgradeScores[[#This Row],[ROI Score]]+$O$16*UpgradeScores[[#This Row],[BE Score]])</f>
        <v/>
      </c>
      <c r="J39" s="79" t="str">
        <f t="shared" si="1"/>
        <v/>
      </c>
      <c r="K3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9" s="68" t="str">
        <f>IF(UpgradeScores[[#This Row],[Grade]]="", "",
   _xlfn.RANK.EQ(UpgradeScores[[#This Row],[Grade]], UpgradeScores[Grade], 1)
)</f>
        <v/>
      </c>
    </row>
    <row r="40" spans="1:12" x14ac:dyDescent="0.3">
      <c r="A40" s="16">
        <f t="shared" si="2"/>
        <v>10</v>
      </c>
      <c r="B40" s="68" t="str">
        <f>_xlfn.XLOOKUP(UpgradeScores[[#This Row],[Planet '#]],Hybridtable[Planet '#],Hybridtable[Name])</f>
        <v>Solveig</v>
      </c>
      <c r="C40" s="68" t="s">
        <v>159</v>
      </c>
      <c r="D40" s="78" t="str" cm="1">
        <f t="array" ref="D4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0" s="78" t="str" cm="1">
        <f t="array" ref="E4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0" s="77" t="str" cm="1">
        <f t="array" ref="F4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0" s="77" t="str" cm="1">
        <f t="array" ref="G4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0" s="79" t="str">
        <f>IF(COUNT(F40:G40)&lt;2,"",$N$16*UpgradeScores[[#This Row],[ROI Score]]+$O$16*UpgradeScores[[#This Row],[BE Score]])</f>
        <v/>
      </c>
      <c r="J40" s="79" t="str">
        <f t="shared" si="1"/>
        <v/>
      </c>
      <c r="K4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0" s="68" t="str">
        <f>IF(UpgradeScores[[#This Row],[Grade]]="", "",
   _xlfn.RANK.EQ(UpgradeScores[[#This Row],[Grade]], UpgradeScores[Grade], 1)
)</f>
        <v/>
      </c>
    </row>
    <row r="41" spans="1:12" x14ac:dyDescent="0.3">
      <c r="A41" s="16">
        <f t="shared" si="2"/>
        <v>10</v>
      </c>
      <c r="B41" s="68" t="str">
        <f>_xlfn.XLOOKUP(UpgradeScores[[#This Row],[Planet '#]],Hybridtable[Planet '#],Hybridtable[Name])</f>
        <v>Solveig</v>
      </c>
      <c r="C41" s="68" t="s">
        <v>228</v>
      </c>
      <c r="D41" s="78" t="str" cm="1">
        <f t="array" ref="D4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1" s="78" t="str" cm="1">
        <f t="array" ref="E4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1" s="77" t="str" cm="1">
        <f t="array" ref="F4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1" s="77" t="str" cm="1">
        <f t="array" ref="G4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1" s="79" t="str">
        <f>IF(COUNT(F41:G41)&lt;2,"",$N$16*UpgradeScores[[#This Row],[ROI Score]]+$O$16*UpgradeScores[[#This Row],[BE Score]])</f>
        <v/>
      </c>
      <c r="J41" s="79" t="str">
        <f t="shared" si="1"/>
        <v/>
      </c>
      <c r="K4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1" s="68" t="str">
        <f>IF(UpgradeScores[[#This Row],[Grade]]="", "",
   _xlfn.RANK.EQ(UpgradeScores[[#This Row],[Grade]], UpgradeScores[Grade], 1)
)</f>
        <v/>
      </c>
    </row>
    <row r="42" spans="1:12" x14ac:dyDescent="0.3">
      <c r="A42" s="16">
        <f t="shared" si="2"/>
        <v>11</v>
      </c>
      <c r="B42" s="68" t="str">
        <f>_xlfn.XLOOKUP(UpgradeScores[[#This Row],[Planet '#]],Hybridtable[Planet '#],Hybridtable[Name])</f>
        <v>Imir</v>
      </c>
      <c r="C42" s="68" t="s">
        <v>226</v>
      </c>
      <c r="D42" s="78" t="str" cm="1">
        <f t="array" ref="D4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2" s="78" t="str" cm="1">
        <f t="array" ref="E4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2" s="77" t="str" cm="1">
        <f t="array" ref="F4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2" s="77" t="str" cm="1">
        <f t="array" ref="G4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2" s="79" t="str">
        <f>IF(COUNT(F42:G42)&lt;2,"",$N$16*UpgradeScores[[#This Row],[ROI Score]]+$O$16*UpgradeScores[[#This Row],[BE Score]])</f>
        <v/>
      </c>
      <c r="J42" s="79" t="str">
        <f t="shared" si="1"/>
        <v/>
      </c>
      <c r="K4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2" s="68" t="str">
        <f>IF(UpgradeScores[[#This Row],[Grade]]="", "",
   _xlfn.RANK.EQ(UpgradeScores[[#This Row],[Grade]], UpgradeScores[Grade], 1)
)</f>
        <v/>
      </c>
    </row>
    <row r="43" spans="1:12" x14ac:dyDescent="0.3">
      <c r="A43" s="16">
        <f t="shared" si="2"/>
        <v>11</v>
      </c>
      <c r="B43" s="68" t="str">
        <f>_xlfn.XLOOKUP(UpgradeScores[[#This Row],[Planet '#]],Hybridtable[Planet '#],Hybridtable[Name])</f>
        <v>Imir</v>
      </c>
      <c r="C43" s="68" t="s">
        <v>227</v>
      </c>
      <c r="D43" s="78" t="str" cm="1">
        <f t="array" ref="D4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3" s="78" t="str" cm="1">
        <f t="array" ref="E4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3" s="77" t="str" cm="1">
        <f t="array" ref="F4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3" s="77" t="str" cm="1">
        <f t="array" ref="G4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3" s="79" t="str">
        <f>IF(COUNT(F43:G43)&lt;2,"",$N$16*UpgradeScores[[#This Row],[ROI Score]]+$O$16*UpgradeScores[[#This Row],[BE Score]])</f>
        <v/>
      </c>
      <c r="J43" s="79" t="str">
        <f t="shared" si="1"/>
        <v/>
      </c>
      <c r="K4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3" s="68" t="str">
        <f>IF(UpgradeScores[[#This Row],[Grade]]="", "",
   _xlfn.RANK.EQ(UpgradeScores[[#This Row],[Grade]], UpgradeScores[Grade], 1)
)</f>
        <v/>
      </c>
    </row>
    <row r="44" spans="1:12" x14ac:dyDescent="0.3">
      <c r="A44" s="16">
        <f t="shared" si="2"/>
        <v>11</v>
      </c>
      <c r="B44" s="68" t="str">
        <f>_xlfn.XLOOKUP(UpgradeScores[[#This Row],[Planet '#]],Hybridtable[Planet '#],Hybridtable[Name])</f>
        <v>Imir</v>
      </c>
      <c r="C44" s="68" t="s">
        <v>159</v>
      </c>
      <c r="D44" s="78" t="str" cm="1">
        <f t="array" ref="D4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4" s="78" t="str" cm="1">
        <f t="array" ref="E4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4" s="77" t="str" cm="1">
        <f t="array" ref="F4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4" s="77" t="str" cm="1">
        <f t="array" ref="G4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4" s="79" t="str">
        <f>IF(COUNT(F44:G44)&lt;2,"",$N$16*UpgradeScores[[#This Row],[ROI Score]]+$O$16*UpgradeScores[[#This Row],[BE Score]])</f>
        <v/>
      </c>
      <c r="J44" s="79" t="str">
        <f t="shared" si="1"/>
        <v/>
      </c>
      <c r="K4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4" s="68" t="str">
        <f>IF(UpgradeScores[[#This Row],[Grade]]="", "",
   _xlfn.RANK.EQ(UpgradeScores[[#This Row],[Grade]], UpgradeScores[Grade], 1)
)</f>
        <v/>
      </c>
    </row>
    <row r="45" spans="1:12" x14ac:dyDescent="0.3">
      <c r="A45" s="16">
        <f t="shared" si="2"/>
        <v>11</v>
      </c>
      <c r="B45" s="68" t="str">
        <f>_xlfn.XLOOKUP(UpgradeScores[[#This Row],[Planet '#]],Hybridtable[Planet '#],Hybridtable[Name])</f>
        <v>Imir</v>
      </c>
      <c r="C45" s="68" t="s">
        <v>228</v>
      </c>
      <c r="D45" s="78" t="str" cm="1">
        <f t="array" ref="D4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5" s="78" t="str" cm="1">
        <f t="array" ref="E4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5" s="77" t="str" cm="1">
        <f t="array" ref="F4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5" s="77" t="str" cm="1">
        <f t="array" ref="G4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5" s="79" t="str">
        <f>IF(COUNT(F45:G45)&lt;2,"",$N$16*UpgradeScores[[#This Row],[ROI Score]]+$O$16*UpgradeScores[[#This Row],[BE Score]])</f>
        <v/>
      </c>
      <c r="J45" s="79" t="str">
        <f t="shared" si="1"/>
        <v/>
      </c>
      <c r="K4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5" s="68" t="str">
        <f>IF(UpgradeScores[[#This Row],[Grade]]="", "",
   _xlfn.RANK.EQ(UpgradeScores[[#This Row],[Grade]], UpgradeScores[Grade], 1)
)</f>
        <v/>
      </c>
    </row>
    <row r="46" spans="1:12" x14ac:dyDescent="0.3">
      <c r="A46" s="16">
        <f t="shared" si="2"/>
        <v>12</v>
      </c>
      <c r="B46" s="68" t="str">
        <f>_xlfn.XLOOKUP(UpgradeScores[[#This Row],[Planet '#]],Hybridtable[Planet '#],Hybridtable[Name])</f>
        <v>Relic</v>
      </c>
      <c r="C46" s="68" t="s">
        <v>226</v>
      </c>
      <c r="D46" s="78" t="str" cm="1">
        <f t="array" ref="D4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6" s="78" t="str" cm="1">
        <f t="array" ref="E4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6" s="77" t="str" cm="1">
        <f t="array" ref="F4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6" s="77" t="str" cm="1">
        <f t="array" ref="G4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6" s="79" t="str">
        <f>IF(COUNT(F46:G46)&lt;2,"",$N$16*UpgradeScores[[#This Row],[ROI Score]]+$O$16*UpgradeScores[[#This Row],[BE Score]])</f>
        <v/>
      </c>
      <c r="J46" s="79" t="str">
        <f t="shared" si="1"/>
        <v/>
      </c>
      <c r="K4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6" s="68" t="str">
        <f>IF(UpgradeScores[[#This Row],[Grade]]="", "",
   _xlfn.RANK.EQ(UpgradeScores[[#This Row],[Grade]], UpgradeScores[Grade], 1)
)</f>
        <v/>
      </c>
    </row>
    <row r="47" spans="1:12" x14ac:dyDescent="0.3">
      <c r="A47" s="16">
        <f t="shared" si="2"/>
        <v>12</v>
      </c>
      <c r="B47" s="68" t="str">
        <f>_xlfn.XLOOKUP(UpgradeScores[[#This Row],[Planet '#]],Hybridtable[Planet '#],Hybridtable[Name])</f>
        <v>Relic</v>
      </c>
      <c r="C47" s="68" t="s">
        <v>227</v>
      </c>
      <c r="D47" s="78" t="str" cm="1">
        <f t="array" ref="D4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7" s="78" t="str" cm="1">
        <f t="array" ref="E4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7" s="77" t="str" cm="1">
        <f t="array" ref="F4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7" s="77" t="str" cm="1">
        <f t="array" ref="G4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7" s="79" t="str">
        <f>IF(COUNT(F47:G47)&lt;2,"",$N$16*UpgradeScores[[#This Row],[ROI Score]]+$O$16*UpgradeScores[[#This Row],[BE Score]])</f>
        <v/>
      </c>
      <c r="J47" s="79" t="str">
        <f t="shared" si="1"/>
        <v/>
      </c>
      <c r="K4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7" s="68" t="str">
        <f>IF(UpgradeScores[[#This Row],[Grade]]="", "",
   _xlfn.RANK.EQ(UpgradeScores[[#This Row],[Grade]], UpgradeScores[Grade], 1)
)</f>
        <v/>
      </c>
    </row>
    <row r="48" spans="1:12" x14ac:dyDescent="0.3">
      <c r="A48" s="16">
        <f t="shared" si="2"/>
        <v>12</v>
      </c>
      <c r="B48" s="68" t="str">
        <f>_xlfn.XLOOKUP(UpgradeScores[[#This Row],[Planet '#]],Hybridtable[Planet '#],Hybridtable[Name])</f>
        <v>Relic</v>
      </c>
      <c r="C48" s="68" t="s">
        <v>159</v>
      </c>
      <c r="D48" s="78" t="str" cm="1">
        <f t="array" ref="D4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8" s="78" t="str" cm="1">
        <f t="array" ref="E4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8" s="77" t="str" cm="1">
        <f t="array" ref="F4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8" s="77" t="str" cm="1">
        <f t="array" ref="G4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8" s="79" t="str">
        <f>IF(COUNT(F48:G48)&lt;2,"",$N$16*UpgradeScores[[#This Row],[ROI Score]]+$O$16*UpgradeScores[[#This Row],[BE Score]])</f>
        <v/>
      </c>
      <c r="J48" s="79" t="str">
        <f t="shared" si="1"/>
        <v/>
      </c>
      <c r="K4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8" s="68" t="str">
        <f>IF(UpgradeScores[[#This Row],[Grade]]="", "",
   _xlfn.RANK.EQ(UpgradeScores[[#This Row],[Grade]], UpgradeScores[Grade], 1)
)</f>
        <v/>
      </c>
    </row>
    <row r="49" spans="1:12" x14ac:dyDescent="0.3">
      <c r="A49" s="16">
        <f t="shared" ref="A49:A74" si="3">INT((ROW()-ROW($A$2))/4)+1</f>
        <v>12</v>
      </c>
      <c r="B49" s="68" t="str">
        <f>_xlfn.XLOOKUP(UpgradeScores[[#This Row],[Planet '#]],Hybridtable[Planet '#],Hybridtable[Name])</f>
        <v>Relic</v>
      </c>
      <c r="C49" s="68" t="s">
        <v>228</v>
      </c>
      <c r="D49" s="78" t="str" cm="1">
        <f t="array" ref="D4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49" s="78" t="str" cm="1">
        <f t="array" ref="E4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49" s="77" t="str" cm="1">
        <f t="array" ref="F4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49" s="77" t="str" cm="1">
        <f t="array" ref="G4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4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49" s="79" t="str">
        <f>IF(COUNT(F49:G49)&lt;2,"",$N$16*UpgradeScores[[#This Row],[ROI Score]]+$O$16*UpgradeScores[[#This Row],[BE Score]])</f>
        <v/>
      </c>
      <c r="J49" s="79" t="str">
        <f t="shared" si="1"/>
        <v/>
      </c>
      <c r="K4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49" s="68" t="str">
        <f>IF(UpgradeScores[[#This Row],[Grade]]="", "",
   _xlfn.RANK.EQ(UpgradeScores[[#This Row],[Grade]], UpgradeScores[Grade], 1)
)</f>
        <v/>
      </c>
    </row>
    <row r="50" spans="1:12" x14ac:dyDescent="0.3">
      <c r="A50" s="16">
        <f t="shared" si="3"/>
        <v>13</v>
      </c>
      <c r="B50" s="68" t="str">
        <f>_xlfn.XLOOKUP(UpgradeScores[[#This Row],[Planet '#]],Hybridtable[Planet '#],Hybridtable[Name])</f>
        <v>Nith</v>
      </c>
      <c r="C50" s="68" t="s">
        <v>226</v>
      </c>
      <c r="D50" s="78" t="str" cm="1">
        <f t="array" ref="D5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0" s="78" t="str" cm="1">
        <f t="array" ref="E5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0" s="77" t="str" cm="1">
        <f t="array" ref="F5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0" s="77" t="str" cm="1">
        <f t="array" ref="G5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0" s="79" t="str">
        <f>IF(COUNT(F50:G50)&lt;2,"",$N$16*UpgradeScores[[#This Row],[ROI Score]]+$O$16*UpgradeScores[[#This Row],[BE Score]])</f>
        <v/>
      </c>
      <c r="J50" s="79" t="str">
        <f t="shared" si="1"/>
        <v/>
      </c>
      <c r="K5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0" s="68" t="str">
        <f>IF(UpgradeScores[[#This Row],[Grade]]="", "",
   _xlfn.RANK.EQ(UpgradeScores[[#This Row],[Grade]], UpgradeScores[Grade], 1)
)</f>
        <v/>
      </c>
    </row>
    <row r="51" spans="1:12" x14ac:dyDescent="0.3">
      <c r="A51" s="16">
        <f t="shared" si="3"/>
        <v>13</v>
      </c>
      <c r="B51" s="68" t="str">
        <f>_xlfn.XLOOKUP(UpgradeScores[[#This Row],[Planet '#]],Hybridtable[Planet '#],Hybridtable[Name])</f>
        <v>Nith</v>
      </c>
      <c r="C51" s="68" t="s">
        <v>227</v>
      </c>
      <c r="D51" s="78" t="str" cm="1">
        <f t="array" ref="D5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1" s="78" t="str" cm="1">
        <f t="array" ref="E5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1" s="77" t="str" cm="1">
        <f t="array" ref="F5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1" s="77" t="str" cm="1">
        <f t="array" ref="G5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1" s="79" t="str">
        <f>IF(COUNT(F51:G51)&lt;2,"",$N$16*UpgradeScores[[#This Row],[ROI Score]]+$O$16*UpgradeScores[[#This Row],[BE Score]])</f>
        <v/>
      </c>
      <c r="J51" s="79" t="str">
        <f t="shared" si="1"/>
        <v/>
      </c>
      <c r="K5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1" s="68" t="str">
        <f>IF(UpgradeScores[[#This Row],[Grade]]="", "",
   _xlfn.RANK.EQ(UpgradeScores[[#This Row],[Grade]], UpgradeScores[Grade], 1)
)</f>
        <v/>
      </c>
    </row>
    <row r="52" spans="1:12" x14ac:dyDescent="0.3">
      <c r="A52" s="16">
        <f t="shared" si="3"/>
        <v>13</v>
      </c>
      <c r="B52" s="68" t="str">
        <f>_xlfn.XLOOKUP(UpgradeScores[[#This Row],[Planet '#]],Hybridtable[Planet '#],Hybridtable[Name])</f>
        <v>Nith</v>
      </c>
      <c r="C52" s="68" t="s">
        <v>159</v>
      </c>
      <c r="D52" s="78" t="str" cm="1">
        <f t="array" ref="D5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2" s="78" t="str" cm="1">
        <f t="array" ref="E5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2" s="77" t="str" cm="1">
        <f t="array" ref="F5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2" s="77" t="str" cm="1">
        <f t="array" ref="G5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2" s="79" t="str">
        <f>IF(COUNT(F52:G52)&lt;2,"",$N$16*UpgradeScores[[#This Row],[ROI Score]]+$O$16*UpgradeScores[[#This Row],[BE Score]])</f>
        <v/>
      </c>
      <c r="J52" s="79" t="str">
        <f t="shared" si="1"/>
        <v/>
      </c>
      <c r="K5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2" s="68" t="str">
        <f>IF(UpgradeScores[[#This Row],[Grade]]="", "",
   _xlfn.RANK.EQ(UpgradeScores[[#This Row],[Grade]], UpgradeScores[Grade], 1)
)</f>
        <v/>
      </c>
    </row>
    <row r="53" spans="1:12" x14ac:dyDescent="0.3">
      <c r="A53" s="16">
        <f t="shared" si="3"/>
        <v>13</v>
      </c>
      <c r="B53" s="68" t="str">
        <f>_xlfn.XLOOKUP(UpgradeScores[[#This Row],[Planet '#]],Hybridtable[Planet '#],Hybridtable[Name])</f>
        <v>Nith</v>
      </c>
      <c r="C53" s="68" t="s">
        <v>228</v>
      </c>
      <c r="D53" s="78" t="str" cm="1">
        <f t="array" ref="D5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3" s="78" t="str" cm="1">
        <f t="array" ref="E5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3" s="77" t="str" cm="1">
        <f t="array" ref="F5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3" s="77" t="str" cm="1">
        <f t="array" ref="G5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3" s="79" t="str">
        <f>IF(COUNT(F53:G53)&lt;2,"",$N$16*UpgradeScores[[#This Row],[ROI Score]]+$O$16*UpgradeScores[[#This Row],[BE Score]])</f>
        <v/>
      </c>
      <c r="J53" s="79" t="str">
        <f t="shared" si="1"/>
        <v/>
      </c>
      <c r="K5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3" s="68" t="str">
        <f>IF(UpgradeScores[[#This Row],[Grade]]="", "",
   _xlfn.RANK.EQ(UpgradeScores[[#This Row],[Grade]], UpgradeScores[Grade], 1)
)</f>
        <v/>
      </c>
    </row>
    <row r="54" spans="1:12" x14ac:dyDescent="0.3">
      <c r="A54" s="16">
        <f t="shared" si="3"/>
        <v>14</v>
      </c>
      <c r="B54" s="68" t="str">
        <f>_xlfn.XLOOKUP(UpgradeScores[[#This Row],[Planet '#]],Hybridtable[Planet '#],Hybridtable[Name])</f>
        <v>Batalla</v>
      </c>
      <c r="C54" s="68" t="s">
        <v>226</v>
      </c>
      <c r="D54" s="78" t="str" cm="1">
        <f t="array" ref="D5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4" s="78" t="str" cm="1">
        <f t="array" ref="E5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4" s="77" t="str" cm="1">
        <f t="array" ref="F5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4" s="77" t="str" cm="1">
        <f t="array" ref="G5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4" s="79" t="str">
        <f>IF(COUNT(F54:G54)&lt;2,"",$N$16*UpgradeScores[[#This Row],[ROI Score]]+$O$16*UpgradeScores[[#This Row],[BE Score]])</f>
        <v/>
      </c>
      <c r="J54" s="79" t="str">
        <f t="shared" si="1"/>
        <v/>
      </c>
      <c r="K5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4" s="68" t="str">
        <f>IF(UpgradeScores[[#This Row],[Grade]]="", "",
   _xlfn.RANK.EQ(UpgradeScores[[#This Row],[Grade]], UpgradeScores[Grade], 1)
)</f>
        <v/>
      </c>
    </row>
    <row r="55" spans="1:12" x14ac:dyDescent="0.3">
      <c r="A55" s="16">
        <f t="shared" si="3"/>
        <v>14</v>
      </c>
      <c r="B55" s="68" t="str">
        <f>_xlfn.XLOOKUP(UpgradeScores[[#This Row],[Planet '#]],Hybridtable[Planet '#],Hybridtable[Name])</f>
        <v>Batalla</v>
      </c>
      <c r="C55" s="68" t="s">
        <v>227</v>
      </c>
      <c r="D55" s="78" t="str" cm="1">
        <f t="array" ref="D5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5" s="78" t="str" cm="1">
        <f t="array" ref="E5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5" s="77" t="str" cm="1">
        <f t="array" ref="F5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5" s="77" t="str" cm="1">
        <f t="array" ref="G5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5" s="79" t="str">
        <f>IF(COUNT(F55:G55)&lt;2,"",$N$16*UpgradeScores[[#This Row],[ROI Score]]+$O$16*UpgradeScores[[#This Row],[BE Score]])</f>
        <v/>
      </c>
      <c r="J55" s="79" t="str">
        <f t="shared" si="1"/>
        <v/>
      </c>
      <c r="K5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5" s="68" t="str">
        <f>IF(UpgradeScores[[#This Row],[Grade]]="", "",
   _xlfn.RANK.EQ(UpgradeScores[[#This Row],[Grade]], UpgradeScores[Grade], 1)
)</f>
        <v/>
      </c>
    </row>
    <row r="56" spans="1:12" x14ac:dyDescent="0.3">
      <c r="A56" s="16">
        <f t="shared" si="3"/>
        <v>14</v>
      </c>
      <c r="B56" s="68" t="str">
        <f>_xlfn.XLOOKUP(UpgradeScores[[#This Row],[Planet '#]],Hybridtable[Planet '#],Hybridtable[Name])</f>
        <v>Batalla</v>
      </c>
      <c r="C56" s="68" t="s">
        <v>159</v>
      </c>
      <c r="D56" s="78" t="str" cm="1">
        <f t="array" ref="D5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6" s="78" t="str" cm="1">
        <f t="array" ref="E5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6" s="77" t="str" cm="1">
        <f t="array" ref="F5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6" s="77" t="str" cm="1">
        <f t="array" ref="G5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6" s="79" t="str">
        <f>IF(COUNT(F56:G56)&lt;2,"",$N$16*UpgradeScores[[#This Row],[ROI Score]]+$O$16*UpgradeScores[[#This Row],[BE Score]])</f>
        <v/>
      </c>
      <c r="J56" s="79" t="str">
        <f t="shared" si="1"/>
        <v/>
      </c>
      <c r="K5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6" s="68" t="str">
        <f>IF(UpgradeScores[[#This Row],[Grade]]="", "",
   _xlfn.RANK.EQ(UpgradeScores[[#This Row],[Grade]], UpgradeScores[Grade], 1)
)</f>
        <v/>
      </c>
    </row>
    <row r="57" spans="1:12" x14ac:dyDescent="0.3">
      <c r="A57" s="16">
        <f t="shared" si="3"/>
        <v>14</v>
      </c>
      <c r="B57" s="68" t="str">
        <f>_xlfn.XLOOKUP(UpgradeScores[[#This Row],[Planet '#]],Hybridtable[Planet '#],Hybridtable[Name])</f>
        <v>Batalla</v>
      </c>
      <c r="C57" s="68" t="s">
        <v>228</v>
      </c>
      <c r="D57" s="78" t="str" cm="1">
        <f t="array" ref="D5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7" s="78" t="str" cm="1">
        <f t="array" ref="E5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7" s="77" t="str" cm="1">
        <f t="array" ref="F5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7" s="77" t="str" cm="1">
        <f t="array" ref="G5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7" s="79" t="str">
        <f>IF(COUNT(F57:G57)&lt;2,"",$N$16*UpgradeScores[[#This Row],[ROI Score]]+$O$16*UpgradeScores[[#This Row],[BE Score]])</f>
        <v/>
      </c>
      <c r="J57" s="79" t="str">
        <f t="shared" si="1"/>
        <v/>
      </c>
      <c r="K5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7" s="68" t="str">
        <f>IF(UpgradeScores[[#This Row],[Grade]]="", "",
   _xlfn.RANK.EQ(UpgradeScores[[#This Row],[Grade]], UpgradeScores[Grade], 1)
)</f>
        <v/>
      </c>
    </row>
    <row r="58" spans="1:12" x14ac:dyDescent="0.3">
      <c r="A58" s="16">
        <f t="shared" si="3"/>
        <v>15</v>
      </c>
      <c r="B58" s="68" t="str">
        <f>_xlfn.XLOOKUP(UpgradeScores[[#This Row],[Planet '#]],Hybridtable[Planet '#],Hybridtable[Name])</f>
        <v>Micah</v>
      </c>
      <c r="C58" s="68" t="s">
        <v>226</v>
      </c>
      <c r="D58" s="78" t="str" cm="1">
        <f t="array" ref="D5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8" s="78" t="str" cm="1">
        <f t="array" ref="E5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8" s="77" t="str" cm="1">
        <f t="array" ref="F5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8" s="77" t="str" cm="1">
        <f t="array" ref="G5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8" s="79" t="str">
        <f>IF(COUNT(F58:G58)&lt;2,"",$N$16*UpgradeScores[[#This Row],[ROI Score]]+$O$16*UpgradeScores[[#This Row],[BE Score]])</f>
        <v/>
      </c>
      <c r="J58" s="79" t="str">
        <f t="shared" si="1"/>
        <v/>
      </c>
      <c r="K5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8" s="68" t="str">
        <f>IF(UpgradeScores[[#This Row],[Grade]]="", "",
   _xlfn.RANK.EQ(UpgradeScores[[#This Row],[Grade]], UpgradeScores[Grade], 1)
)</f>
        <v/>
      </c>
    </row>
    <row r="59" spans="1:12" x14ac:dyDescent="0.3">
      <c r="A59" s="16">
        <f t="shared" si="3"/>
        <v>15</v>
      </c>
      <c r="B59" s="68" t="str">
        <f>_xlfn.XLOOKUP(UpgradeScores[[#This Row],[Planet '#]],Hybridtable[Planet '#],Hybridtable[Name])</f>
        <v>Micah</v>
      </c>
      <c r="C59" s="68" t="s">
        <v>227</v>
      </c>
      <c r="D59" s="78" t="str" cm="1">
        <f t="array" ref="D5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59" s="78" t="str" cm="1">
        <f t="array" ref="E5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59" s="77" t="str" cm="1">
        <f t="array" ref="F5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59" s="77" t="str" cm="1">
        <f t="array" ref="G5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5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59" s="79" t="str">
        <f>IF(COUNT(F59:G59)&lt;2,"",$N$16*UpgradeScores[[#This Row],[ROI Score]]+$O$16*UpgradeScores[[#This Row],[BE Score]])</f>
        <v/>
      </c>
      <c r="J59" s="79" t="str">
        <f t="shared" si="1"/>
        <v/>
      </c>
      <c r="K5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59" s="68" t="str">
        <f>IF(UpgradeScores[[#This Row],[Grade]]="", "",
   _xlfn.RANK.EQ(UpgradeScores[[#This Row],[Grade]], UpgradeScores[Grade], 1)
)</f>
        <v/>
      </c>
    </row>
    <row r="60" spans="1:12" x14ac:dyDescent="0.3">
      <c r="A60" s="16">
        <f t="shared" si="3"/>
        <v>15</v>
      </c>
      <c r="B60" s="68" t="str">
        <f>_xlfn.XLOOKUP(UpgradeScores[[#This Row],[Planet '#]],Hybridtable[Planet '#],Hybridtable[Name])</f>
        <v>Micah</v>
      </c>
      <c r="C60" s="68" t="s">
        <v>159</v>
      </c>
      <c r="D60" s="78" t="str" cm="1">
        <f t="array" ref="D6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0" s="78" t="str" cm="1">
        <f t="array" ref="E6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0" s="77" t="str" cm="1">
        <f t="array" ref="F6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0" s="77" t="str" cm="1">
        <f t="array" ref="G6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0" s="79" t="str">
        <f>IF(COUNT(F60:G60)&lt;2,"",$N$16*UpgradeScores[[#This Row],[ROI Score]]+$O$16*UpgradeScores[[#This Row],[BE Score]])</f>
        <v/>
      </c>
      <c r="J60" s="79" t="str">
        <f t="shared" si="1"/>
        <v/>
      </c>
      <c r="K6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0" s="68" t="str">
        <f>IF(UpgradeScores[[#This Row],[Grade]]="", "",
   _xlfn.RANK.EQ(UpgradeScores[[#This Row],[Grade]], UpgradeScores[Grade], 1)
)</f>
        <v/>
      </c>
    </row>
    <row r="61" spans="1:12" x14ac:dyDescent="0.3">
      <c r="A61" s="16">
        <f t="shared" si="3"/>
        <v>15</v>
      </c>
      <c r="B61" s="68" t="str">
        <f>_xlfn.XLOOKUP(UpgradeScores[[#This Row],[Planet '#]],Hybridtable[Planet '#],Hybridtable[Name])</f>
        <v>Micah</v>
      </c>
      <c r="C61" s="68" t="s">
        <v>228</v>
      </c>
      <c r="D61" s="78" t="str" cm="1">
        <f t="array" ref="D6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1" s="78" t="str" cm="1">
        <f t="array" ref="E6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1" s="77" t="str" cm="1">
        <f t="array" ref="F6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1" s="77" t="str" cm="1">
        <f t="array" ref="G6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1" s="79" t="str">
        <f>IF(COUNT(F61:G61)&lt;2,"",$N$16*UpgradeScores[[#This Row],[ROI Score]]+$O$16*UpgradeScores[[#This Row],[BE Score]])</f>
        <v/>
      </c>
      <c r="J61" s="79" t="str">
        <f t="shared" si="1"/>
        <v/>
      </c>
      <c r="K6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1" s="68" t="str">
        <f>IF(UpgradeScores[[#This Row],[Grade]]="", "",
   _xlfn.RANK.EQ(UpgradeScores[[#This Row],[Grade]], UpgradeScores[Grade], 1)
)</f>
        <v/>
      </c>
    </row>
    <row r="62" spans="1:12" x14ac:dyDescent="0.3">
      <c r="A62" s="16">
        <f t="shared" si="3"/>
        <v>16</v>
      </c>
      <c r="B62" s="68" t="str">
        <f>_xlfn.XLOOKUP(UpgradeScores[[#This Row],[Planet '#]],Hybridtable[Planet '#],Hybridtable[Name])</f>
        <v>Pranas</v>
      </c>
      <c r="C62" s="68" t="s">
        <v>226</v>
      </c>
      <c r="D62" s="78" t="str" cm="1">
        <f t="array" ref="D6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2" s="78" t="str" cm="1">
        <f t="array" ref="E6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2" s="77" t="str" cm="1">
        <f t="array" ref="F6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2" s="77" t="str" cm="1">
        <f t="array" ref="G6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2" s="79" t="str">
        <f>IF(COUNT(F62:G62)&lt;2,"",$N$16*UpgradeScores[[#This Row],[ROI Score]]+$O$16*UpgradeScores[[#This Row],[BE Score]])</f>
        <v/>
      </c>
      <c r="J62" s="79" t="str">
        <f t="shared" si="1"/>
        <v/>
      </c>
      <c r="K6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2" s="68" t="str">
        <f>IF(UpgradeScores[[#This Row],[Grade]]="", "",
   _xlfn.RANK.EQ(UpgradeScores[[#This Row],[Grade]], UpgradeScores[Grade], 1)
)</f>
        <v/>
      </c>
    </row>
    <row r="63" spans="1:12" x14ac:dyDescent="0.3">
      <c r="A63" s="16">
        <f t="shared" si="3"/>
        <v>16</v>
      </c>
      <c r="B63" s="68" t="str">
        <f>_xlfn.XLOOKUP(UpgradeScores[[#This Row],[Planet '#]],Hybridtable[Planet '#],Hybridtable[Name])</f>
        <v>Pranas</v>
      </c>
      <c r="C63" s="68" t="s">
        <v>227</v>
      </c>
      <c r="D63" s="78" t="str" cm="1">
        <f t="array" ref="D6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3" s="78" t="str" cm="1">
        <f t="array" ref="E6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3" s="77" t="str" cm="1">
        <f t="array" ref="F6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3" s="77" t="str" cm="1">
        <f t="array" ref="G6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3" s="79" t="str">
        <f>IF(COUNT(F63:G63)&lt;2,"",$N$16*UpgradeScores[[#This Row],[ROI Score]]+$O$16*UpgradeScores[[#This Row],[BE Score]])</f>
        <v/>
      </c>
      <c r="J63" s="79" t="str">
        <f t="shared" si="1"/>
        <v/>
      </c>
      <c r="K6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3" s="68" t="str">
        <f>IF(UpgradeScores[[#This Row],[Grade]]="", "",
   _xlfn.RANK.EQ(UpgradeScores[[#This Row],[Grade]], UpgradeScores[Grade], 1)
)</f>
        <v/>
      </c>
    </row>
    <row r="64" spans="1:12" x14ac:dyDescent="0.3">
      <c r="A64" s="16">
        <f t="shared" si="3"/>
        <v>16</v>
      </c>
      <c r="B64" s="68" t="str">
        <f>_xlfn.XLOOKUP(UpgradeScores[[#This Row],[Planet '#]],Hybridtable[Planet '#],Hybridtable[Name])</f>
        <v>Pranas</v>
      </c>
      <c r="C64" s="68" t="s">
        <v>159</v>
      </c>
      <c r="D64" s="78" t="str" cm="1">
        <f t="array" ref="D6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4" s="78" t="str" cm="1">
        <f t="array" ref="E6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4" s="77" t="str" cm="1">
        <f t="array" ref="F6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4" s="77" t="str" cm="1">
        <f t="array" ref="G6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4" s="79" t="str">
        <f>IF(COUNT(F64:G64)&lt;2,"",$N$16*UpgradeScores[[#This Row],[ROI Score]]+$O$16*UpgradeScores[[#This Row],[BE Score]])</f>
        <v/>
      </c>
      <c r="J64" s="79" t="str">
        <f t="shared" si="1"/>
        <v/>
      </c>
      <c r="K6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4" s="68" t="str">
        <f>IF(UpgradeScores[[#This Row],[Grade]]="", "",
   _xlfn.RANK.EQ(UpgradeScores[[#This Row],[Grade]], UpgradeScores[Grade], 1)
)</f>
        <v/>
      </c>
    </row>
    <row r="65" spans="1:12" x14ac:dyDescent="0.3">
      <c r="A65" s="16">
        <f t="shared" si="3"/>
        <v>16</v>
      </c>
      <c r="B65" s="68" t="str">
        <f>_xlfn.XLOOKUP(UpgradeScores[[#This Row],[Planet '#]],Hybridtable[Planet '#],Hybridtable[Name])</f>
        <v>Pranas</v>
      </c>
      <c r="C65" s="68" t="s">
        <v>228</v>
      </c>
      <c r="D65" s="78" t="str" cm="1">
        <f t="array" ref="D6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5" s="78" t="str" cm="1">
        <f t="array" ref="E6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5" s="77" t="str" cm="1">
        <f t="array" ref="F6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5" s="77" t="str" cm="1">
        <f t="array" ref="G6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5" s="79" t="str">
        <f>IF(COUNT(F65:G65)&lt;2,"",$N$16*UpgradeScores[[#This Row],[ROI Score]]+$O$16*UpgradeScores[[#This Row],[BE Score]])</f>
        <v/>
      </c>
      <c r="J65" s="79" t="str">
        <f t="shared" si="1"/>
        <v/>
      </c>
      <c r="K6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5" s="68" t="str">
        <f>IF(UpgradeScores[[#This Row],[Grade]]="", "",
   _xlfn.RANK.EQ(UpgradeScores[[#This Row],[Grade]], UpgradeScores[Grade], 1)
)</f>
        <v/>
      </c>
    </row>
    <row r="66" spans="1:12" x14ac:dyDescent="0.3">
      <c r="A66" s="16">
        <f t="shared" si="3"/>
        <v>17</v>
      </c>
      <c r="B66" s="68" t="str">
        <f>_xlfn.XLOOKUP(UpgradeScores[[#This Row],[Planet '#]],Hybridtable[Planet '#],Hybridtable[Name])</f>
        <v>Castellus</v>
      </c>
      <c r="C66" s="68" t="s">
        <v>226</v>
      </c>
      <c r="D66" s="78" t="str" cm="1">
        <f t="array" ref="D6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6" s="78" t="str" cm="1">
        <f t="array" ref="E6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6" s="77" t="str" cm="1">
        <f t="array" ref="F6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6" s="77" t="str" cm="1">
        <f t="array" ref="G6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6" s="79" t="str">
        <f>IF(COUNT(F66:G66)&lt;2,"",$N$16*UpgradeScores[[#This Row],[ROI Score]]+$O$16*UpgradeScores[[#This Row],[BE Score]])</f>
        <v/>
      </c>
      <c r="J66" s="79" t="str">
        <f t="shared" ref="J66:J129" si="4">IF(COUNT(F66:G66)&lt;2,"",SQRT(F66*G66))</f>
        <v/>
      </c>
      <c r="K6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6" s="68" t="str">
        <f>IF(UpgradeScores[[#This Row],[Grade]]="", "",
   _xlfn.RANK.EQ(UpgradeScores[[#This Row],[Grade]], UpgradeScores[Grade], 1)
)</f>
        <v/>
      </c>
    </row>
    <row r="67" spans="1:12" x14ac:dyDescent="0.3">
      <c r="A67" s="16">
        <f t="shared" si="3"/>
        <v>17</v>
      </c>
      <c r="B67" s="68" t="str">
        <f>_xlfn.XLOOKUP(UpgradeScores[[#This Row],[Planet '#]],Hybridtable[Planet '#],Hybridtable[Name])</f>
        <v>Castellus</v>
      </c>
      <c r="C67" s="68" t="s">
        <v>227</v>
      </c>
      <c r="D67" s="78" t="str" cm="1">
        <f t="array" ref="D6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7" s="78" t="str" cm="1">
        <f t="array" ref="E6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7" s="77" t="str" cm="1">
        <f t="array" ref="F6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7" s="77" t="str" cm="1">
        <f t="array" ref="G6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7" s="79" t="str">
        <f>IF(COUNT(F67:G67)&lt;2,"",$N$16*UpgradeScores[[#This Row],[ROI Score]]+$O$16*UpgradeScores[[#This Row],[BE Score]])</f>
        <v/>
      </c>
      <c r="J67" s="79" t="str">
        <f t="shared" si="4"/>
        <v/>
      </c>
      <c r="K6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7" s="68" t="str">
        <f>IF(UpgradeScores[[#This Row],[Grade]]="", "",
   _xlfn.RANK.EQ(UpgradeScores[[#This Row],[Grade]], UpgradeScores[Grade], 1)
)</f>
        <v/>
      </c>
    </row>
    <row r="68" spans="1:12" x14ac:dyDescent="0.3">
      <c r="A68" s="16">
        <f t="shared" si="3"/>
        <v>17</v>
      </c>
      <c r="B68" s="68" t="str">
        <f>_xlfn.XLOOKUP(UpgradeScores[[#This Row],[Planet '#]],Hybridtable[Planet '#],Hybridtable[Name])</f>
        <v>Castellus</v>
      </c>
      <c r="C68" s="68" t="s">
        <v>159</v>
      </c>
      <c r="D68" s="78" t="str" cm="1">
        <f t="array" ref="D6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8" s="78" t="str" cm="1">
        <f t="array" ref="E6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8" s="77" t="str" cm="1">
        <f t="array" ref="F6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8" s="77" t="str" cm="1">
        <f t="array" ref="G6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8" s="79" t="str">
        <f>IF(COUNT(F68:G68)&lt;2,"",$N$16*UpgradeScores[[#This Row],[ROI Score]]+$O$16*UpgradeScores[[#This Row],[BE Score]])</f>
        <v/>
      </c>
      <c r="J68" s="79" t="str">
        <f t="shared" si="4"/>
        <v/>
      </c>
      <c r="K6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8" s="68" t="str">
        <f>IF(UpgradeScores[[#This Row],[Grade]]="", "",
   _xlfn.RANK.EQ(UpgradeScores[[#This Row],[Grade]], UpgradeScores[Grade], 1)
)</f>
        <v/>
      </c>
    </row>
    <row r="69" spans="1:12" x14ac:dyDescent="0.3">
      <c r="A69" s="16">
        <f t="shared" si="3"/>
        <v>17</v>
      </c>
      <c r="B69" s="68" t="str">
        <f>_xlfn.XLOOKUP(UpgradeScores[[#This Row],[Planet '#]],Hybridtable[Planet '#],Hybridtable[Name])</f>
        <v>Castellus</v>
      </c>
      <c r="C69" s="68" t="s">
        <v>228</v>
      </c>
      <c r="D69" s="78" t="str" cm="1">
        <f t="array" ref="D6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69" s="78" t="str" cm="1">
        <f t="array" ref="E6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69" s="77" t="str" cm="1">
        <f t="array" ref="F6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69" s="77" t="str" cm="1">
        <f t="array" ref="G6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6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69" s="79" t="str">
        <f>IF(COUNT(F69:G69)&lt;2,"",$N$16*UpgradeScores[[#This Row],[ROI Score]]+$O$16*UpgradeScores[[#This Row],[BE Score]])</f>
        <v/>
      </c>
      <c r="J69" s="79" t="str">
        <f t="shared" si="4"/>
        <v/>
      </c>
      <c r="K6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69" s="68" t="str">
        <f>IF(UpgradeScores[[#This Row],[Grade]]="", "",
   _xlfn.RANK.EQ(UpgradeScores[[#This Row],[Grade]], UpgradeScores[Grade], 1)
)</f>
        <v/>
      </c>
    </row>
    <row r="70" spans="1:12" x14ac:dyDescent="0.3">
      <c r="A70" s="16">
        <f t="shared" si="3"/>
        <v>18</v>
      </c>
      <c r="B70" s="68" t="str">
        <f>_xlfn.XLOOKUP(UpgradeScores[[#This Row],[Planet '#]],Hybridtable[Planet '#],Hybridtable[Name])</f>
        <v>Gorgon</v>
      </c>
      <c r="C70" s="68" t="s">
        <v>226</v>
      </c>
      <c r="D70" s="78" t="str" cm="1">
        <f t="array" ref="D7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0" s="78" t="str" cm="1">
        <f t="array" ref="E7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0" s="77" t="str" cm="1">
        <f t="array" ref="F7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0" s="77" t="str" cm="1">
        <f t="array" ref="G7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0" s="79" t="str">
        <f>IF(COUNT(F70:G70)&lt;2,"",$N$16*UpgradeScores[[#This Row],[ROI Score]]+$O$16*UpgradeScores[[#This Row],[BE Score]])</f>
        <v/>
      </c>
      <c r="J70" s="79" t="str">
        <f t="shared" si="4"/>
        <v/>
      </c>
      <c r="K7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0" s="68" t="str">
        <f>IF(UpgradeScores[[#This Row],[Grade]]="", "",
   _xlfn.RANK.EQ(UpgradeScores[[#This Row],[Grade]], UpgradeScores[Grade], 1)
)</f>
        <v/>
      </c>
    </row>
    <row r="71" spans="1:12" x14ac:dyDescent="0.3">
      <c r="A71" s="16">
        <f t="shared" si="3"/>
        <v>18</v>
      </c>
      <c r="B71" s="68" t="str">
        <f>_xlfn.XLOOKUP(UpgradeScores[[#This Row],[Planet '#]],Hybridtable[Planet '#],Hybridtable[Name])</f>
        <v>Gorgon</v>
      </c>
      <c r="C71" s="68" t="s">
        <v>227</v>
      </c>
      <c r="D71" s="78" t="str" cm="1">
        <f t="array" ref="D7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1" s="78" t="str" cm="1">
        <f t="array" ref="E7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1" s="77" t="str" cm="1">
        <f t="array" ref="F7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1" s="77" t="str" cm="1">
        <f t="array" ref="G7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1" s="79" t="str">
        <f>IF(COUNT(F71:G71)&lt;2,"",$N$16*UpgradeScores[[#This Row],[ROI Score]]+$O$16*UpgradeScores[[#This Row],[BE Score]])</f>
        <v/>
      </c>
      <c r="J71" s="79" t="str">
        <f t="shared" si="4"/>
        <v/>
      </c>
      <c r="K7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1" s="68" t="str">
        <f>IF(UpgradeScores[[#This Row],[Grade]]="", "",
   _xlfn.RANK.EQ(UpgradeScores[[#This Row],[Grade]], UpgradeScores[Grade], 1)
)</f>
        <v/>
      </c>
    </row>
    <row r="72" spans="1:12" x14ac:dyDescent="0.3">
      <c r="A72" s="16">
        <f t="shared" si="3"/>
        <v>18</v>
      </c>
      <c r="B72" s="68" t="str">
        <f>_xlfn.XLOOKUP(UpgradeScores[[#This Row],[Planet '#]],Hybridtable[Planet '#],Hybridtable[Name])</f>
        <v>Gorgon</v>
      </c>
      <c r="C72" s="68" t="s">
        <v>159</v>
      </c>
      <c r="D72" s="78" t="str" cm="1">
        <f t="array" ref="D7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2" s="78" t="str" cm="1">
        <f t="array" ref="E7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2" s="77" t="str" cm="1">
        <f t="array" ref="F7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2" s="77" t="str" cm="1">
        <f t="array" ref="G7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2" s="79" t="str">
        <f>IF(COUNT(F72:G72)&lt;2,"",$N$16*UpgradeScores[[#This Row],[ROI Score]]+$O$16*UpgradeScores[[#This Row],[BE Score]])</f>
        <v/>
      </c>
      <c r="J72" s="79" t="str">
        <f t="shared" si="4"/>
        <v/>
      </c>
      <c r="K7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2" s="68" t="str">
        <f>IF(UpgradeScores[[#This Row],[Grade]]="", "",
   _xlfn.RANK.EQ(UpgradeScores[[#This Row],[Grade]], UpgradeScores[Grade], 1)
)</f>
        <v/>
      </c>
    </row>
    <row r="73" spans="1:12" x14ac:dyDescent="0.3">
      <c r="A73" s="16">
        <f t="shared" si="3"/>
        <v>18</v>
      </c>
      <c r="B73" s="68" t="str">
        <f>_xlfn.XLOOKUP(UpgradeScores[[#This Row],[Planet '#]],Hybridtable[Planet '#],Hybridtable[Name])</f>
        <v>Gorgon</v>
      </c>
      <c r="C73" s="68" t="s">
        <v>228</v>
      </c>
      <c r="D73" s="78" t="str" cm="1">
        <f t="array" ref="D7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3" s="78" t="str" cm="1">
        <f t="array" ref="E7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3" s="77" t="str" cm="1">
        <f t="array" ref="F7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3" s="77" t="str" cm="1">
        <f t="array" ref="G7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3" s="79" t="str">
        <f>IF(COUNT(F73:G73)&lt;2,"",$N$16*UpgradeScores[[#This Row],[ROI Score]]+$O$16*UpgradeScores[[#This Row],[BE Score]])</f>
        <v/>
      </c>
      <c r="J73" s="79" t="str">
        <f t="shared" si="4"/>
        <v/>
      </c>
      <c r="K7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3" s="68" t="str">
        <f>IF(UpgradeScores[[#This Row],[Grade]]="", "",
   _xlfn.RANK.EQ(UpgradeScores[[#This Row],[Grade]], UpgradeScores[Grade], 1)
)</f>
        <v/>
      </c>
    </row>
    <row r="74" spans="1:12" x14ac:dyDescent="0.3">
      <c r="A74" s="16">
        <f t="shared" si="3"/>
        <v>19</v>
      </c>
      <c r="B74" s="68" t="str">
        <f>_xlfn.XLOOKUP(UpgradeScores[[#This Row],[Planet '#]],Hybridtable[Planet '#],Hybridtable[Name])</f>
        <v>Parnitha</v>
      </c>
      <c r="C74" s="68" t="s">
        <v>226</v>
      </c>
      <c r="D74" s="78" t="str" cm="1">
        <f t="array" ref="D7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4" s="78" t="str" cm="1">
        <f t="array" ref="E7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4" s="77" t="str" cm="1">
        <f t="array" ref="F7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4" s="77" t="str" cm="1">
        <f t="array" ref="G7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4" s="79" t="str">
        <f>IF(COUNT(F74:G74)&lt;2,"",$N$16*UpgradeScores[[#This Row],[ROI Score]]+$O$16*UpgradeScores[[#This Row],[BE Score]])</f>
        <v/>
      </c>
      <c r="J74" s="79" t="str">
        <f t="shared" si="4"/>
        <v/>
      </c>
      <c r="K7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4" s="68" t="str">
        <f>IF(UpgradeScores[[#This Row],[Grade]]="", "",
   _xlfn.RANK.EQ(UpgradeScores[[#This Row],[Grade]], UpgradeScores[Grade], 1)
)</f>
        <v/>
      </c>
    </row>
    <row r="75" spans="1:12" x14ac:dyDescent="0.3">
      <c r="A75" s="16">
        <f t="shared" ref="A75:A83" si="5">INT((ROW()-ROW($A$2))/4)+1</f>
        <v>19</v>
      </c>
      <c r="B75" s="68" t="str">
        <f>_xlfn.XLOOKUP(UpgradeScores[[#This Row],[Planet '#]],Hybridtable[Planet '#],Hybridtable[Name])</f>
        <v>Parnitha</v>
      </c>
      <c r="C75" s="68" t="s">
        <v>227</v>
      </c>
      <c r="D75" s="78" t="str" cm="1">
        <f t="array" ref="D7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5" s="78" t="str" cm="1">
        <f t="array" ref="E7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5" s="77" t="str" cm="1">
        <f t="array" ref="F7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5" s="77" t="str" cm="1">
        <f t="array" ref="G7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5" s="79" t="str">
        <f>IF(COUNT(F75:G75)&lt;2,"",$N$16*UpgradeScores[[#This Row],[ROI Score]]+$O$16*UpgradeScores[[#This Row],[BE Score]])</f>
        <v/>
      </c>
      <c r="J75" s="79" t="str">
        <f t="shared" si="4"/>
        <v/>
      </c>
      <c r="K7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5" s="68" t="str">
        <f>IF(UpgradeScores[[#This Row],[Grade]]="", "",
   _xlfn.RANK.EQ(UpgradeScores[[#This Row],[Grade]], UpgradeScores[Grade], 1)
)</f>
        <v/>
      </c>
    </row>
    <row r="76" spans="1:12" x14ac:dyDescent="0.3">
      <c r="A76" s="16">
        <f t="shared" si="5"/>
        <v>19</v>
      </c>
      <c r="B76" s="68" t="str">
        <f>_xlfn.XLOOKUP(UpgradeScores[[#This Row],[Planet '#]],Hybridtable[Planet '#],Hybridtable[Name])</f>
        <v>Parnitha</v>
      </c>
      <c r="C76" s="68" t="s">
        <v>159</v>
      </c>
      <c r="D76" s="78" t="str" cm="1">
        <f t="array" ref="D7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6" s="78" t="str" cm="1">
        <f t="array" ref="E7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6" s="77" t="str" cm="1">
        <f t="array" ref="F7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6" s="77" t="str" cm="1">
        <f t="array" ref="G7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6" s="79" t="str">
        <f>IF(COUNT(F76:G76)&lt;2,"",$N$16*UpgradeScores[[#This Row],[ROI Score]]+$O$16*UpgradeScores[[#This Row],[BE Score]])</f>
        <v/>
      </c>
      <c r="J76" s="79" t="str">
        <f t="shared" si="4"/>
        <v/>
      </c>
      <c r="K7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6" s="68" t="str">
        <f>IF(UpgradeScores[[#This Row],[Grade]]="", "",
   _xlfn.RANK.EQ(UpgradeScores[[#This Row],[Grade]], UpgradeScores[Grade], 1)
)</f>
        <v/>
      </c>
    </row>
    <row r="77" spans="1:12" x14ac:dyDescent="0.3">
      <c r="A77" s="16">
        <f t="shared" si="5"/>
        <v>19</v>
      </c>
      <c r="B77" s="68" t="str">
        <f>_xlfn.XLOOKUP(UpgradeScores[[#This Row],[Planet '#]],Hybridtable[Planet '#],Hybridtable[Name])</f>
        <v>Parnitha</v>
      </c>
      <c r="C77" s="68" t="s">
        <v>228</v>
      </c>
      <c r="D77" s="78" t="str" cm="1">
        <f t="array" ref="D7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7" s="78" t="str" cm="1">
        <f t="array" ref="E7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7" s="77" t="str" cm="1">
        <f t="array" ref="F7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7" s="77" t="str" cm="1">
        <f t="array" ref="G7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7" s="79" t="str">
        <f>IF(COUNT(F77:G77)&lt;2,"",$N$16*UpgradeScores[[#This Row],[ROI Score]]+$O$16*UpgradeScores[[#This Row],[BE Score]])</f>
        <v/>
      </c>
      <c r="J77" s="79" t="str">
        <f t="shared" si="4"/>
        <v/>
      </c>
      <c r="K7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7" s="68" t="str">
        <f>IF(UpgradeScores[[#This Row],[Grade]]="", "",
   _xlfn.RANK.EQ(UpgradeScores[[#This Row],[Grade]], UpgradeScores[Grade], 1)
)</f>
        <v/>
      </c>
    </row>
    <row r="78" spans="1:12" x14ac:dyDescent="0.3">
      <c r="A78" s="16">
        <f t="shared" si="5"/>
        <v>20</v>
      </c>
      <c r="B78" s="68" t="str">
        <f>_xlfn.XLOOKUP(UpgradeScores[[#This Row],[Planet '#]],Hybridtable[Planet '#],Hybridtable[Name])</f>
        <v>Orisoni</v>
      </c>
      <c r="C78" s="68" t="s">
        <v>226</v>
      </c>
      <c r="D78" s="78" t="str" cm="1">
        <f t="array" ref="D7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8" s="78" t="str" cm="1">
        <f t="array" ref="E7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8" s="77" t="str" cm="1">
        <f t="array" ref="F7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8" s="77" t="str" cm="1">
        <f t="array" ref="G7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8" s="79" t="str">
        <f>IF(COUNT(F78:G78)&lt;2,"",$N$16*UpgradeScores[[#This Row],[ROI Score]]+$O$16*UpgradeScores[[#This Row],[BE Score]])</f>
        <v/>
      </c>
      <c r="J78" s="79" t="str">
        <f t="shared" si="4"/>
        <v/>
      </c>
      <c r="K7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8" s="68" t="str">
        <f>IF(UpgradeScores[[#This Row],[Grade]]="", "",
   _xlfn.RANK.EQ(UpgradeScores[[#This Row],[Grade]], UpgradeScores[Grade], 1)
)</f>
        <v/>
      </c>
    </row>
    <row r="79" spans="1:12" x14ac:dyDescent="0.3">
      <c r="A79" s="16">
        <f t="shared" si="5"/>
        <v>20</v>
      </c>
      <c r="B79" s="68" t="str">
        <f>_xlfn.XLOOKUP(UpgradeScores[[#This Row],[Planet '#]],Hybridtable[Planet '#],Hybridtable[Name])</f>
        <v>Orisoni</v>
      </c>
      <c r="C79" s="68" t="s">
        <v>227</v>
      </c>
      <c r="D79" s="78" t="str" cm="1">
        <f t="array" ref="D7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79" s="78" t="str" cm="1">
        <f t="array" ref="E7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79" s="77" t="str" cm="1">
        <f t="array" ref="F7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79" s="77" t="str" cm="1">
        <f t="array" ref="G7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7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79" s="79" t="str">
        <f>IF(COUNT(F79:G79)&lt;2,"",$N$16*UpgradeScores[[#This Row],[ROI Score]]+$O$16*UpgradeScores[[#This Row],[BE Score]])</f>
        <v/>
      </c>
      <c r="J79" s="79" t="str">
        <f t="shared" si="4"/>
        <v/>
      </c>
      <c r="K7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79" s="68" t="str">
        <f>IF(UpgradeScores[[#This Row],[Grade]]="", "",
   _xlfn.RANK.EQ(UpgradeScores[[#This Row],[Grade]], UpgradeScores[Grade], 1)
)</f>
        <v/>
      </c>
    </row>
    <row r="80" spans="1:12" x14ac:dyDescent="0.3">
      <c r="A80" s="16">
        <f t="shared" si="5"/>
        <v>20</v>
      </c>
      <c r="B80" s="68" t="str">
        <f>_xlfn.XLOOKUP(UpgradeScores[[#This Row],[Planet '#]],Hybridtable[Planet '#],Hybridtable[Name])</f>
        <v>Orisoni</v>
      </c>
      <c r="C80" s="68" t="s">
        <v>159</v>
      </c>
      <c r="D80" s="78" t="str" cm="1">
        <f t="array" ref="D8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0" s="78" t="str" cm="1">
        <f t="array" ref="E8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0" s="77" t="str" cm="1">
        <f t="array" ref="F8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0" s="77" t="str" cm="1">
        <f t="array" ref="G8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0" s="79" t="str">
        <f>IF(COUNT(F80:G80)&lt;2,"",$N$16*UpgradeScores[[#This Row],[ROI Score]]+$O$16*UpgradeScores[[#This Row],[BE Score]])</f>
        <v/>
      </c>
      <c r="J80" s="79" t="str">
        <f t="shared" si="4"/>
        <v/>
      </c>
      <c r="K8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0" s="68" t="str">
        <f>IF(UpgradeScores[[#This Row],[Grade]]="", "",
   _xlfn.RANK.EQ(UpgradeScores[[#This Row],[Grade]], UpgradeScores[Grade], 1)
)</f>
        <v/>
      </c>
    </row>
    <row r="81" spans="1:12" x14ac:dyDescent="0.3">
      <c r="A81" s="16">
        <f t="shared" si="5"/>
        <v>20</v>
      </c>
      <c r="B81" s="68" t="str">
        <f>_xlfn.XLOOKUP(UpgradeScores[[#This Row],[Planet '#]],Hybridtable[Planet '#],Hybridtable[Name])</f>
        <v>Orisoni</v>
      </c>
      <c r="C81" s="68" t="s">
        <v>228</v>
      </c>
      <c r="D81" s="78" t="str" cm="1">
        <f t="array" ref="D8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1" s="78" t="str" cm="1">
        <f t="array" ref="E8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1" s="77" t="str" cm="1">
        <f t="array" ref="F8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1" s="77" t="str" cm="1">
        <f t="array" ref="G8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1" s="79" t="str">
        <f>IF(COUNT(F81:G81)&lt;2,"",$N$16*UpgradeScores[[#This Row],[ROI Score]]+$O$16*UpgradeScores[[#This Row],[BE Score]])</f>
        <v/>
      </c>
      <c r="J81" s="79" t="str">
        <f t="shared" si="4"/>
        <v/>
      </c>
      <c r="K8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1" s="68" t="str">
        <f>IF(UpgradeScores[[#This Row],[Grade]]="", "",
   _xlfn.RANK.EQ(UpgradeScores[[#This Row],[Grade]], UpgradeScores[Grade], 1)
)</f>
        <v/>
      </c>
    </row>
    <row r="82" spans="1:12" x14ac:dyDescent="0.3">
      <c r="A82" s="16">
        <f t="shared" si="5"/>
        <v>21</v>
      </c>
      <c r="B82" s="68" t="str">
        <f>_xlfn.XLOOKUP(UpgradeScores[[#This Row],[Planet '#]],Hybridtable[Planet '#],Hybridtable[Name])</f>
        <v>Theseus</v>
      </c>
      <c r="C82" s="68" t="s">
        <v>226</v>
      </c>
      <c r="D82" s="78" t="str" cm="1">
        <f t="array" ref="D8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2" s="78" t="str" cm="1">
        <f t="array" ref="E8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2" s="77" t="str" cm="1">
        <f t="array" ref="F8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2" s="77" t="str" cm="1">
        <f t="array" ref="G8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2" s="79" t="str">
        <f>IF(COUNT(F82:G82)&lt;2,"",$N$16*UpgradeScores[[#This Row],[ROI Score]]+$O$16*UpgradeScores[[#This Row],[BE Score]])</f>
        <v/>
      </c>
      <c r="J82" s="79" t="str">
        <f t="shared" si="4"/>
        <v/>
      </c>
      <c r="K8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2" s="68" t="str">
        <f>IF(UpgradeScores[[#This Row],[Grade]]="", "",
   _xlfn.RANK.EQ(UpgradeScores[[#This Row],[Grade]], UpgradeScores[Grade], 1)
)</f>
        <v/>
      </c>
    </row>
    <row r="83" spans="1:12" x14ac:dyDescent="0.3">
      <c r="A83" s="16">
        <f t="shared" si="5"/>
        <v>21</v>
      </c>
      <c r="B83" s="68" t="str">
        <f>_xlfn.XLOOKUP(UpgradeScores[[#This Row],[Planet '#]],Hybridtable[Planet '#],Hybridtable[Name])</f>
        <v>Theseus</v>
      </c>
      <c r="C83" s="68" t="s">
        <v>227</v>
      </c>
      <c r="D83" s="78" t="str" cm="1">
        <f t="array" ref="D8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3" s="78" t="str" cm="1">
        <f t="array" ref="E8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3" s="77" t="str" cm="1">
        <f t="array" ref="F8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3" s="77" t="str" cm="1">
        <f t="array" ref="G8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3" s="79" t="str">
        <f>IF(COUNT(F83:G83)&lt;2,"",$N$16*UpgradeScores[[#This Row],[ROI Score]]+$O$16*UpgradeScores[[#This Row],[BE Score]])</f>
        <v/>
      </c>
      <c r="J83" s="79" t="str">
        <f t="shared" si="4"/>
        <v/>
      </c>
      <c r="K8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3" s="68" t="str">
        <f>IF(UpgradeScores[[#This Row],[Grade]]="", "",
   _xlfn.RANK.EQ(UpgradeScores[[#This Row],[Grade]], UpgradeScores[Grade], 1)
)</f>
        <v/>
      </c>
    </row>
    <row r="84" spans="1:12" x14ac:dyDescent="0.3">
      <c r="A84" s="16">
        <f t="shared" ref="A84:A115" si="6">INT((ROW()-ROW($A$2))/4)+1</f>
        <v>21</v>
      </c>
      <c r="B84" s="68" t="str">
        <f>_xlfn.XLOOKUP(UpgradeScores[[#This Row],[Planet '#]],Hybridtable[Planet '#],Hybridtable[Name])</f>
        <v>Theseus</v>
      </c>
      <c r="C84" s="68" t="s">
        <v>159</v>
      </c>
      <c r="D84" s="78" t="str" cm="1">
        <f t="array" ref="D8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4" s="78" t="str" cm="1">
        <f t="array" ref="E8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4" s="77" t="str" cm="1">
        <f t="array" ref="F8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4" s="77" t="str" cm="1">
        <f t="array" ref="G8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4" s="79" t="str">
        <f>IF(COUNT(F84:G84)&lt;2,"",$N$16*UpgradeScores[[#This Row],[ROI Score]]+$O$16*UpgradeScores[[#This Row],[BE Score]])</f>
        <v/>
      </c>
      <c r="J84" s="79" t="str">
        <f t="shared" si="4"/>
        <v/>
      </c>
      <c r="K8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4" s="68" t="str">
        <f>IF(UpgradeScores[[#This Row],[Grade]]="", "",
   _xlfn.RANK.EQ(UpgradeScores[[#This Row],[Grade]], UpgradeScores[Grade], 1)
)</f>
        <v/>
      </c>
    </row>
    <row r="85" spans="1:12" x14ac:dyDescent="0.3">
      <c r="A85" s="16">
        <f t="shared" si="6"/>
        <v>21</v>
      </c>
      <c r="B85" s="68" t="str">
        <f>_xlfn.XLOOKUP(UpgradeScores[[#This Row],[Planet '#]],Hybridtable[Planet '#],Hybridtable[Name])</f>
        <v>Theseus</v>
      </c>
      <c r="C85" s="68" t="s">
        <v>228</v>
      </c>
      <c r="D85" s="78" t="str" cm="1">
        <f t="array" ref="D8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5" s="78" t="str" cm="1">
        <f t="array" ref="E8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5" s="77" t="str" cm="1">
        <f t="array" ref="F8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5" s="77" t="str" cm="1">
        <f t="array" ref="G8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5" s="79" t="str">
        <f>IF(COUNT(F85:G85)&lt;2,"",$N$16*UpgradeScores[[#This Row],[ROI Score]]+$O$16*UpgradeScores[[#This Row],[BE Score]])</f>
        <v/>
      </c>
      <c r="J85" s="79" t="str">
        <f t="shared" si="4"/>
        <v/>
      </c>
      <c r="K8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5" s="68" t="str">
        <f>IF(UpgradeScores[[#This Row],[Grade]]="", "",
   _xlfn.RANK.EQ(UpgradeScores[[#This Row],[Grade]], UpgradeScores[Grade], 1)
)</f>
        <v/>
      </c>
    </row>
    <row r="86" spans="1:12" x14ac:dyDescent="0.3">
      <c r="A86" s="16">
        <f t="shared" si="6"/>
        <v>22</v>
      </c>
      <c r="B86" s="68" t="str">
        <f>_xlfn.XLOOKUP(UpgradeScores[[#This Row],[Planet '#]],Hybridtable[Planet '#],Hybridtable[Name])</f>
        <v>Zelene</v>
      </c>
      <c r="C86" s="68" t="s">
        <v>226</v>
      </c>
      <c r="D86" s="78" t="str" cm="1">
        <f t="array" ref="D8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6" s="78" t="str" cm="1">
        <f t="array" ref="E8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6" s="77" t="str" cm="1">
        <f t="array" ref="F8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6" s="77" t="str" cm="1">
        <f t="array" ref="G8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6" s="79" t="str">
        <f>IF(COUNT(F86:G86)&lt;2,"",$N$16*UpgradeScores[[#This Row],[ROI Score]]+$O$16*UpgradeScores[[#This Row],[BE Score]])</f>
        <v/>
      </c>
      <c r="J86" s="79" t="str">
        <f t="shared" si="4"/>
        <v/>
      </c>
      <c r="K8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6" s="68" t="str">
        <f>IF(UpgradeScores[[#This Row],[Grade]]="", "",
   _xlfn.RANK.EQ(UpgradeScores[[#This Row],[Grade]], UpgradeScores[Grade], 1)
)</f>
        <v/>
      </c>
    </row>
    <row r="87" spans="1:12" x14ac:dyDescent="0.3">
      <c r="A87" s="16">
        <f t="shared" si="6"/>
        <v>22</v>
      </c>
      <c r="B87" s="68" t="str">
        <f>_xlfn.XLOOKUP(UpgradeScores[[#This Row],[Planet '#]],Hybridtable[Planet '#],Hybridtable[Name])</f>
        <v>Zelene</v>
      </c>
      <c r="C87" s="68" t="s">
        <v>227</v>
      </c>
      <c r="D87" s="78" t="str" cm="1">
        <f t="array" ref="D8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7" s="78" t="str" cm="1">
        <f t="array" ref="E8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7" s="77" t="str" cm="1">
        <f t="array" ref="F8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7" s="77" t="str" cm="1">
        <f t="array" ref="G8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7" s="79" t="str">
        <f>IF(COUNT(F87:G87)&lt;2,"",$N$16*UpgradeScores[[#This Row],[ROI Score]]+$O$16*UpgradeScores[[#This Row],[BE Score]])</f>
        <v/>
      </c>
      <c r="J87" s="79" t="str">
        <f t="shared" si="4"/>
        <v/>
      </c>
      <c r="K8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7" s="68" t="str">
        <f>IF(UpgradeScores[[#This Row],[Grade]]="", "",
   _xlfn.RANK.EQ(UpgradeScores[[#This Row],[Grade]], UpgradeScores[Grade], 1)
)</f>
        <v/>
      </c>
    </row>
    <row r="88" spans="1:12" x14ac:dyDescent="0.3">
      <c r="A88" s="16">
        <f t="shared" si="6"/>
        <v>22</v>
      </c>
      <c r="B88" s="68" t="str">
        <f>_xlfn.XLOOKUP(UpgradeScores[[#This Row],[Planet '#]],Hybridtable[Planet '#],Hybridtable[Name])</f>
        <v>Zelene</v>
      </c>
      <c r="C88" s="68" t="s">
        <v>159</v>
      </c>
      <c r="D88" s="78" t="str" cm="1">
        <f t="array" ref="D8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8" s="78" t="str" cm="1">
        <f t="array" ref="E8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8" s="77" t="str" cm="1">
        <f t="array" ref="F8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8" s="77" t="str" cm="1">
        <f t="array" ref="G8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8" s="79" t="str">
        <f>IF(COUNT(F88:G88)&lt;2,"",$N$16*UpgradeScores[[#This Row],[ROI Score]]+$O$16*UpgradeScores[[#This Row],[BE Score]])</f>
        <v/>
      </c>
      <c r="J88" s="79" t="str">
        <f t="shared" si="4"/>
        <v/>
      </c>
      <c r="K8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8" s="68" t="str">
        <f>IF(UpgradeScores[[#This Row],[Grade]]="", "",
   _xlfn.RANK.EQ(UpgradeScores[[#This Row],[Grade]], UpgradeScores[Grade], 1)
)</f>
        <v/>
      </c>
    </row>
    <row r="89" spans="1:12" x14ac:dyDescent="0.3">
      <c r="A89" s="16">
        <f t="shared" si="6"/>
        <v>22</v>
      </c>
      <c r="B89" s="68" t="str">
        <f>_xlfn.XLOOKUP(UpgradeScores[[#This Row],[Planet '#]],Hybridtable[Planet '#],Hybridtable[Name])</f>
        <v>Zelene</v>
      </c>
      <c r="C89" s="68" t="s">
        <v>228</v>
      </c>
      <c r="D89" s="78" t="str" cm="1">
        <f t="array" ref="D8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89" s="78" t="str" cm="1">
        <f t="array" ref="E8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89" s="77" t="str" cm="1">
        <f t="array" ref="F8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89" s="77" t="str" cm="1">
        <f t="array" ref="G8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8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89" s="79" t="str">
        <f>IF(COUNT(F89:G89)&lt;2,"",$N$16*UpgradeScores[[#This Row],[ROI Score]]+$O$16*UpgradeScores[[#This Row],[BE Score]])</f>
        <v/>
      </c>
      <c r="J89" s="79" t="str">
        <f t="shared" si="4"/>
        <v/>
      </c>
      <c r="K8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89" s="68" t="str">
        <f>IF(UpgradeScores[[#This Row],[Grade]]="", "",
   _xlfn.RANK.EQ(UpgradeScores[[#This Row],[Grade]], UpgradeScores[Grade], 1)
)</f>
        <v/>
      </c>
    </row>
    <row r="90" spans="1:12" x14ac:dyDescent="0.3">
      <c r="A90" s="16">
        <f t="shared" si="6"/>
        <v>23</v>
      </c>
      <c r="B90" s="68" t="str">
        <f>_xlfn.XLOOKUP(UpgradeScores[[#This Row],[Planet '#]],Hybridtable[Planet '#],Hybridtable[Name])</f>
        <v>Han</v>
      </c>
      <c r="C90" s="68" t="s">
        <v>226</v>
      </c>
      <c r="D90" s="78" t="str" cm="1">
        <f t="array" ref="D9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0" s="78" t="str" cm="1">
        <f t="array" ref="E9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0" s="77" t="str" cm="1">
        <f t="array" ref="F9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0" s="77" t="str" cm="1">
        <f t="array" ref="G9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0" s="79" t="str">
        <f>IF(COUNT(F90:G90)&lt;2,"",$N$16*UpgradeScores[[#This Row],[ROI Score]]+$O$16*UpgradeScores[[#This Row],[BE Score]])</f>
        <v/>
      </c>
      <c r="J90" s="79" t="str">
        <f t="shared" si="4"/>
        <v/>
      </c>
      <c r="K9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0" s="68" t="str">
        <f>IF(UpgradeScores[[#This Row],[Grade]]="", "",
   _xlfn.RANK.EQ(UpgradeScores[[#This Row],[Grade]], UpgradeScores[Grade], 1)
)</f>
        <v/>
      </c>
    </row>
    <row r="91" spans="1:12" x14ac:dyDescent="0.3">
      <c r="A91" s="16">
        <f t="shared" si="6"/>
        <v>23</v>
      </c>
      <c r="B91" s="68" t="str">
        <f>_xlfn.XLOOKUP(UpgradeScores[[#This Row],[Planet '#]],Hybridtable[Planet '#],Hybridtable[Name])</f>
        <v>Han</v>
      </c>
      <c r="C91" s="68" t="s">
        <v>227</v>
      </c>
      <c r="D91" s="78" t="str" cm="1">
        <f t="array" ref="D9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1" s="78" t="str" cm="1">
        <f t="array" ref="E9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1" s="77" t="str" cm="1">
        <f t="array" ref="F9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1" s="77" t="str" cm="1">
        <f t="array" ref="G9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1" s="79" t="str">
        <f>IF(COUNT(F91:G91)&lt;2,"",$N$16*UpgradeScores[[#This Row],[ROI Score]]+$O$16*UpgradeScores[[#This Row],[BE Score]])</f>
        <v/>
      </c>
      <c r="J91" s="79" t="str">
        <f t="shared" si="4"/>
        <v/>
      </c>
      <c r="K9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1" s="68" t="str">
        <f>IF(UpgradeScores[[#This Row],[Grade]]="", "",
   _xlfn.RANK.EQ(UpgradeScores[[#This Row],[Grade]], UpgradeScores[Grade], 1)
)</f>
        <v/>
      </c>
    </row>
    <row r="92" spans="1:12" x14ac:dyDescent="0.3">
      <c r="A92" s="16">
        <f t="shared" si="6"/>
        <v>23</v>
      </c>
      <c r="B92" s="68" t="str">
        <f>_xlfn.XLOOKUP(UpgradeScores[[#This Row],[Planet '#]],Hybridtable[Planet '#],Hybridtable[Name])</f>
        <v>Han</v>
      </c>
      <c r="C92" s="68" t="s">
        <v>159</v>
      </c>
      <c r="D92" s="78" t="str" cm="1">
        <f t="array" ref="D9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2" s="78" t="str" cm="1">
        <f t="array" ref="E9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2" s="77" t="str" cm="1">
        <f t="array" ref="F9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2" s="77" t="str" cm="1">
        <f t="array" ref="G9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2" s="79" t="str">
        <f>IF(COUNT(F92:G92)&lt;2,"",$N$16*UpgradeScores[[#This Row],[ROI Score]]+$O$16*UpgradeScores[[#This Row],[BE Score]])</f>
        <v/>
      </c>
      <c r="J92" s="79" t="str">
        <f t="shared" si="4"/>
        <v/>
      </c>
      <c r="K9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2" s="68" t="str">
        <f>IF(UpgradeScores[[#This Row],[Grade]]="", "",
   _xlfn.RANK.EQ(UpgradeScores[[#This Row],[Grade]], UpgradeScores[Grade], 1)
)</f>
        <v/>
      </c>
    </row>
    <row r="93" spans="1:12" x14ac:dyDescent="0.3">
      <c r="A93" s="16">
        <f t="shared" si="6"/>
        <v>23</v>
      </c>
      <c r="B93" s="68" t="str">
        <f>_xlfn.XLOOKUP(UpgradeScores[[#This Row],[Planet '#]],Hybridtable[Planet '#],Hybridtable[Name])</f>
        <v>Han</v>
      </c>
      <c r="C93" s="68" t="s">
        <v>228</v>
      </c>
      <c r="D93" s="78" t="str" cm="1">
        <f t="array" ref="D9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3" s="78" t="str" cm="1">
        <f t="array" ref="E9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3" s="77" t="str" cm="1">
        <f t="array" ref="F9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3" s="77" t="str" cm="1">
        <f t="array" ref="G9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3" s="79" t="str">
        <f>IF(COUNT(F93:G93)&lt;2,"",$N$16*UpgradeScores[[#This Row],[ROI Score]]+$O$16*UpgradeScores[[#This Row],[BE Score]])</f>
        <v/>
      </c>
      <c r="J93" s="79" t="str">
        <f t="shared" si="4"/>
        <v/>
      </c>
      <c r="K9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3" s="68" t="str">
        <f>IF(UpgradeScores[[#This Row],[Grade]]="", "",
   _xlfn.RANK.EQ(UpgradeScores[[#This Row],[Grade]], UpgradeScores[Grade], 1)
)</f>
        <v/>
      </c>
    </row>
    <row r="94" spans="1:12" x14ac:dyDescent="0.3">
      <c r="A94" s="16">
        <f t="shared" si="6"/>
        <v>24</v>
      </c>
      <c r="B94" s="68" t="str">
        <f>_xlfn.XLOOKUP(UpgradeScores[[#This Row],[Planet '#]],Hybridtable[Planet '#],Hybridtable[Name])</f>
        <v>Strennus</v>
      </c>
      <c r="C94" s="68" t="s">
        <v>226</v>
      </c>
      <c r="D94" s="78" t="str" cm="1">
        <f t="array" ref="D9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4" s="78" t="str" cm="1">
        <f t="array" ref="E9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4" s="77" t="str" cm="1">
        <f t="array" ref="F9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4" s="77" t="str" cm="1">
        <f t="array" ref="G9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4" s="79" t="str">
        <f>IF(COUNT(F94:G94)&lt;2,"",$N$16*UpgradeScores[[#This Row],[ROI Score]]+$O$16*UpgradeScores[[#This Row],[BE Score]])</f>
        <v/>
      </c>
      <c r="J94" s="79" t="str">
        <f t="shared" si="4"/>
        <v/>
      </c>
      <c r="K9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4" s="68" t="str">
        <f>IF(UpgradeScores[[#This Row],[Grade]]="", "",
   _xlfn.RANK.EQ(UpgradeScores[[#This Row],[Grade]], UpgradeScores[Grade], 1)
)</f>
        <v/>
      </c>
    </row>
    <row r="95" spans="1:12" x14ac:dyDescent="0.3">
      <c r="A95" s="16">
        <f t="shared" si="6"/>
        <v>24</v>
      </c>
      <c r="B95" s="68" t="str">
        <f>_xlfn.XLOOKUP(UpgradeScores[[#This Row],[Planet '#]],Hybridtable[Planet '#],Hybridtable[Name])</f>
        <v>Strennus</v>
      </c>
      <c r="C95" s="68" t="s">
        <v>227</v>
      </c>
      <c r="D95" s="78" t="str" cm="1">
        <f t="array" ref="D9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5" s="78" t="str" cm="1">
        <f t="array" ref="E9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5" s="77" t="str" cm="1">
        <f t="array" ref="F9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5" s="77" t="str" cm="1">
        <f t="array" ref="G9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5" s="79" t="str">
        <f>IF(COUNT(F95:G95)&lt;2,"",$N$16*UpgradeScores[[#This Row],[ROI Score]]+$O$16*UpgradeScores[[#This Row],[BE Score]])</f>
        <v/>
      </c>
      <c r="J95" s="79" t="str">
        <f t="shared" si="4"/>
        <v/>
      </c>
      <c r="K9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5" s="68" t="str">
        <f>IF(UpgradeScores[[#This Row],[Grade]]="", "",
   _xlfn.RANK.EQ(UpgradeScores[[#This Row],[Grade]], UpgradeScores[Grade], 1)
)</f>
        <v/>
      </c>
    </row>
    <row r="96" spans="1:12" x14ac:dyDescent="0.3">
      <c r="A96" s="16">
        <f t="shared" si="6"/>
        <v>24</v>
      </c>
      <c r="B96" s="68" t="str">
        <f>_xlfn.XLOOKUP(UpgradeScores[[#This Row],[Planet '#]],Hybridtable[Planet '#],Hybridtable[Name])</f>
        <v>Strennus</v>
      </c>
      <c r="C96" s="68" t="s">
        <v>159</v>
      </c>
      <c r="D96" s="78" t="str" cm="1">
        <f t="array" ref="D9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6" s="78" t="str" cm="1">
        <f t="array" ref="E9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6" s="77" t="str" cm="1">
        <f t="array" ref="F9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6" s="77" t="str" cm="1">
        <f t="array" ref="G9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6" s="79" t="str">
        <f>IF(COUNT(F96:G96)&lt;2,"",$N$16*UpgradeScores[[#This Row],[ROI Score]]+$O$16*UpgradeScores[[#This Row],[BE Score]])</f>
        <v/>
      </c>
      <c r="J96" s="79" t="str">
        <f t="shared" si="4"/>
        <v/>
      </c>
      <c r="K9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6" s="68" t="str">
        <f>IF(UpgradeScores[[#This Row],[Grade]]="", "",
   _xlfn.RANK.EQ(UpgradeScores[[#This Row],[Grade]], UpgradeScores[Grade], 1)
)</f>
        <v/>
      </c>
    </row>
    <row r="97" spans="1:12" x14ac:dyDescent="0.3">
      <c r="A97" s="16">
        <f t="shared" si="6"/>
        <v>24</v>
      </c>
      <c r="B97" s="68" t="str">
        <f>_xlfn.XLOOKUP(UpgradeScores[[#This Row],[Planet '#]],Hybridtable[Planet '#],Hybridtable[Name])</f>
        <v>Strennus</v>
      </c>
      <c r="C97" s="68" t="s">
        <v>228</v>
      </c>
      <c r="D97" s="78" t="str" cm="1">
        <f t="array" ref="D9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7" s="78" t="str" cm="1">
        <f t="array" ref="E9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7" s="77" t="str" cm="1">
        <f t="array" ref="F9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7" s="77" t="str" cm="1">
        <f t="array" ref="G9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7" s="79" t="str">
        <f>IF(COUNT(F97:G97)&lt;2,"",$N$16*UpgradeScores[[#This Row],[ROI Score]]+$O$16*UpgradeScores[[#This Row],[BE Score]])</f>
        <v/>
      </c>
      <c r="J97" s="79" t="str">
        <f t="shared" si="4"/>
        <v/>
      </c>
      <c r="K9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7" s="68" t="str">
        <f>IF(UpgradeScores[[#This Row],[Grade]]="", "",
   _xlfn.RANK.EQ(UpgradeScores[[#This Row],[Grade]], UpgradeScores[Grade], 1)
)</f>
        <v/>
      </c>
    </row>
    <row r="98" spans="1:12" x14ac:dyDescent="0.3">
      <c r="A98" s="16">
        <f t="shared" si="6"/>
        <v>25</v>
      </c>
      <c r="B98" s="68" t="str">
        <f>_xlfn.XLOOKUP(UpgradeScores[[#This Row],[Planet '#]],Hybridtable[Planet '#],Hybridtable[Name])</f>
        <v>Osun</v>
      </c>
      <c r="C98" s="68" t="s">
        <v>226</v>
      </c>
      <c r="D98" s="78" t="str" cm="1">
        <f t="array" ref="D9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8" s="78" t="str" cm="1">
        <f t="array" ref="E9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8" s="77" t="str" cm="1">
        <f t="array" ref="F9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8" s="77" t="str" cm="1">
        <f t="array" ref="G9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8" s="79" t="str">
        <f>IF(COUNT(F98:G98)&lt;2,"",$N$16*UpgradeScores[[#This Row],[ROI Score]]+$O$16*UpgradeScores[[#This Row],[BE Score]])</f>
        <v/>
      </c>
      <c r="J98" s="79" t="str">
        <f t="shared" si="4"/>
        <v/>
      </c>
      <c r="K9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8" s="68" t="str">
        <f>IF(UpgradeScores[[#This Row],[Grade]]="", "",
   _xlfn.RANK.EQ(UpgradeScores[[#This Row],[Grade]], UpgradeScores[Grade], 1)
)</f>
        <v/>
      </c>
    </row>
    <row r="99" spans="1:12" x14ac:dyDescent="0.3">
      <c r="A99" s="16">
        <f t="shared" si="6"/>
        <v>25</v>
      </c>
      <c r="B99" s="68" t="str">
        <f>_xlfn.XLOOKUP(UpgradeScores[[#This Row],[Planet '#]],Hybridtable[Planet '#],Hybridtable[Name])</f>
        <v>Osun</v>
      </c>
      <c r="C99" s="68" t="s">
        <v>227</v>
      </c>
      <c r="D99" s="78" t="str" cm="1">
        <f t="array" ref="D9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99" s="78" t="str" cm="1">
        <f t="array" ref="E9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99" s="77" t="str" cm="1">
        <f t="array" ref="F9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99" s="77" t="str" cm="1">
        <f t="array" ref="G9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9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99" s="79" t="str">
        <f>IF(COUNT(F99:G99)&lt;2,"",$N$16*UpgradeScores[[#This Row],[ROI Score]]+$O$16*UpgradeScores[[#This Row],[BE Score]])</f>
        <v/>
      </c>
      <c r="J99" s="79" t="str">
        <f t="shared" si="4"/>
        <v/>
      </c>
      <c r="K9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99" s="68" t="str">
        <f>IF(UpgradeScores[[#This Row],[Grade]]="", "",
   _xlfn.RANK.EQ(UpgradeScores[[#This Row],[Grade]], UpgradeScores[Grade], 1)
)</f>
        <v/>
      </c>
    </row>
    <row r="100" spans="1:12" x14ac:dyDescent="0.3">
      <c r="A100" s="16">
        <f t="shared" si="6"/>
        <v>25</v>
      </c>
      <c r="B100" s="68" t="str">
        <f>_xlfn.XLOOKUP(UpgradeScores[[#This Row],[Planet '#]],Hybridtable[Planet '#],Hybridtable[Name])</f>
        <v>Osun</v>
      </c>
      <c r="C100" s="68" t="s">
        <v>159</v>
      </c>
      <c r="D100" s="78" t="str" cm="1">
        <f t="array" ref="D10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0" s="78" t="str" cm="1">
        <f t="array" ref="E10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0" s="77" t="str" cm="1">
        <f t="array" ref="F10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0" s="77" t="str" cm="1">
        <f t="array" ref="G10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0" s="79" t="str">
        <f>IF(COUNT(F100:G100)&lt;2,"",$N$16*UpgradeScores[[#This Row],[ROI Score]]+$O$16*UpgradeScores[[#This Row],[BE Score]])</f>
        <v/>
      </c>
      <c r="J100" s="79" t="str">
        <f t="shared" si="4"/>
        <v/>
      </c>
      <c r="K10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0" s="68" t="str">
        <f>IF(UpgradeScores[[#This Row],[Grade]]="", "",
   _xlfn.RANK.EQ(UpgradeScores[[#This Row],[Grade]], UpgradeScores[Grade], 1)
)</f>
        <v/>
      </c>
    </row>
    <row r="101" spans="1:12" x14ac:dyDescent="0.3">
      <c r="A101" s="16">
        <f t="shared" si="6"/>
        <v>25</v>
      </c>
      <c r="B101" s="68" t="str">
        <f>_xlfn.XLOOKUP(UpgradeScores[[#This Row],[Planet '#]],Hybridtable[Planet '#],Hybridtable[Name])</f>
        <v>Osun</v>
      </c>
      <c r="C101" s="68" t="s">
        <v>228</v>
      </c>
      <c r="D101" s="78" t="str" cm="1">
        <f t="array" ref="D10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1" s="78" t="str" cm="1">
        <f t="array" ref="E10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1" s="77" t="str" cm="1">
        <f t="array" ref="F10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1" s="77" t="str" cm="1">
        <f t="array" ref="G10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1" s="79" t="str">
        <f>IF(COUNT(F101:G101)&lt;2,"",$N$16*UpgradeScores[[#This Row],[ROI Score]]+$O$16*UpgradeScores[[#This Row],[BE Score]])</f>
        <v/>
      </c>
      <c r="J101" s="79" t="str">
        <f t="shared" si="4"/>
        <v/>
      </c>
      <c r="K10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1" s="68" t="str">
        <f>IF(UpgradeScores[[#This Row],[Grade]]="", "",
   _xlfn.RANK.EQ(UpgradeScores[[#This Row],[Grade]], UpgradeScores[Grade], 1)
)</f>
        <v/>
      </c>
    </row>
    <row r="102" spans="1:12" x14ac:dyDescent="0.3">
      <c r="A102" s="16">
        <f t="shared" si="6"/>
        <v>26</v>
      </c>
      <c r="B102" s="68" t="str">
        <f>_xlfn.XLOOKUP(UpgradeScores[[#This Row],[Planet '#]],Hybridtable[Planet '#],Hybridtable[Name])</f>
        <v>Ploitari</v>
      </c>
      <c r="C102" s="68" t="s">
        <v>226</v>
      </c>
      <c r="D102" s="78" t="str" cm="1">
        <f t="array" ref="D10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2" s="78" t="str" cm="1">
        <f t="array" ref="E10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2" s="77" t="str" cm="1">
        <f t="array" ref="F10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2" s="77" t="str" cm="1">
        <f t="array" ref="G10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2" s="79" t="str">
        <f>IF(COUNT(F102:G102)&lt;2,"",$N$16*UpgradeScores[[#This Row],[ROI Score]]+$O$16*UpgradeScores[[#This Row],[BE Score]])</f>
        <v/>
      </c>
      <c r="J102" s="79" t="str">
        <f t="shared" si="4"/>
        <v/>
      </c>
      <c r="K10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2" s="68" t="str">
        <f>IF(UpgradeScores[[#This Row],[Grade]]="", "",
   _xlfn.RANK.EQ(UpgradeScores[[#This Row],[Grade]], UpgradeScores[Grade], 1)
)</f>
        <v/>
      </c>
    </row>
    <row r="103" spans="1:12" x14ac:dyDescent="0.3">
      <c r="A103" s="16">
        <f t="shared" si="6"/>
        <v>26</v>
      </c>
      <c r="B103" s="68" t="str">
        <f>_xlfn.XLOOKUP(UpgradeScores[[#This Row],[Planet '#]],Hybridtable[Planet '#],Hybridtable[Name])</f>
        <v>Ploitari</v>
      </c>
      <c r="C103" s="68" t="s">
        <v>227</v>
      </c>
      <c r="D103" s="78" t="str" cm="1">
        <f t="array" ref="D10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3" s="78" t="str" cm="1">
        <f t="array" ref="E10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3" s="77" t="str" cm="1">
        <f t="array" ref="F10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3" s="77" t="str" cm="1">
        <f t="array" ref="G10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3" s="79" t="str">
        <f>IF(COUNT(F103:G103)&lt;2,"",$N$16*UpgradeScores[[#This Row],[ROI Score]]+$O$16*UpgradeScores[[#This Row],[BE Score]])</f>
        <v/>
      </c>
      <c r="J103" s="79" t="str">
        <f t="shared" si="4"/>
        <v/>
      </c>
      <c r="K10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3" s="68" t="str">
        <f>IF(UpgradeScores[[#This Row],[Grade]]="", "",
   _xlfn.RANK.EQ(UpgradeScores[[#This Row],[Grade]], UpgradeScores[Grade], 1)
)</f>
        <v/>
      </c>
    </row>
    <row r="104" spans="1:12" x14ac:dyDescent="0.3">
      <c r="A104" s="16">
        <f t="shared" si="6"/>
        <v>26</v>
      </c>
      <c r="B104" s="68" t="str">
        <f>_xlfn.XLOOKUP(UpgradeScores[[#This Row],[Planet '#]],Hybridtable[Planet '#],Hybridtable[Name])</f>
        <v>Ploitari</v>
      </c>
      <c r="C104" s="68" t="s">
        <v>159</v>
      </c>
      <c r="D104" s="78" t="str" cm="1">
        <f t="array" ref="D10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4" s="78" t="str" cm="1">
        <f t="array" ref="E10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4" s="77" t="str" cm="1">
        <f t="array" ref="F10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4" s="77" t="str" cm="1">
        <f t="array" ref="G10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4" s="79" t="str">
        <f>IF(COUNT(F104:G104)&lt;2,"",$N$16*UpgradeScores[[#This Row],[ROI Score]]+$O$16*UpgradeScores[[#This Row],[BE Score]])</f>
        <v/>
      </c>
      <c r="J104" s="79" t="str">
        <f t="shared" si="4"/>
        <v/>
      </c>
      <c r="K10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4" s="68" t="str">
        <f>IF(UpgradeScores[[#This Row],[Grade]]="", "",
   _xlfn.RANK.EQ(UpgradeScores[[#This Row],[Grade]], UpgradeScores[Grade], 1)
)</f>
        <v/>
      </c>
    </row>
    <row r="105" spans="1:12" x14ac:dyDescent="0.3">
      <c r="A105" s="16">
        <f t="shared" si="6"/>
        <v>26</v>
      </c>
      <c r="B105" s="68" t="str">
        <f>_xlfn.XLOOKUP(UpgradeScores[[#This Row],[Planet '#]],Hybridtable[Planet '#],Hybridtable[Name])</f>
        <v>Ploitari</v>
      </c>
      <c r="C105" s="68" t="s">
        <v>228</v>
      </c>
      <c r="D105" s="78" t="str" cm="1">
        <f t="array" ref="D10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5" s="78" t="str" cm="1">
        <f t="array" ref="E10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5" s="77" t="str" cm="1">
        <f t="array" ref="F10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5" s="77" t="str" cm="1">
        <f t="array" ref="G10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5" s="79" t="str">
        <f>IF(COUNT(F105:G105)&lt;2,"",$N$16*UpgradeScores[[#This Row],[ROI Score]]+$O$16*UpgradeScores[[#This Row],[BE Score]])</f>
        <v/>
      </c>
      <c r="J105" s="79" t="str">
        <f t="shared" si="4"/>
        <v/>
      </c>
      <c r="K10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5" s="68" t="str">
        <f>IF(UpgradeScores[[#This Row],[Grade]]="", "",
   _xlfn.RANK.EQ(UpgradeScores[[#This Row],[Grade]], UpgradeScores[Grade], 1)
)</f>
        <v/>
      </c>
    </row>
    <row r="106" spans="1:12" x14ac:dyDescent="0.3">
      <c r="A106" s="16">
        <f t="shared" si="6"/>
        <v>27</v>
      </c>
      <c r="B106" s="68" t="str">
        <f>_xlfn.XLOOKUP(UpgradeScores[[#This Row],[Planet '#]],Hybridtable[Planet '#],Hybridtable[Name])</f>
        <v>Elysta</v>
      </c>
      <c r="C106" s="68" t="s">
        <v>226</v>
      </c>
      <c r="D106" s="78" t="str" cm="1">
        <f t="array" ref="D10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6" s="78" t="str" cm="1">
        <f t="array" ref="E10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6" s="77" t="str" cm="1">
        <f t="array" ref="F10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6" s="77" t="str" cm="1">
        <f t="array" ref="G10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6" s="79" t="str">
        <f>IF(COUNT(F106:G106)&lt;2,"",$N$16*UpgradeScores[[#This Row],[ROI Score]]+$O$16*UpgradeScores[[#This Row],[BE Score]])</f>
        <v/>
      </c>
      <c r="J106" s="79" t="str">
        <f t="shared" si="4"/>
        <v/>
      </c>
      <c r="K10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6" s="68" t="str">
        <f>IF(UpgradeScores[[#This Row],[Grade]]="", "",
   _xlfn.RANK.EQ(UpgradeScores[[#This Row],[Grade]], UpgradeScores[Grade], 1)
)</f>
        <v/>
      </c>
    </row>
    <row r="107" spans="1:12" x14ac:dyDescent="0.3">
      <c r="A107" s="16">
        <f t="shared" si="6"/>
        <v>27</v>
      </c>
      <c r="B107" s="68" t="str">
        <f>_xlfn.XLOOKUP(UpgradeScores[[#This Row],[Planet '#]],Hybridtable[Planet '#],Hybridtable[Name])</f>
        <v>Elysta</v>
      </c>
      <c r="C107" s="68" t="s">
        <v>227</v>
      </c>
      <c r="D107" s="78" t="str" cm="1">
        <f t="array" ref="D10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7" s="78" t="str" cm="1">
        <f t="array" ref="E10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7" s="77" t="str" cm="1">
        <f t="array" ref="F10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7" s="77" t="str" cm="1">
        <f t="array" ref="G10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7" s="79" t="str">
        <f>IF(COUNT(F107:G107)&lt;2,"",$N$16*UpgradeScores[[#This Row],[ROI Score]]+$O$16*UpgradeScores[[#This Row],[BE Score]])</f>
        <v/>
      </c>
      <c r="J107" s="79" t="str">
        <f t="shared" si="4"/>
        <v/>
      </c>
      <c r="K10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7" s="68" t="str">
        <f>IF(UpgradeScores[[#This Row],[Grade]]="", "",
   _xlfn.RANK.EQ(UpgradeScores[[#This Row],[Grade]], UpgradeScores[Grade], 1)
)</f>
        <v/>
      </c>
    </row>
    <row r="108" spans="1:12" x14ac:dyDescent="0.3">
      <c r="A108" s="16">
        <f t="shared" si="6"/>
        <v>27</v>
      </c>
      <c r="B108" s="68" t="str">
        <f>_xlfn.XLOOKUP(UpgradeScores[[#This Row],[Planet '#]],Hybridtable[Planet '#],Hybridtable[Name])</f>
        <v>Elysta</v>
      </c>
      <c r="C108" s="68" t="s">
        <v>159</v>
      </c>
      <c r="D108" s="78" t="str" cm="1">
        <f t="array" ref="D10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8" s="78" t="str" cm="1">
        <f t="array" ref="E10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8" s="77" t="str" cm="1">
        <f t="array" ref="F10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8" s="77" t="str" cm="1">
        <f t="array" ref="G10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8" s="79" t="str">
        <f>IF(COUNT(F108:G108)&lt;2,"",$N$16*UpgradeScores[[#This Row],[ROI Score]]+$O$16*UpgradeScores[[#This Row],[BE Score]])</f>
        <v/>
      </c>
      <c r="J108" s="79" t="str">
        <f t="shared" si="4"/>
        <v/>
      </c>
      <c r="K10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8" s="68" t="str">
        <f>IF(UpgradeScores[[#This Row],[Grade]]="", "",
   _xlfn.RANK.EQ(UpgradeScores[[#This Row],[Grade]], UpgradeScores[Grade], 1)
)</f>
        <v/>
      </c>
    </row>
    <row r="109" spans="1:12" x14ac:dyDescent="0.3">
      <c r="A109" s="16">
        <f t="shared" si="6"/>
        <v>27</v>
      </c>
      <c r="B109" s="68" t="str">
        <f>_xlfn.XLOOKUP(UpgradeScores[[#This Row],[Planet '#]],Hybridtable[Planet '#],Hybridtable[Name])</f>
        <v>Elysta</v>
      </c>
      <c r="C109" s="68" t="s">
        <v>228</v>
      </c>
      <c r="D109" s="78" t="str" cm="1">
        <f t="array" ref="D10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09" s="78" t="str" cm="1">
        <f t="array" ref="E10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09" s="77" t="str" cm="1">
        <f t="array" ref="F10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09" s="77" t="str" cm="1">
        <f t="array" ref="G10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0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09" s="79" t="str">
        <f>IF(COUNT(F109:G109)&lt;2,"",$N$16*UpgradeScores[[#This Row],[ROI Score]]+$O$16*UpgradeScores[[#This Row],[BE Score]])</f>
        <v/>
      </c>
      <c r="J109" s="79" t="str">
        <f t="shared" si="4"/>
        <v/>
      </c>
      <c r="K10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09" s="68" t="str">
        <f>IF(UpgradeScores[[#This Row],[Grade]]="", "",
   _xlfn.RANK.EQ(UpgradeScores[[#This Row],[Grade]], UpgradeScores[Grade], 1)
)</f>
        <v/>
      </c>
    </row>
    <row r="110" spans="1:12" x14ac:dyDescent="0.3">
      <c r="A110" s="16">
        <f t="shared" si="6"/>
        <v>28</v>
      </c>
      <c r="B110" s="68" t="str">
        <f>_xlfn.XLOOKUP(UpgradeScores[[#This Row],[Planet '#]],Hybridtable[Planet '#],Hybridtable[Name])</f>
        <v>Tikkun</v>
      </c>
      <c r="C110" s="68" t="s">
        <v>226</v>
      </c>
      <c r="D110" s="78" t="str" cm="1">
        <f t="array" ref="D11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0" s="78" t="str" cm="1">
        <f t="array" ref="E11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0" s="77" t="str" cm="1">
        <f t="array" ref="F11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0" s="77" t="str" cm="1">
        <f t="array" ref="G11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0" s="79" t="str">
        <f>IF(COUNT(F110:G110)&lt;2,"",$N$16*UpgradeScores[[#This Row],[ROI Score]]+$O$16*UpgradeScores[[#This Row],[BE Score]])</f>
        <v/>
      </c>
      <c r="J110" s="79" t="str">
        <f t="shared" si="4"/>
        <v/>
      </c>
      <c r="K11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0" s="68" t="str">
        <f>IF(UpgradeScores[[#This Row],[Grade]]="", "",
   _xlfn.RANK.EQ(UpgradeScores[[#This Row],[Grade]], UpgradeScores[Grade], 1)
)</f>
        <v/>
      </c>
    </row>
    <row r="111" spans="1:12" x14ac:dyDescent="0.3">
      <c r="A111" s="16">
        <f t="shared" si="6"/>
        <v>28</v>
      </c>
      <c r="B111" s="68" t="str">
        <f>_xlfn.XLOOKUP(UpgradeScores[[#This Row],[Planet '#]],Hybridtable[Planet '#],Hybridtable[Name])</f>
        <v>Tikkun</v>
      </c>
      <c r="C111" s="68" t="s">
        <v>227</v>
      </c>
      <c r="D111" s="78" t="str" cm="1">
        <f t="array" ref="D11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1" s="78" t="str" cm="1">
        <f t="array" ref="E11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1" s="77" t="str" cm="1">
        <f t="array" ref="F11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1" s="77" t="str" cm="1">
        <f t="array" ref="G11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1" s="79" t="str">
        <f>IF(COUNT(F111:G111)&lt;2,"",$N$16*UpgradeScores[[#This Row],[ROI Score]]+$O$16*UpgradeScores[[#This Row],[BE Score]])</f>
        <v/>
      </c>
      <c r="J111" s="79" t="str">
        <f t="shared" si="4"/>
        <v/>
      </c>
      <c r="K11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1" s="68" t="str">
        <f>IF(UpgradeScores[[#This Row],[Grade]]="", "",
   _xlfn.RANK.EQ(UpgradeScores[[#This Row],[Grade]], UpgradeScores[Grade], 1)
)</f>
        <v/>
      </c>
    </row>
    <row r="112" spans="1:12" x14ac:dyDescent="0.3">
      <c r="A112" s="16">
        <f t="shared" si="6"/>
        <v>28</v>
      </c>
      <c r="B112" s="68" t="str">
        <f>_xlfn.XLOOKUP(UpgradeScores[[#This Row],[Planet '#]],Hybridtable[Planet '#],Hybridtable[Name])</f>
        <v>Tikkun</v>
      </c>
      <c r="C112" s="68" t="s">
        <v>159</v>
      </c>
      <c r="D112" s="78" t="str" cm="1">
        <f t="array" ref="D11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2" s="78" t="str" cm="1">
        <f t="array" ref="E11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2" s="77" t="str" cm="1">
        <f t="array" ref="F11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2" s="77" t="str" cm="1">
        <f t="array" ref="G11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2" s="79" t="str">
        <f>IF(COUNT(F112:G112)&lt;2,"",$N$16*UpgradeScores[[#This Row],[ROI Score]]+$O$16*UpgradeScores[[#This Row],[BE Score]])</f>
        <v/>
      </c>
      <c r="J112" s="79" t="str">
        <f t="shared" si="4"/>
        <v/>
      </c>
      <c r="K11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2" s="68" t="str">
        <f>IF(UpgradeScores[[#This Row],[Grade]]="", "",
   _xlfn.RANK.EQ(UpgradeScores[[#This Row],[Grade]], UpgradeScores[Grade], 1)
)</f>
        <v/>
      </c>
    </row>
    <row r="113" spans="1:12" x14ac:dyDescent="0.3">
      <c r="A113" s="16">
        <f t="shared" si="6"/>
        <v>28</v>
      </c>
      <c r="B113" s="68" t="str">
        <f>_xlfn.XLOOKUP(UpgradeScores[[#This Row],[Planet '#]],Hybridtable[Planet '#],Hybridtable[Name])</f>
        <v>Tikkun</v>
      </c>
      <c r="C113" s="68" t="s">
        <v>228</v>
      </c>
      <c r="D113" s="78" t="str" cm="1">
        <f t="array" ref="D11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3" s="78" t="str" cm="1">
        <f t="array" ref="E11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3" s="77" t="str" cm="1">
        <f t="array" ref="F11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3" s="77" t="str" cm="1">
        <f t="array" ref="G11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3" s="79" t="str">
        <f>IF(COUNT(F113:G113)&lt;2,"",$N$16*UpgradeScores[[#This Row],[ROI Score]]+$O$16*UpgradeScores[[#This Row],[BE Score]])</f>
        <v/>
      </c>
      <c r="J113" s="79" t="str">
        <f t="shared" si="4"/>
        <v/>
      </c>
      <c r="K11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3" s="68" t="str">
        <f>IF(UpgradeScores[[#This Row],[Grade]]="", "",
   _xlfn.RANK.EQ(UpgradeScores[[#This Row],[Grade]], UpgradeScores[Grade], 1)
)</f>
        <v/>
      </c>
    </row>
    <row r="114" spans="1:12" x14ac:dyDescent="0.3">
      <c r="A114" s="16">
        <f t="shared" si="6"/>
        <v>29</v>
      </c>
      <c r="B114" s="68" t="str">
        <f>_xlfn.XLOOKUP(UpgradeScores[[#This Row],[Planet '#]],Hybridtable[Planet '#],Hybridtable[Name])</f>
        <v>Satent</v>
      </c>
      <c r="C114" s="68" t="s">
        <v>226</v>
      </c>
      <c r="D114" s="78" t="str" cm="1">
        <f t="array" ref="D11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4" s="78" t="str" cm="1">
        <f t="array" ref="E11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4" s="77" t="str" cm="1">
        <f t="array" ref="F11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4" s="77" t="str" cm="1">
        <f t="array" ref="G11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4" s="79" t="str">
        <f>IF(COUNT(F114:G114)&lt;2,"",$N$16*UpgradeScores[[#This Row],[ROI Score]]+$O$16*UpgradeScores[[#This Row],[BE Score]])</f>
        <v/>
      </c>
      <c r="J114" s="79" t="str">
        <f t="shared" si="4"/>
        <v/>
      </c>
      <c r="K11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4" s="68" t="str">
        <f>IF(UpgradeScores[[#This Row],[Grade]]="", "",
   _xlfn.RANK.EQ(UpgradeScores[[#This Row],[Grade]], UpgradeScores[Grade], 1)
)</f>
        <v/>
      </c>
    </row>
    <row r="115" spans="1:12" x14ac:dyDescent="0.3">
      <c r="A115" s="16">
        <f t="shared" si="6"/>
        <v>29</v>
      </c>
      <c r="B115" s="68" t="str">
        <f>_xlfn.XLOOKUP(UpgradeScores[[#This Row],[Planet '#]],Hybridtable[Planet '#],Hybridtable[Name])</f>
        <v>Satent</v>
      </c>
      <c r="C115" s="68" t="s">
        <v>227</v>
      </c>
      <c r="D115" s="78" t="str" cm="1">
        <f t="array" ref="D11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5" s="78" t="str" cm="1">
        <f t="array" ref="E11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5" s="77" t="str" cm="1">
        <f t="array" ref="F11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5" s="77" t="str" cm="1">
        <f t="array" ref="G11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5" s="79" t="str">
        <f>IF(COUNT(F115:G115)&lt;2,"",$N$16*UpgradeScores[[#This Row],[ROI Score]]+$O$16*UpgradeScores[[#This Row],[BE Score]])</f>
        <v/>
      </c>
      <c r="J115" s="79" t="str">
        <f t="shared" si="4"/>
        <v/>
      </c>
      <c r="K11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5" s="68" t="str">
        <f>IF(UpgradeScores[[#This Row],[Grade]]="", "",
   _xlfn.RANK.EQ(UpgradeScores[[#This Row],[Grade]], UpgradeScores[Grade], 1)
)</f>
        <v/>
      </c>
    </row>
    <row r="116" spans="1:12" x14ac:dyDescent="0.3">
      <c r="A116" s="16">
        <f t="shared" ref="A116:A147" si="7">INT((ROW()-ROW($A$2))/4)+1</f>
        <v>29</v>
      </c>
      <c r="B116" s="68" t="str">
        <f>_xlfn.XLOOKUP(UpgradeScores[[#This Row],[Planet '#]],Hybridtable[Planet '#],Hybridtable[Name])</f>
        <v>Satent</v>
      </c>
      <c r="C116" s="68" t="s">
        <v>159</v>
      </c>
      <c r="D116" s="78" t="str" cm="1">
        <f t="array" ref="D11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6" s="78" t="str" cm="1">
        <f t="array" ref="E11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6" s="77" t="str" cm="1">
        <f t="array" ref="F11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6" s="77" t="str" cm="1">
        <f t="array" ref="G11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6" s="79" t="str">
        <f>IF(COUNT(F116:G116)&lt;2,"",$N$16*UpgradeScores[[#This Row],[ROI Score]]+$O$16*UpgradeScores[[#This Row],[BE Score]])</f>
        <v/>
      </c>
      <c r="J116" s="79" t="str">
        <f t="shared" si="4"/>
        <v/>
      </c>
      <c r="K11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6" s="68" t="str">
        <f>IF(UpgradeScores[[#This Row],[Grade]]="", "",
   _xlfn.RANK.EQ(UpgradeScores[[#This Row],[Grade]], UpgradeScores[Grade], 1)
)</f>
        <v/>
      </c>
    </row>
    <row r="117" spans="1:12" x14ac:dyDescent="0.3">
      <c r="A117" s="16">
        <f t="shared" si="7"/>
        <v>29</v>
      </c>
      <c r="B117" s="68" t="str">
        <f>_xlfn.XLOOKUP(UpgradeScores[[#This Row],[Planet '#]],Hybridtable[Planet '#],Hybridtable[Name])</f>
        <v>Satent</v>
      </c>
      <c r="C117" s="68" t="s">
        <v>228</v>
      </c>
      <c r="D117" s="78" t="str" cm="1">
        <f t="array" ref="D11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7" s="78" t="str" cm="1">
        <f t="array" ref="E11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7" s="77" t="str" cm="1">
        <f t="array" ref="F11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7" s="77" t="str" cm="1">
        <f t="array" ref="G11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7" s="79" t="str">
        <f>IF(COUNT(F117:G117)&lt;2,"",$N$16*UpgradeScores[[#This Row],[ROI Score]]+$O$16*UpgradeScores[[#This Row],[BE Score]])</f>
        <v/>
      </c>
      <c r="J117" s="79" t="str">
        <f t="shared" si="4"/>
        <v/>
      </c>
      <c r="K11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7" s="68" t="str">
        <f>IF(UpgradeScores[[#This Row],[Grade]]="", "",
   _xlfn.RANK.EQ(UpgradeScores[[#This Row],[Grade]], UpgradeScores[Grade], 1)
)</f>
        <v/>
      </c>
    </row>
    <row r="118" spans="1:12" x14ac:dyDescent="0.3">
      <c r="A118" s="16">
        <f t="shared" si="7"/>
        <v>30</v>
      </c>
      <c r="B118" s="68" t="str">
        <f>_xlfn.XLOOKUP(UpgradeScores[[#This Row],[Planet '#]],Hybridtable[Planet '#],Hybridtable[Name])</f>
        <v>Urla Rast</v>
      </c>
      <c r="C118" s="68" t="s">
        <v>226</v>
      </c>
      <c r="D118" s="78" t="str" cm="1">
        <f t="array" ref="D11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8" s="78" t="str" cm="1">
        <f t="array" ref="E11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8" s="77" t="str" cm="1">
        <f t="array" ref="F11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8" s="77" t="str" cm="1">
        <f t="array" ref="G11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8" s="79" t="str">
        <f>IF(COUNT(F118:G118)&lt;2,"",$N$16*UpgradeScores[[#This Row],[ROI Score]]+$O$16*UpgradeScores[[#This Row],[BE Score]])</f>
        <v/>
      </c>
      <c r="J118" s="79" t="str">
        <f t="shared" si="4"/>
        <v/>
      </c>
      <c r="K11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8" s="68" t="str">
        <f>IF(UpgradeScores[[#This Row],[Grade]]="", "",
   _xlfn.RANK.EQ(UpgradeScores[[#This Row],[Grade]], UpgradeScores[Grade], 1)
)</f>
        <v/>
      </c>
    </row>
    <row r="119" spans="1:12" x14ac:dyDescent="0.3">
      <c r="A119" s="16">
        <f t="shared" si="7"/>
        <v>30</v>
      </c>
      <c r="B119" s="68" t="str">
        <f>_xlfn.XLOOKUP(UpgradeScores[[#This Row],[Planet '#]],Hybridtable[Planet '#],Hybridtable[Name])</f>
        <v>Urla Rast</v>
      </c>
      <c r="C119" s="68" t="s">
        <v>227</v>
      </c>
      <c r="D119" s="78" t="str" cm="1">
        <f t="array" ref="D11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19" s="78" t="str" cm="1">
        <f t="array" ref="E11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19" s="77" t="str" cm="1">
        <f t="array" ref="F11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19" s="77" t="str" cm="1">
        <f t="array" ref="G11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1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19" s="79" t="str">
        <f>IF(COUNT(F119:G119)&lt;2,"",$N$16*UpgradeScores[[#This Row],[ROI Score]]+$O$16*UpgradeScores[[#This Row],[BE Score]])</f>
        <v/>
      </c>
      <c r="J119" s="79" t="str">
        <f t="shared" si="4"/>
        <v/>
      </c>
      <c r="K11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19" s="68" t="str">
        <f>IF(UpgradeScores[[#This Row],[Grade]]="", "",
   _xlfn.RANK.EQ(UpgradeScores[[#This Row],[Grade]], UpgradeScores[Grade], 1)
)</f>
        <v/>
      </c>
    </row>
    <row r="120" spans="1:12" x14ac:dyDescent="0.3">
      <c r="A120" s="16">
        <f t="shared" si="7"/>
        <v>30</v>
      </c>
      <c r="B120" s="68" t="str">
        <f>_xlfn.XLOOKUP(UpgradeScores[[#This Row],[Planet '#]],Hybridtable[Planet '#],Hybridtable[Name])</f>
        <v>Urla Rast</v>
      </c>
      <c r="C120" s="68" t="s">
        <v>159</v>
      </c>
      <c r="D120" s="78" t="str" cm="1">
        <f t="array" ref="D12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0" s="78" t="str" cm="1">
        <f t="array" ref="E12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0" s="77" t="str" cm="1">
        <f t="array" ref="F12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0" s="77" t="str" cm="1">
        <f t="array" ref="G12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0" s="79" t="str">
        <f>IF(COUNT(F120:G120)&lt;2,"",$N$16*UpgradeScores[[#This Row],[ROI Score]]+$O$16*UpgradeScores[[#This Row],[BE Score]])</f>
        <v/>
      </c>
      <c r="J120" s="79" t="str">
        <f t="shared" si="4"/>
        <v/>
      </c>
      <c r="K12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0" s="68" t="str">
        <f>IF(UpgradeScores[[#This Row],[Grade]]="", "",
   _xlfn.RANK.EQ(UpgradeScores[[#This Row],[Grade]], UpgradeScores[Grade], 1)
)</f>
        <v/>
      </c>
    </row>
    <row r="121" spans="1:12" x14ac:dyDescent="0.3">
      <c r="A121" s="16">
        <f t="shared" si="7"/>
        <v>30</v>
      </c>
      <c r="B121" s="68" t="str">
        <f>_xlfn.XLOOKUP(UpgradeScores[[#This Row],[Planet '#]],Hybridtable[Planet '#],Hybridtable[Name])</f>
        <v>Urla Rast</v>
      </c>
      <c r="C121" s="68" t="s">
        <v>228</v>
      </c>
      <c r="D121" s="78" t="str" cm="1">
        <f t="array" ref="D12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1" s="78" t="str" cm="1">
        <f t="array" ref="E12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1" s="77" t="str" cm="1">
        <f t="array" ref="F12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1" s="77" t="str" cm="1">
        <f t="array" ref="G12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1" s="79" t="str">
        <f>IF(COUNT(F121:G121)&lt;2,"",$N$16*UpgradeScores[[#This Row],[ROI Score]]+$O$16*UpgradeScores[[#This Row],[BE Score]])</f>
        <v/>
      </c>
      <c r="J121" s="79" t="str">
        <f t="shared" si="4"/>
        <v/>
      </c>
      <c r="K12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1" s="68" t="str">
        <f>IF(UpgradeScores[[#This Row],[Grade]]="", "",
   _xlfn.RANK.EQ(UpgradeScores[[#This Row],[Grade]], UpgradeScores[Grade], 1)
)</f>
        <v/>
      </c>
    </row>
    <row r="122" spans="1:12" x14ac:dyDescent="0.3">
      <c r="A122" s="16">
        <f t="shared" si="7"/>
        <v>31</v>
      </c>
      <c r="B122" s="68" t="str">
        <f>_xlfn.XLOOKUP(UpgradeScores[[#This Row],[Planet '#]],Hybridtable[Planet '#],Hybridtable[Name])</f>
        <v>Vular</v>
      </c>
      <c r="C122" s="68" t="s">
        <v>226</v>
      </c>
      <c r="D122" s="78" t="str" cm="1">
        <f t="array" ref="D12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2" s="78" t="str" cm="1">
        <f t="array" ref="E12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2" s="77" t="str" cm="1">
        <f t="array" ref="F12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2" s="77" t="str" cm="1">
        <f t="array" ref="G12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2" s="79" t="str">
        <f>IF(COUNT(F122:G122)&lt;2,"",$N$16*UpgradeScores[[#This Row],[ROI Score]]+$O$16*UpgradeScores[[#This Row],[BE Score]])</f>
        <v/>
      </c>
      <c r="J122" s="79" t="str">
        <f t="shared" si="4"/>
        <v/>
      </c>
      <c r="K12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2" s="68" t="str">
        <f>IF(UpgradeScores[[#This Row],[Grade]]="", "",
   _xlfn.RANK.EQ(UpgradeScores[[#This Row],[Grade]], UpgradeScores[Grade], 1)
)</f>
        <v/>
      </c>
    </row>
    <row r="123" spans="1:12" x14ac:dyDescent="0.3">
      <c r="A123" s="16">
        <f t="shared" si="7"/>
        <v>31</v>
      </c>
      <c r="B123" s="68" t="str">
        <f>_xlfn.XLOOKUP(UpgradeScores[[#This Row],[Planet '#]],Hybridtable[Planet '#],Hybridtable[Name])</f>
        <v>Vular</v>
      </c>
      <c r="C123" s="68" t="s">
        <v>227</v>
      </c>
      <c r="D123" s="78" t="str" cm="1">
        <f t="array" ref="D12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3" s="78" t="str" cm="1">
        <f t="array" ref="E12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3" s="77" t="str" cm="1">
        <f t="array" ref="F12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3" s="77" t="str" cm="1">
        <f t="array" ref="G12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3" s="79" t="str">
        <f>IF(COUNT(F123:G123)&lt;2,"",$N$16*UpgradeScores[[#This Row],[ROI Score]]+$O$16*UpgradeScores[[#This Row],[BE Score]])</f>
        <v/>
      </c>
      <c r="J123" s="79" t="str">
        <f t="shared" si="4"/>
        <v/>
      </c>
      <c r="K12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3" s="68" t="str">
        <f>IF(UpgradeScores[[#This Row],[Grade]]="", "",
   _xlfn.RANK.EQ(UpgradeScores[[#This Row],[Grade]], UpgradeScores[Grade], 1)
)</f>
        <v/>
      </c>
    </row>
    <row r="124" spans="1:12" x14ac:dyDescent="0.3">
      <c r="A124" s="16">
        <f t="shared" si="7"/>
        <v>31</v>
      </c>
      <c r="B124" s="68" t="str">
        <f>_xlfn.XLOOKUP(UpgradeScores[[#This Row],[Planet '#]],Hybridtable[Planet '#],Hybridtable[Name])</f>
        <v>Vular</v>
      </c>
      <c r="C124" s="68" t="s">
        <v>159</v>
      </c>
      <c r="D124" s="78" t="str" cm="1">
        <f t="array" ref="D12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4" s="78" t="str" cm="1">
        <f t="array" ref="E12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4" s="77" t="str" cm="1">
        <f t="array" ref="F12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4" s="77" t="str" cm="1">
        <f t="array" ref="G12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4" s="79" t="str">
        <f>IF(COUNT(F124:G124)&lt;2,"",$N$16*UpgradeScores[[#This Row],[ROI Score]]+$O$16*UpgradeScores[[#This Row],[BE Score]])</f>
        <v/>
      </c>
      <c r="J124" s="79" t="str">
        <f t="shared" si="4"/>
        <v/>
      </c>
      <c r="K12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4" s="68" t="str">
        <f>IF(UpgradeScores[[#This Row],[Grade]]="", "",
   _xlfn.RANK.EQ(UpgradeScores[[#This Row],[Grade]], UpgradeScores[Grade], 1)
)</f>
        <v/>
      </c>
    </row>
    <row r="125" spans="1:12" x14ac:dyDescent="0.3">
      <c r="A125" s="16">
        <f t="shared" si="7"/>
        <v>31</v>
      </c>
      <c r="B125" s="68" t="str">
        <f>_xlfn.XLOOKUP(UpgradeScores[[#This Row],[Planet '#]],Hybridtable[Planet '#],Hybridtable[Name])</f>
        <v>Vular</v>
      </c>
      <c r="C125" s="68" t="s">
        <v>228</v>
      </c>
      <c r="D125" s="78" t="str" cm="1">
        <f t="array" ref="D12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5" s="78" t="str" cm="1">
        <f t="array" ref="E12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5" s="77" t="str" cm="1">
        <f t="array" ref="F12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5" s="77" t="str" cm="1">
        <f t="array" ref="G12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5" s="79" t="str">
        <f>IF(COUNT(F125:G125)&lt;2,"",$N$16*UpgradeScores[[#This Row],[ROI Score]]+$O$16*UpgradeScores[[#This Row],[BE Score]])</f>
        <v/>
      </c>
      <c r="J125" s="79" t="str">
        <f t="shared" si="4"/>
        <v/>
      </c>
      <c r="K12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5" s="68" t="str">
        <f>IF(UpgradeScores[[#This Row],[Grade]]="", "",
   _xlfn.RANK.EQ(UpgradeScores[[#This Row],[Grade]], UpgradeScores[Grade], 1)
)</f>
        <v/>
      </c>
    </row>
    <row r="126" spans="1:12" x14ac:dyDescent="0.3">
      <c r="A126" s="16">
        <f t="shared" si="7"/>
        <v>32</v>
      </c>
      <c r="B126" s="68" t="str">
        <f>_xlfn.XLOOKUP(UpgradeScores[[#This Row],[Planet '#]],Hybridtable[Planet '#],Hybridtable[Name])</f>
        <v>Nibiru</v>
      </c>
      <c r="C126" s="68" t="s">
        <v>226</v>
      </c>
      <c r="D126" s="78" t="str" cm="1">
        <f t="array" ref="D12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6" s="78" t="str" cm="1">
        <f t="array" ref="E12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6" s="77" t="str" cm="1">
        <f t="array" ref="F12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6" s="77" t="str" cm="1">
        <f t="array" ref="G12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6" s="79" t="str">
        <f>IF(COUNT(F126:G126)&lt;2,"",$N$16*UpgradeScores[[#This Row],[ROI Score]]+$O$16*UpgradeScores[[#This Row],[BE Score]])</f>
        <v/>
      </c>
      <c r="J126" s="79" t="str">
        <f t="shared" si="4"/>
        <v/>
      </c>
      <c r="K12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6" s="68" t="str">
        <f>IF(UpgradeScores[[#This Row],[Grade]]="", "",
   _xlfn.RANK.EQ(UpgradeScores[[#This Row],[Grade]], UpgradeScores[Grade], 1)
)</f>
        <v/>
      </c>
    </row>
    <row r="127" spans="1:12" x14ac:dyDescent="0.3">
      <c r="A127" s="16">
        <f t="shared" si="7"/>
        <v>32</v>
      </c>
      <c r="B127" s="68" t="str">
        <f>_xlfn.XLOOKUP(UpgradeScores[[#This Row],[Planet '#]],Hybridtable[Planet '#],Hybridtable[Name])</f>
        <v>Nibiru</v>
      </c>
      <c r="C127" s="68" t="s">
        <v>227</v>
      </c>
      <c r="D127" s="78" t="str" cm="1">
        <f t="array" ref="D12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7" s="78" t="str" cm="1">
        <f t="array" ref="E12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7" s="77" t="str" cm="1">
        <f t="array" ref="F12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7" s="77" t="str" cm="1">
        <f t="array" ref="G12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7" s="79" t="str">
        <f>IF(COUNT(F127:G127)&lt;2,"",$N$16*UpgradeScores[[#This Row],[ROI Score]]+$O$16*UpgradeScores[[#This Row],[BE Score]])</f>
        <v/>
      </c>
      <c r="J127" s="79" t="str">
        <f t="shared" si="4"/>
        <v/>
      </c>
      <c r="K12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7" s="68" t="str">
        <f>IF(UpgradeScores[[#This Row],[Grade]]="", "",
   _xlfn.RANK.EQ(UpgradeScores[[#This Row],[Grade]], UpgradeScores[Grade], 1)
)</f>
        <v/>
      </c>
    </row>
    <row r="128" spans="1:12" x14ac:dyDescent="0.3">
      <c r="A128" s="16">
        <f t="shared" si="7"/>
        <v>32</v>
      </c>
      <c r="B128" s="68" t="str">
        <f>_xlfn.XLOOKUP(UpgradeScores[[#This Row],[Planet '#]],Hybridtable[Planet '#],Hybridtable[Name])</f>
        <v>Nibiru</v>
      </c>
      <c r="C128" s="68" t="s">
        <v>159</v>
      </c>
      <c r="D128" s="78" t="str" cm="1">
        <f t="array" ref="D12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8" s="78" t="str" cm="1">
        <f t="array" ref="E12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8" s="77" t="str" cm="1">
        <f t="array" ref="F12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8" s="77" t="str" cm="1">
        <f t="array" ref="G12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8" s="79" t="str">
        <f>IF(COUNT(F128:G128)&lt;2,"",$N$16*UpgradeScores[[#This Row],[ROI Score]]+$O$16*UpgradeScores[[#This Row],[BE Score]])</f>
        <v/>
      </c>
      <c r="J128" s="79" t="str">
        <f t="shared" si="4"/>
        <v/>
      </c>
      <c r="K12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8" s="68" t="str">
        <f>IF(UpgradeScores[[#This Row],[Grade]]="", "",
   _xlfn.RANK.EQ(UpgradeScores[[#This Row],[Grade]], UpgradeScores[Grade], 1)
)</f>
        <v/>
      </c>
    </row>
    <row r="129" spans="1:12" x14ac:dyDescent="0.3">
      <c r="A129" s="16">
        <f t="shared" si="7"/>
        <v>32</v>
      </c>
      <c r="B129" s="68" t="str">
        <f>_xlfn.XLOOKUP(UpgradeScores[[#This Row],[Planet '#]],Hybridtable[Planet '#],Hybridtable[Name])</f>
        <v>Nibiru</v>
      </c>
      <c r="C129" s="68" t="s">
        <v>228</v>
      </c>
      <c r="D129" s="78" t="str" cm="1">
        <f t="array" ref="D12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29" s="78" t="str" cm="1">
        <f t="array" ref="E12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29" s="77" t="str" cm="1">
        <f t="array" ref="F12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29" s="77" t="str" cm="1">
        <f t="array" ref="G12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2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29" s="79" t="str">
        <f>IF(COUNT(F129:G129)&lt;2,"",$N$16*UpgradeScores[[#This Row],[ROI Score]]+$O$16*UpgradeScores[[#This Row],[BE Score]])</f>
        <v/>
      </c>
      <c r="J129" s="79" t="str">
        <f t="shared" si="4"/>
        <v/>
      </c>
      <c r="K12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29" s="68" t="str">
        <f>IF(UpgradeScores[[#This Row],[Grade]]="", "",
   _xlfn.RANK.EQ(UpgradeScores[[#This Row],[Grade]], UpgradeScores[Grade], 1)
)</f>
        <v/>
      </c>
    </row>
    <row r="130" spans="1:12" x14ac:dyDescent="0.3">
      <c r="A130" s="16">
        <f t="shared" si="7"/>
        <v>33</v>
      </c>
      <c r="B130" s="68" t="str">
        <f>_xlfn.XLOOKUP(UpgradeScores[[#This Row],[Planet '#]],Hybridtable[Planet '#],Hybridtable[Name])</f>
        <v>Xena</v>
      </c>
      <c r="C130" s="68" t="s">
        <v>226</v>
      </c>
      <c r="D130" s="78" t="str" cm="1">
        <f t="array" ref="D13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0" s="78" t="str" cm="1">
        <f t="array" ref="E13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0" s="77" t="str" cm="1">
        <f t="array" ref="F13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0" s="77" t="str" cm="1">
        <f t="array" ref="G13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0" s="79" t="str">
        <f>IF(COUNT(F130:G130)&lt;2,"",$N$16*UpgradeScores[[#This Row],[ROI Score]]+$O$16*UpgradeScores[[#This Row],[BE Score]])</f>
        <v/>
      </c>
      <c r="J130" s="79" t="str">
        <f t="shared" ref="J130:J193" si="8">IF(COUNT(F130:G130)&lt;2,"",SQRT(F130*G130))</f>
        <v/>
      </c>
      <c r="K13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0" s="68" t="str">
        <f>IF(UpgradeScores[[#This Row],[Grade]]="", "",
   _xlfn.RANK.EQ(UpgradeScores[[#This Row],[Grade]], UpgradeScores[Grade], 1)
)</f>
        <v/>
      </c>
    </row>
    <row r="131" spans="1:12" x14ac:dyDescent="0.3">
      <c r="A131" s="16">
        <f t="shared" si="7"/>
        <v>33</v>
      </c>
      <c r="B131" s="68" t="str">
        <f>_xlfn.XLOOKUP(UpgradeScores[[#This Row],[Planet '#]],Hybridtable[Planet '#],Hybridtable[Name])</f>
        <v>Xena</v>
      </c>
      <c r="C131" s="68" t="s">
        <v>227</v>
      </c>
      <c r="D131" s="78" t="str" cm="1">
        <f t="array" ref="D13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1" s="78" t="str" cm="1">
        <f t="array" ref="E13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1" s="77" t="str" cm="1">
        <f t="array" ref="F13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1" s="77" t="str" cm="1">
        <f t="array" ref="G13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1" s="79" t="str">
        <f>IF(COUNT(F131:G131)&lt;2,"",$N$16*UpgradeScores[[#This Row],[ROI Score]]+$O$16*UpgradeScores[[#This Row],[BE Score]])</f>
        <v/>
      </c>
      <c r="J131" s="79" t="str">
        <f t="shared" si="8"/>
        <v/>
      </c>
      <c r="K13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1" s="68" t="str">
        <f>IF(UpgradeScores[[#This Row],[Grade]]="", "",
   _xlfn.RANK.EQ(UpgradeScores[[#This Row],[Grade]], UpgradeScores[Grade], 1)
)</f>
        <v/>
      </c>
    </row>
    <row r="132" spans="1:12" x14ac:dyDescent="0.3">
      <c r="A132" s="16">
        <f t="shared" si="7"/>
        <v>33</v>
      </c>
      <c r="B132" s="68" t="str">
        <f>_xlfn.XLOOKUP(UpgradeScores[[#This Row],[Planet '#]],Hybridtable[Planet '#],Hybridtable[Name])</f>
        <v>Xena</v>
      </c>
      <c r="C132" s="68" t="s">
        <v>159</v>
      </c>
      <c r="D132" s="78" t="str" cm="1">
        <f t="array" ref="D13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2" s="78" t="str" cm="1">
        <f t="array" ref="E13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2" s="77" t="str" cm="1">
        <f t="array" ref="F13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2" s="77" t="str" cm="1">
        <f t="array" ref="G13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2" s="79" t="str">
        <f>IF(COUNT(F132:G132)&lt;2,"",$N$16*UpgradeScores[[#This Row],[ROI Score]]+$O$16*UpgradeScores[[#This Row],[BE Score]])</f>
        <v/>
      </c>
      <c r="J132" s="79" t="str">
        <f t="shared" si="8"/>
        <v/>
      </c>
      <c r="K13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2" s="68" t="str">
        <f>IF(UpgradeScores[[#This Row],[Grade]]="", "",
   _xlfn.RANK.EQ(UpgradeScores[[#This Row],[Grade]], UpgradeScores[Grade], 1)
)</f>
        <v/>
      </c>
    </row>
    <row r="133" spans="1:12" x14ac:dyDescent="0.3">
      <c r="A133" s="16">
        <f t="shared" si="7"/>
        <v>33</v>
      </c>
      <c r="B133" s="68" t="str">
        <f>_xlfn.XLOOKUP(UpgradeScores[[#This Row],[Planet '#]],Hybridtable[Planet '#],Hybridtable[Name])</f>
        <v>Xena</v>
      </c>
      <c r="C133" s="68" t="s">
        <v>228</v>
      </c>
      <c r="D133" s="78" t="str" cm="1">
        <f t="array" ref="D13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3" s="78" t="str" cm="1">
        <f t="array" ref="E13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3" s="77" t="str" cm="1">
        <f t="array" ref="F13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3" s="77" t="str" cm="1">
        <f t="array" ref="G13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3" s="79" t="str">
        <f>IF(COUNT(F133:G133)&lt;2,"",$N$16*UpgradeScores[[#This Row],[ROI Score]]+$O$16*UpgradeScores[[#This Row],[BE Score]])</f>
        <v/>
      </c>
      <c r="J133" s="79" t="str">
        <f t="shared" si="8"/>
        <v/>
      </c>
      <c r="K13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3" s="68" t="str">
        <f>IF(UpgradeScores[[#This Row],[Grade]]="", "",
   _xlfn.RANK.EQ(UpgradeScores[[#This Row],[Grade]], UpgradeScores[Grade], 1)
)</f>
        <v/>
      </c>
    </row>
    <row r="134" spans="1:12" x14ac:dyDescent="0.3">
      <c r="A134" s="16">
        <f t="shared" si="7"/>
        <v>34</v>
      </c>
      <c r="B134" s="68" t="str">
        <f>_xlfn.XLOOKUP(UpgradeScores[[#This Row],[Planet '#]],Hybridtable[Planet '#],Hybridtable[Name])</f>
        <v>Rupert</v>
      </c>
      <c r="C134" s="68" t="s">
        <v>226</v>
      </c>
      <c r="D134" s="78" t="str" cm="1">
        <f t="array" ref="D13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4" s="78" t="str" cm="1">
        <f t="array" ref="E13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4" s="77" t="str" cm="1">
        <f t="array" ref="F13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4" s="77" t="str" cm="1">
        <f t="array" ref="G13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4" s="79" t="str">
        <f>IF(COUNT(F134:G134)&lt;2,"",$N$16*UpgradeScores[[#This Row],[ROI Score]]+$O$16*UpgradeScores[[#This Row],[BE Score]])</f>
        <v/>
      </c>
      <c r="J134" s="79" t="str">
        <f t="shared" si="8"/>
        <v/>
      </c>
      <c r="K13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4" s="68" t="str">
        <f>IF(UpgradeScores[[#This Row],[Grade]]="", "",
   _xlfn.RANK.EQ(UpgradeScores[[#This Row],[Grade]], UpgradeScores[Grade], 1)
)</f>
        <v/>
      </c>
    </row>
    <row r="135" spans="1:12" x14ac:dyDescent="0.3">
      <c r="A135" s="16">
        <f t="shared" si="7"/>
        <v>34</v>
      </c>
      <c r="B135" s="68" t="str">
        <f>_xlfn.XLOOKUP(UpgradeScores[[#This Row],[Planet '#]],Hybridtable[Planet '#],Hybridtable[Name])</f>
        <v>Rupert</v>
      </c>
      <c r="C135" s="68" t="s">
        <v>227</v>
      </c>
      <c r="D135" s="78" t="str" cm="1">
        <f t="array" ref="D13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5" s="78" t="str" cm="1">
        <f t="array" ref="E13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5" s="77" t="str" cm="1">
        <f t="array" ref="F13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5" s="77" t="str" cm="1">
        <f t="array" ref="G13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5" s="79" t="str">
        <f>IF(COUNT(F135:G135)&lt;2,"",$N$16*UpgradeScores[[#This Row],[ROI Score]]+$O$16*UpgradeScores[[#This Row],[BE Score]])</f>
        <v/>
      </c>
      <c r="J135" s="79" t="str">
        <f t="shared" si="8"/>
        <v/>
      </c>
      <c r="K13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5" s="68" t="str">
        <f>IF(UpgradeScores[[#This Row],[Grade]]="", "",
   _xlfn.RANK.EQ(UpgradeScores[[#This Row],[Grade]], UpgradeScores[Grade], 1)
)</f>
        <v/>
      </c>
    </row>
    <row r="136" spans="1:12" x14ac:dyDescent="0.3">
      <c r="A136" s="16">
        <f t="shared" si="7"/>
        <v>34</v>
      </c>
      <c r="B136" s="68" t="str">
        <f>_xlfn.XLOOKUP(UpgradeScores[[#This Row],[Planet '#]],Hybridtable[Planet '#],Hybridtable[Name])</f>
        <v>Rupert</v>
      </c>
      <c r="C136" s="68" t="s">
        <v>159</v>
      </c>
      <c r="D136" s="78" t="str" cm="1">
        <f t="array" ref="D13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6" s="78" t="str" cm="1">
        <f t="array" ref="E13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6" s="77" t="str" cm="1">
        <f t="array" ref="F13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6" s="77" t="str" cm="1">
        <f t="array" ref="G13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6" s="79" t="str">
        <f>IF(COUNT(F136:G136)&lt;2,"",$N$16*UpgradeScores[[#This Row],[ROI Score]]+$O$16*UpgradeScores[[#This Row],[BE Score]])</f>
        <v/>
      </c>
      <c r="J136" s="79" t="str">
        <f t="shared" si="8"/>
        <v/>
      </c>
      <c r="K13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6" s="68" t="str">
        <f>IF(UpgradeScores[[#This Row],[Grade]]="", "",
   _xlfn.RANK.EQ(UpgradeScores[[#This Row],[Grade]], UpgradeScores[Grade], 1)
)</f>
        <v/>
      </c>
    </row>
    <row r="137" spans="1:12" x14ac:dyDescent="0.3">
      <c r="A137" s="16">
        <f t="shared" si="7"/>
        <v>34</v>
      </c>
      <c r="B137" s="68" t="str">
        <f>_xlfn.XLOOKUP(UpgradeScores[[#This Row],[Planet '#]],Hybridtable[Planet '#],Hybridtable[Name])</f>
        <v>Rupert</v>
      </c>
      <c r="C137" s="68" t="s">
        <v>228</v>
      </c>
      <c r="D137" s="78" t="str" cm="1">
        <f t="array" ref="D13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7" s="78" t="str" cm="1">
        <f t="array" ref="E13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7" s="77" t="str" cm="1">
        <f t="array" ref="F13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7" s="77" t="str" cm="1">
        <f t="array" ref="G13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7" s="79" t="str">
        <f>IF(COUNT(F137:G137)&lt;2,"",$N$16*UpgradeScores[[#This Row],[ROI Score]]+$O$16*UpgradeScores[[#This Row],[BE Score]])</f>
        <v/>
      </c>
      <c r="J137" s="79" t="str">
        <f t="shared" si="8"/>
        <v/>
      </c>
      <c r="K13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7" s="68" t="str">
        <f>IF(UpgradeScores[[#This Row],[Grade]]="", "",
   _xlfn.RANK.EQ(UpgradeScores[[#This Row],[Grade]], UpgradeScores[Grade], 1)
)</f>
        <v/>
      </c>
    </row>
    <row r="138" spans="1:12" x14ac:dyDescent="0.3">
      <c r="A138" s="16">
        <f t="shared" si="7"/>
        <v>35</v>
      </c>
      <c r="B138" s="68" t="str">
        <f>_xlfn.XLOOKUP(UpgradeScores[[#This Row],[Planet '#]],Hybridtable[Planet '#],Hybridtable[Name])</f>
        <v>Pax</v>
      </c>
      <c r="C138" s="68" t="s">
        <v>226</v>
      </c>
      <c r="D138" s="78" t="str" cm="1">
        <f t="array" ref="D13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8" s="78" t="str" cm="1">
        <f t="array" ref="E13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8" s="77" t="str" cm="1">
        <f t="array" ref="F13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8" s="77" t="str" cm="1">
        <f t="array" ref="G13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8" s="79" t="str">
        <f>IF(COUNT(F138:G138)&lt;2,"",$N$16*UpgradeScores[[#This Row],[ROI Score]]+$O$16*UpgradeScores[[#This Row],[BE Score]])</f>
        <v/>
      </c>
      <c r="J138" s="79" t="str">
        <f t="shared" si="8"/>
        <v/>
      </c>
      <c r="K13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8" s="68" t="str">
        <f>IF(UpgradeScores[[#This Row],[Grade]]="", "",
   _xlfn.RANK.EQ(UpgradeScores[[#This Row],[Grade]], UpgradeScores[Grade], 1)
)</f>
        <v/>
      </c>
    </row>
    <row r="139" spans="1:12" x14ac:dyDescent="0.3">
      <c r="A139" s="16">
        <f t="shared" si="7"/>
        <v>35</v>
      </c>
      <c r="B139" s="68" t="str">
        <f>_xlfn.XLOOKUP(UpgradeScores[[#This Row],[Planet '#]],Hybridtable[Planet '#],Hybridtable[Name])</f>
        <v>Pax</v>
      </c>
      <c r="C139" s="68" t="s">
        <v>227</v>
      </c>
      <c r="D139" s="78" t="str" cm="1">
        <f t="array" ref="D13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39" s="78" t="str" cm="1">
        <f t="array" ref="E13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39" s="77" t="str" cm="1">
        <f t="array" ref="F13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39" s="77" t="str" cm="1">
        <f t="array" ref="G13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3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39" s="79" t="str">
        <f>IF(COUNT(F139:G139)&lt;2,"",$N$16*UpgradeScores[[#This Row],[ROI Score]]+$O$16*UpgradeScores[[#This Row],[BE Score]])</f>
        <v/>
      </c>
      <c r="J139" s="79" t="str">
        <f t="shared" si="8"/>
        <v/>
      </c>
      <c r="K13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39" s="68" t="str">
        <f>IF(UpgradeScores[[#This Row],[Grade]]="", "",
   _xlfn.RANK.EQ(UpgradeScores[[#This Row],[Grade]], UpgradeScores[Grade], 1)
)</f>
        <v/>
      </c>
    </row>
    <row r="140" spans="1:12" x14ac:dyDescent="0.3">
      <c r="A140" s="16">
        <f t="shared" si="7"/>
        <v>35</v>
      </c>
      <c r="B140" s="68" t="str">
        <f>_xlfn.XLOOKUP(UpgradeScores[[#This Row],[Planet '#]],Hybridtable[Planet '#],Hybridtable[Name])</f>
        <v>Pax</v>
      </c>
      <c r="C140" s="68" t="s">
        <v>159</v>
      </c>
      <c r="D140" s="78" t="str" cm="1">
        <f t="array" ref="D14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0" s="78" t="str" cm="1">
        <f t="array" ref="E14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0" s="77" t="str" cm="1">
        <f t="array" ref="F14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0" s="77" t="str" cm="1">
        <f t="array" ref="G14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0" s="79" t="str">
        <f>IF(COUNT(F140:G140)&lt;2,"",$N$16*UpgradeScores[[#This Row],[ROI Score]]+$O$16*UpgradeScores[[#This Row],[BE Score]])</f>
        <v/>
      </c>
      <c r="J140" s="79" t="str">
        <f t="shared" si="8"/>
        <v/>
      </c>
      <c r="K14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0" s="68" t="str">
        <f>IF(UpgradeScores[[#This Row],[Grade]]="", "",
   _xlfn.RANK.EQ(UpgradeScores[[#This Row],[Grade]], UpgradeScores[Grade], 1)
)</f>
        <v/>
      </c>
    </row>
    <row r="141" spans="1:12" x14ac:dyDescent="0.3">
      <c r="A141" s="16">
        <f t="shared" si="7"/>
        <v>35</v>
      </c>
      <c r="B141" s="68" t="str">
        <f>_xlfn.XLOOKUP(UpgradeScores[[#This Row],[Planet '#]],Hybridtable[Planet '#],Hybridtable[Name])</f>
        <v>Pax</v>
      </c>
      <c r="C141" s="68" t="s">
        <v>228</v>
      </c>
      <c r="D141" s="78" t="str" cm="1">
        <f t="array" ref="D14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1" s="78" t="str" cm="1">
        <f t="array" ref="E14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1" s="77" t="str" cm="1">
        <f t="array" ref="F14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1" s="77" t="str" cm="1">
        <f t="array" ref="G14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1" s="79" t="str">
        <f>IF(COUNT(F141:G141)&lt;2,"",$N$16*UpgradeScores[[#This Row],[ROI Score]]+$O$16*UpgradeScores[[#This Row],[BE Score]])</f>
        <v/>
      </c>
      <c r="J141" s="79" t="str">
        <f t="shared" si="8"/>
        <v/>
      </c>
      <c r="K14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1" s="68" t="str">
        <f>IF(UpgradeScores[[#This Row],[Grade]]="", "",
   _xlfn.RANK.EQ(UpgradeScores[[#This Row],[Grade]], UpgradeScores[Grade], 1)
)</f>
        <v/>
      </c>
    </row>
    <row r="142" spans="1:12" x14ac:dyDescent="0.3">
      <c r="A142" s="16">
        <f t="shared" si="7"/>
        <v>36</v>
      </c>
      <c r="B142" s="68" t="str">
        <f>_xlfn.XLOOKUP(UpgradeScores[[#This Row],[Planet '#]],Hybridtable[Planet '#],Hybridtable[Name])</f>
        <v>Ivyra</v>
      </c>
      <c r="C142" s="68" t="s">
        <v>226</v>
      </c>
      <c r="D142" s="78" t="str" cm="1">
        <f t="array" ref="D14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2" s="78" t="str" cm="1">
        <f t="array" ref="E14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2" s="77" t="str" cm="1">
        <f t="array" ref="F14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2" s="77" t="str" cm="1">
        <f t="array" ref="G14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2" s="79" t="str">
        <f>IF(COUNT(F142:G142)&lt;2,"",$N$16*UpgradeScores[[#This Row],[ROI Score]]+$O$16*UpgradeScores[[#This Row],[BE Score]])</f>
        <v/>
      </c>
      <c r="J142" s="79" t="str">
        <f t="shared" si="8"/>
        <v/>
      </c>
      <c r="K14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2" s="68" t="str">
        <f>IF(UpgradeScores[[#This Row],[Grade]]="", "",
   _xlfn.RANK.EQ(UpgradeScores[[#This Row],[Grade]], UpgradeScores[Grade], 1)
)</f>
        <v/>
      </c>
    </row>
    <row r="143" spans="1:12" x14ac:dyDescent="0.3">
      <c r="A143" s="16">
        <f t="shared" si="7"/>
        <v>36</v>
      </c>
      <c r="B143" s="68" t="str">
        <f>_xlfn.XLOOKUP(UpgradeScores[[#This Row],[Planet '#]],Hybridtable[Planet '#],Hybridtable[Name])</f>
        <v>Ivyra</v>
      </c>
      <c r="C143" s="68" t="s">
        <v>227</v>
      </c>
      <c r="D143" s="78" t="str" cm="1">
        <f t="array" ref="D14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3" s="78" t="str" cm="1">
        <f t="array" ref="E14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3" s="77" t="str" cm="1">
        <f t="array" ref="F14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3" s="77" t="str" cm="1">
        <f t="array" ref="G14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3" s="79" t="str">
        <f>IF(COUNT(F143:G143)&lt;2,"",$N$16*UpgradeScores[[#This Row],[ROI Score]]+$O$16*UpgradeScores[[#This Row],[BE Score]])</f>
        <v/>
      </c>
      <c r="J143" s="79" t="str">
        <f t="shared" si="8"/>
        <v/>
      </c>
      <c r="K14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3" s="68" t="str">
        <f>IF(UpgradeScores[[#This Row],[Grade]]="", "",
   _xlfn.RANK.EQ(UpgradeScores[[#This Row],[Grade]], UpgradeScores[Grade], 1)
)</f>
        <v/>
      </c>
    </row>
    <row r="144" spans="1:12" x14ac:dyDescent="0.3">
      <c r="A144" s="16">
        <f t="shared" si="7"/>
        <v>36</v>
      </c>
      <c r="B144" s="68" t="str">
        <f>_xlfn.XLOOKUP(UpgradeScores[[#This Row],[Planet '#]],Hybridtable[Planet '#],Hybridtable[Name])</f>
        <v>Ivyra</v>
      </c>
      <c r="C144" s="68" t="s">
        <v>159</v>
      </c>
      <c r="D144" s="78" t="str" cm="1">
        <f t="array" ref="D14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4" s="78" t="str" cm="1">
        <f t="array" ref="E14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4" s="77" t="str" cm="1">
        <f t="array" ref="F14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4" s="77" t="str" cm="1">
        <f t="array" ref="G14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4" s="79" t="str">
        <f>IF(COUNT(F144:G144)&lt;2,"",$N$16*UpgradeScores[[#This Row],[ROI Score]]+$O$16*UpgradeScores[[#This Row],[BE Score]])</f>
        <v/>
      </c>
      <c r="J144" s="79" t="str">
        <f t="shared" si="8"/>
        <v/>
      </c>
      <c r="K14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4" s="68" t="str">
        <f>IF(UpgradeScores[[#This Row],[Grade]]="", "",
   _xlfn.RANK.EQ(UpgradeScores[[#This Row],[Grade]], UpgradeScores[Grade], 1)
)</f>
        <v/>
      </c>
    </row>
    <row r="145" spans="1:12" x14ac:dyDescent="0.3">
      <c r="A145" s="16">
        <f t="shared" si="7"/>
        <v>36</v>
      </c>
      <c r="B145" s="68" t="str">
        <f>_xlfn.XLOOKUP(UpgradeScores[[#This Row],[Planet '#]],Hybridtable[Planet '#],Hybridtable[Name])</f>
        <v>Ivyra</v>
      </c>
      <c r="C145" s="68" t="s">
        <v>228</v>
      </c>
      <c r="D145" s="78" t="str" cm="1">
        <f t="array" ref="D14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5" s="78" t="str" cm="1">
        <f t="array" ref="E14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5" s="77" t="str" cm="1">
        <f t="array" ref="F14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5" s="77" t="str" cm="1">
        <f t="array" ref="G14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5" s="79" t="str">
        <f>IF(COUNT(F145:G145)&lt;2,"",$N$16*UpgradeScores[[#This Row],[ROI Score]]+$O$16*UpgradeScores[[#This Row],[BE Score]])</f>
        <v/>
      </c>
      <c r="J145" s="79" t="str">
        <f t="shared" si="8"/>
        <v/>
      </c>
      <c r="K14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5" s="68" t="str">
        <f>IF(UpgradeScores[[#This Row],[Grade]]="", "",
   _xlfn.RANK.EQ(UpgradeScores[[#This Row],[Grade]], UpgradeScores[Grade], 1)
)</f>
        <v/>
      </c>
    </row>
    <row r="146" spans="1:12" x14ac:dyDescent="0.3">
      <c r="A146" s="16">
        <f t="shared" si="7"/>
        <v>37</v>
      </c>
      <c r="B146" s="68" t="str">
        <f>_xlfn.XLOOKUP(UpgradeScores[[#This Row],[Planet '#]],Hybridtable[Planet '#],Hybridtable[Name])</f>
        <v>Utritis</v>
      </c>
      <c r="C146" s="68" t="s">
        <v>226</v>
      </c>
      <c r="D146" s="78" t="str" cm="1">
        <f t="array" ref="D14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6" s="78" t="str" cm="1">
        <f t="array" ref="E14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6" s="77" t="str" cm="1">
        <f t="array" ref="F14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6" s="77" t="str" cm="1">
        <f t="array" ref="G14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6" s="79" t="str">
        <f>IF(COUNT(F146:G146)&lt;2,"",$N$16*UpgradeScores[[#This Row],[ROI Score]]+$O$16*UpgradeScores[[#This Row],[BE Score]])</f>
        <v/>
      </c>
      <c r="J146" s="79" t="str">
        <f t="shared" si="8"/>
        <v/>
      </c>
      <c r="K14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6" s="68" t="str">
        <f>IF(UpgradeScores[[#This Row],[Grade]]="", "",
   _xlfn.RANK.EQ(UpgradeScores[[#This Row],[Grade]], UpgradeScores[Grade], 1)
)</f>
        <v/>
      </c>
    </row>
    <row r="147" spans="1:12" x14ac:dyDescent="0.3">
      <c r="A147" s="16">
        <f t="shared" si="7"/>
        <v>37</v>
      </c>
      <c r="B147" s="68" t="str">
        <f>_xlfn.XLOOKUP(UpgradeScores[[#This Row],[Planet '#]],Hybridtable[Planet '#],Hybridtable[Name])</f>
        <v>Utritis</v>
      </c>
      <c r="C147" s="68" t="s">
        <v>227</v>
      </c>
      <c r="D147" s="78" t="str" cm="1">
        <f t="array" ref="D14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7" s="78" t="str" cm="1">
        <f t="array" ref="E14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7" s="77" t="str" cm="1">
        <f t="array" ref="F14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7" s="77" t="str" cm="1">
        <f t="array" ref="G14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7" s="79" t="str">
        <f>IF(COUNT(F147:G147)&lt;2,"",$N$16*UpgradeScores[[#This Row],[ROI Score]]+$O$16*UpgradeScores[[#This Row],[BE Score]])</f>
        <v/>
      </c>
      <c r="J147" s="79" t="str">
        <f t="shared" si="8"/>
        <v/>
      </c>
      <c r="K14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7" s="68" t="str">
        <f>IF(UpgradeScores[[#This Row],[Grade]]="", "",
   _xlfn.RANK.EQ(UpgradeScores[[#This Row],[Grade]], UpgradeScores[Grade], 1)
)</f>
        <v/>
      </c>
    </row>
    <row r="148" spans="1:12" x14ac:dyDescent="0.3">
      <c r="A148" s="16">
        <f t="shared" ref="A148:A179" si="9">INT((ROW()-ROW($A$2))/4)+1</f>
        <v>37</v>
      </c>
      <c r="B148" s="68" t="str">
        <f>_xlfn.XLOOKUP(UpgradeScores[[#This Row],[Planet '#]],Hybridtable[Planet '#],Hybridtable[Name])</f>
        <v>Utritis</v>
      </c>
      <c r="C148" s="68" t="s">
        <v>159</v>
      </c>
      <c r="D148" s="78" t="str" cm="1">
        <f t="array" ref="D14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8" s="78" t="str" cm="1">
        <f t="array" ref="E14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8" s="77" t="str" cm="1">
        <f t="array" ref="F14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8" s="77" t="str" cm="1">
        <f t="array" ref="G14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8" s="79" t="str">
        <f>IF(COUNT(F148:G148)&lt;2,"",$N$16*UpgradeScores[[#This Row],[ROI Score]]+$O$16*UpgradeScores[[#This Row],[BE Score]])</f>
        <v/>
      </c>
      <c r="J148" s="79" t="str">
        <f t="shared" si="8"/>
        <v/>
      </c>
      <c r="K14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8" s="68" t="str">
        <f>IF(UpgradeScores[[#This Row],[Grade]]="", "",
   _xlfn.RANK.EQ(UpgradeScores[[#This Row],[Grade]], UpgradeScores[Grade], 1)
)</f>
        <v/>
      </c>
    </row>
    <row r="149" spans="1:12" x14ac:dyDescent="0.3">
      <c r="A149" s="16">
        <f t="shared" si="9"/>
        <v>37</v>
      </c>
      <c r="B149" s="68" t="str">
        <f>_xlfn.XLOOKUP(UpgradeScores[[#This Row],[Planet '#]],Hybridtable[Planet '#],Hybridtable[Name])</f>
        <v>Utritis</v>
      </c>
      <c r="C149" s="68" t="s">
        <v>228</v>
      </c>
      <c r="D149" s="78" t="str" cm="1">
        <f t="array" ref="D14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49" s="78" t="str" cm="1">
        <f t="array" ref="E14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49" s="77" t="str" cm="1">
        <f t="array" ref="F14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49" s="77" t="str" cm="1">
        <f t="array" ref="G14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4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49" s="79" t="str">
        <f>IF(COUNT(F149:G149)&lt;2,"",$N$16*UpgradeScores[[#This Row],[ROI Score]]+$O$16*UpgradeScores[[#This Row],[BE Score]])</f>
        <v/>
      </c>
      <c r="J149" s="79" t="str">
        <f t="shared" si="8"/>
        <v/>
      </c>
      <c r="K14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49" s="68" t="str">
        <f>IF(UpgradeScores[[#This Row],[Grade]]="", "",
   _xlfn.RANK.EQ(UpgradeScores[[#This Row],[Grade]], UpgradeScores[Grade], 1)
)</f>
        <v/>
      </c>
    </row>
    <row r="150" spans="1:12" x14ac:dyDescent="0.3">
      <c r="A150" s="16">
        <f t="shared" si="9"/>
        <v>38</v>
      </c>
      <c r="B150" s="68" t="str">
        <f>_xlfn.XLOOKUP(UpgradeScores[[#This Row],[Planet '#]],Hybridtable[Planet '#],Hybridtable[Name])</f>
        <v>Dosie</v>
      </c>
      <c r="C150" s="68" t="s">
        <v>226</v>
      </c>
      <c r="D150" s="78" t="str" cm="1">
        <f t="array" ref="D15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0" s="78" t="str" cm="1">
        <f t="array" ref="E15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0" s="77" t="str" cm="1">
        <f t="array" ref="F15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0" s="77" t="str" cm="1">
        <f t="array" ref="G15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0" s="79" t="str">
        <f>IF(COUNT(F150:G150)&lt;2,"",$N$16*UpgradeScores[[#This Row],[ROI Score]]+$O$16*UpgradeScores[[#This Row],[BE Score]])</f>
        <v/>
      </c>
      <c r="J150" s="79" t="str">
        <f t="shared" si="8"/>
        <v/>
      </c>
      <c r="K15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0" s="68" t="str">
        <f>IF(UpgradeScores[[#This Row],[Grade]]="", "",
   _xlfn.RANK.EQ(UpgradeScores[[#This Row],[Grade]], UpgradeScores[Grade], 1)
)</f>
        <v/>
      </c>
    </row>
    <row r="151" spans="1:12" x14ac:dyDescent="0.3">
      <c r="A151" s="16">
        <f t="shared" si="9"/>
        <v>38</v>
      </c>
      <c r="B151" s="68" t="str">
        <f>_xlfn.XLOOKUP(UpgradeScores[[#This Row],[Planet '#]],Hybridtable[Planet '#],Hybridtable[Name])</f>
        <v>Dosie</v>
      </c>
      <c r="C151" s="68" t="s">
        <v>227</v>
      </c>
      <c r="D151" s="78" t="str" cm="1">
        <f t="array" ref="D15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1" s="78" t="str" cm="1">
        <f t="array" ref="E15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1" s="77" t="str" cm="1">
        <f t="array" ref="F15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1" s="77" t="str" cm="1">
        <f t="array" ref="G15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1" s="79" t="str">
        <f>IF(COUNT(F151:G151)&lt;2,"",$N$16*UpgradeScores[[#This Row],[ROI Score]]+$O$16*UpgradeScores[[#This Row],[BE Score]])</f>
        <v/>
      </c>
      <c r="J151" s="79" t="str">
        <f t="shared" si="8"/>
        <v/>
      </c>
      <c r="K15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1" s="68" t="str">
        <f>IF(UpgradeScores[[#This Row],[Grade]]="", "",
   _xlfn.RANK.EQ(UpgradeScores[[#This Row],[Grade]], UpgradeScores[Grade], 1)
)</f>
        <v/>
      </c>
    </row>
    <row r="152" spans="1:12" x14ac:dyDescent="0.3">
      <c r="A152" s="16">
        <f t="shared" si="9"/>
        <v>38</v>
      </c>
      <c r="B152" s="68" t="str">
        <f>_xlfn.XLOOKUP(UpgradeScores[[#This Row],[Planet '#]],Hybridtable[Planet '#],Hybridtable[Name])</f>
        <v>Dosie</v>
      </c>
      <c r="C152" s="68" t="s">
        <v>159</v>
      </c>
      <c r="D152" s="78" t="str" cm="1">
        <f t="array" ref="D15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2" s="78" t="str" cm="1">
        <f t="array" ref="E15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2" s="77" t="str" cm="1">
        <f t="array" ref="F15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2" s="77" t="str" cm="1">
        <f t="array" ref="G15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2" s="79" t="str">
        <f>IF(COUNT(F152:G152)&lt;2,"",$N$16*UpgradeScores[[#This Row],[ROI Score]]+$O$16*UpgradeScores[[#This Row],[BE Score]])</f>
        <v/>
      </c>
      <c r="J152" s="79" t="str">
        <f t="shared" si="8"/>
        <v/>
      </c>
      <c r="K15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2" s="68" t="str">
        <f>IF(UpgradeScores[[#This Row],[Grade]]="", "",
   _xlfn.RANK.EQ(UpgradeScores[[#This Row],[Grade]], UpgradeScores[Grade], 1)
)</f>
        <v/>
      </c>
    </row>
    <row r="153" spans="1:12" x14ac:dyDescent="0.3">
      <c r="A153" s="16">
        <f t="shared" si="9"/>
        <v>38</v>
      </c>
      <c r="B153" s="68" t="str">
        <f>_xlfn.XLOOKUP(UpgradeScores[[#This Row],[Planet '#]],Hybridtable[Planet '#],Hybridtable[Name])</f>
        <v>Dosie</v>
      </c>
      <c r="C153" s="68" t="s">
        <v>228</v>
      </c>
      <c r="D153" s="78" t="str" cm="1">
        <f t="array" ref="D15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3" s="78" t="str" cm="1">
        <f t="array" ref="E15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3" s="77" t="str" cm="1">
        <f t="array" ref="F15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3" s="77" t="str" cm="1">
        <f t="array" ref="G15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3" s="79" t="str">
        <f>IF(COUNT(F153:G153)&lt;2,"",$N$16*UpgradeScores[[#This Row],[ROI Score]]+$O$16*UpgradeScores[[#This Row],[BE Score]])</f>
        <v/>
      </c>
      <c r="J153" s="79" t="str">
        <f t="shared" si="8"/>
        <v/>
      </c>
      <c r="K15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3" s="68" t="str">
        <f>IF(UpgradeScores[[#This Row],[Grade]]="", "",
   _xlfn.RANK.EQ(UpgradeScores[[#This Row],[Grade]], UpgradeScores[Grade], 1)
)</f>
        <v/>
      </c>
    </row>
    <row r="154" spans="1:12" x14ac:dyDescent="0.3">
      <c r="A154" s="16">
        <f t="shared" si="9"/>
        <v>39</v>
      </c>
      <c r="B154" s="68" t="str">
        <f>_xlfn.XLOOKUP(UpgradeScores[[#This Row],[Planet '#]],Hybridtable[Planet '#],Hybridtable[Name])</f>
        <v>Zulu</v>
      </c>
      <c r="C154" s="68" t="s">
        <v>226</v>
      </c>
      <c r="D154" s="78" t="str" cm="1">
        <f t="array" ref="D15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4" s="78" t="str" cm="1">
        <f t="array" ref="E15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4" s="77" t="str" cm="1">
        <f t="array" ref="F15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4" s="77" t="str" cm="1">
        <f t="array" ref="G15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4" s="79" t="str">
        <f>IF(COUNT(F154:G154)&lt;2,"",$N$16*UpgradeScores[[#This Row],[ROI Score]]+$O$16*UpgradeScores[[#This Row],[BE Score]])</f>
        <v/>
      </c>
      <c r="J154" s="79" t="str">
        <f t="shared" si="8"/>
        <v/>
      </c>
      <c r="K15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4" s="68" t="str">
        <f>IF(UpgradeScores[[#This Row],[Grade]]="", "",
   _xlfn.RANK.EQ(UpgradeScores[[#This Row],[Grade]], UpgradeScores[Grade], 1)
)</f>
        <v/>
      </c>
    </row>
    <row r="155" spans="1:12" x14ac:dyDescent="0.3">
      <c r="A155" s="16">
        <f t="shared" si="9"/>
        <v>39</v>
      </c>
      <c r="B155" s="68" t="str">
        <f>_xlfn.XLOOKUP(UpgradeScores[[#This Row],[Planet '#]],Hybridtable[Planet '#],Hybridtable[Name])</f>
        <v>Zulu</v>
      </c>
      <c r="C155" s="68" t="s">
        <v>227</v>
      </c>
      <c r="D155" s="78" t="str" cm="1">
        <f t="array" ref="D15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5" s="78" t="str" cm="1">
        <f t="array" ref="E15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5" s="77" t="str" cm="1">
        <f t="array" ref="F15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5" s="77" t="str" cm="1">
        <f t="array" ref="G15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5" s="79" t="str">
        <f>IF(COUNT(F155:G155)&lt;2,"",$N$16*UpgradeScores[[#This Row],[ROI Score]]+$O$16*UpgradeScores[[#This Row],[BE Score]])</f>
        <v/>
      </c>
      <c r="J155" s="79" t="str">
        <f t="shared" si="8"/>
        <v/>
      </c>
      <c r="K15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5" s="68" t="str">
        <f>IF(UpgradeScores[[#This Row],[Grade]]="", "",
   _xlfn.RANK.EQ(UpgradeScores[[#This Row],[Grade]], UpgradeScores[Grade], 1)
)</f>
        <v/>
      </c>
    </row>
    <row r="156" spans="1:12" x14ac:dyDescent="0.3">
      <c r="A156" s="16">
        <f t="shared" si="9"/>
        <v>39</v>
      </c>
      <c r="B156" s="68" t="str">
        <f>_xlfn.XLOOKUP(UpgradeScores[[#This Row],[Planet '#]],Hybridtable[Planet '#],Hybridtable[Name])</f>
        <v>Zulu</v>
      </c>
      <c r="C156" s="68" t="s">
        <v>159</v>
      </c>
      <c r="D156" s="78" t="str" cm="1">
        <f t="array" ref="D15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6" s="78" t="str" cm="1">
        <f t="array" ref="E15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6" s="77" t="str" cm="1">
        <f t="array" ref="F15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6" s="77" t="str" cm="1">
        <f t="array" ref="G15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6" s="79" t="str">
        <f>IF(COUNT(F156:G156)&lt;2,"",$N$16*UpgradeScores[[#This Row],[ROI Score]]+$O$16*UpgradeScores[[#This Row],[BE Score]])</f>
        <v/>
      </c>
      <c r="J156" s="79" t="str">
        <f t="shared" si="8"/>
        <v/>
      </c>
      <c r="K15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6" s="68" t="str">
        <f>IF(UpgradeScores[[#This Row],[Grade]]="", "",
   _xlfn.RANK.EQ(UpgradeScores[[#This Row],[Grade]], UpgradeScores[Grade], 1)
)</f>
        <v/>
      </c>
    </row>
    <row r="157" spans="1:12" x14ac:dyDescent="0.3">
      <c r="A157" s="16">
        <f t="shared" si="9"/>
        <v>39</v>
      </c>
      <c r="B157" s="68" t="str">
        <f>_xlfn.XLOOKUP(UpgradeScores[[#This Row],[Planet '#]],Hybridtable[Planet '#],Hybridtable[Name])</f>
        <v>Zulu</v>
      </c>
      <c r="C157" s="68" t="s">
        <v>228</v>
      </c>
      <c r="D157" s="78" t="str" cm="1">
        <f t="array" ref="D15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7" s="78" t="str" cm="1">
        <f t="array" ref="E15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7" s="77" t="str" cm="1">
        <f t="array" ref="F15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7" s="77" t="str" cm="1">
        <f t="array" ref="G15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7" s="79" t="str">
        <f>IF(COUNT(F157:G157)&lt;2,"",$N$16*UpgradeScores[[#This Row],[ROI Score]]+$O$16*UpgradeScores[[#This Row],[BE Score]])</f>
        <v/>
      </c>
      <c r="J157" s="79" t="str">
        <f t="shared" si="8"/>
        <v/>
      </c>
      <c r="K15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7" s="68" t="str">
        <f>IF(UpgradeScores[[#This Row],[Grade]]="", "",
   _xlfn.RANK.EQ(UpgradeScores[[#This Row],[Grade]], UpgradeScores[Grade], 1)
)</f>
        <v/>
      </c>
    </row>
    <row r="158" spans="1:12" x14ac:dyDescent="0.3">
      <c r="A158" s="16">
        <f t="shared" si="9"/>
        <v>40</v>
      </c>
      <c r="B158" s="68" t="str">
        <f>_xlfn.XLOOKUP(UpgradeScores[[#This Row],[Planet '#]],Hybridtable[Planet '#],Hybridtable[Name])</f>
        <v>Unicae</v>
      </c>
      <c r="C158" s="68" t="s">
        <v>226</v>
      </c>
      <c r="D158" s="78" t="str" cm="1">
        <f t="array" ref="D15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8" s="78" t="str" cm="1">
        <f t="array" ref="E15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8" s="77" t="str" cm="1">
        <f t="array" ref="F15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8" s="77" t="str" cm="1">
        <f t="array" ref="G15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8" s="79" t="str">
        <f>IF(COUNT(F158:G158)&lt;2,"",$N$16*UpgradeScores[[#This Row],[ROI Score]]+$O$16*UpgradeScores[[#This Row],[BE Score]])</f>
        <v/>
      </c>
      <c r="J158" s="79" t="str">
        <f t="shared" si="8"/>
        <v/>
      </c>
      <c r="K15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8" s="68" t="str">
        <f>IF(UpgradeScores[[#This Row],[Grade]]="", "",
   _xlfn.RANK.EQ(UpgradeScores[[#This Row],[Grade]], UpgradeScores[Grade], 1)
)</f>
        <v/>
      </c>
    </row>
    <row r="159" spans="1:12" x14ac:dyDescent="0.3">
      <c r="A159" s="16">
        <f t="shared" si="9"/>
        <v>40</v>
      </c>
      <c r="B159" s="68" t="str">
        <f>_xlfn.XLOOKUP(UpgradeScores[[#This Row],[Planet '#]],Hybridtable[Planet '#],Hybridtable[Name])</f>
        <v>Unicae</v>
      </c>
      <c r="C159" s="68" t="s">
        <v>227</v>
      </c>
      <c r="D159" s="78" t="str" cm="1">
        <f t="array" ref="D15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59" s="78" t="str" cm="1">
        <f t="array" ref="E15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59" s="77" t="str" cm="1">
        <f t="array" ref="F15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59" s="77" t="str" cm="1">
        <f t="array" ref="G15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5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59" s="79" t="str">
        <f>IF(COUNT(F159:G159)&lt;2,"",$N$16*UpgradeScores[[#This Row],[ROI Score]]+$O$16*UpgradeScores[[#This Row],[BE Score]])</f>
        <v/>
      </c>
      <c r="J159" s="79" t="str">
        <f t="shared" si="8"/>
        <v/>
      </c>
      <c r="K15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59" s="68" t="str">
        <f>IF(UpgradeScores[[#This Row],[Grade]]="", "",
   _xlfn.RANK.EQ(UpgradeScores[[#This Row],[Grade]], UpgradeScores[Grade], 1)
)</f>
        <v/>
      </c>
    </row>
    <row r="160" spans="1:12" x14ac:dyDescent="0.3">
      <c r="A160" s="16">
        <f t="shared" si="9"/>
        <v>40</v>
      </c>
      <c r="B160" s="68" t="str">
        <f>_xlfn.XLOOKUP(UpgradeScores[[#This Row],[Planet '#]],Hybridtable[Planet '#],Hybridtable[Name])</f>
        <v>Unicae</v>
      </c>
      <c r="C160" s="68" t="s">
        <v>159</v>
      </c>
      <c r="D160" s="78" t="str" cm="1">
        <f t="array" ref="D16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0" s="78" t="str" cm="1">
        <f t="array" ref="E16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0" s="77" t="str" cm="1">
        <f t="array" ref="F16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0" s="77" t="str" cm="1">
        <f t="array" ref="G16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0" s="79" t="str">
        <f>IF(COUNT(F160:G160)&lt;2,"",$N$16*UpgradeScores[[#This Row],[ROI Score]]+$O$16*UpgradeScores[[#This Row],[BE Score]])</f>
        <v/>
      </c>
      <c r="J160" s="79" t="str">
        <f t="shared" si="8"/>
        <v/>
      </c>
      <c r="K16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0" s="68" t="str">
        <f>IF(UpgradeScores[[#This Row],[Grade]]="", "",
   _xlfn.RANK.EQ(UpgradeScores[[#This Row],[Grade]], UpgradeScores[Grade], 1)
)</f>
        <v/>
      </c>
    </row>
    <row r="161" spans="1:12" x14ac:dyDescent="0.3">
      <c r="A161" s="16">
        <f t="shared" si="9"/>
        <v>40</v>
      </c>
      <c r="B161" s="68" t="str">
        <f>_xlfn.XLOOKUP(UpgradeScores[[#This Row],[Planet '#]],Hybridtable[Planet '#],Hybridtable[Name])</f>
        <v>Unicae</v>
      </c>
      <c r="C161" s="68" t="s">
        <v>228</v>
      </c>
      <c r="D161" s="78" t="str" cm="1">
        <f t="array" ref="D16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1" s="78" t="str" cm="1">
        <f t="array" ref="E16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1" s="77" t="str" cm="1">
        <f t="array" ref="F16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1" s="77" t="str" cm="1">
        <f t="array" ref="G16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1" s="79" t="str">
        <f>IF(COUNT(F161:G161)&lt;2,"",$N$16*UpgradeScores[[#This Row],[ROI Score]]+$O$16*UpgradeScores[[#This Row],[BE Score]])</f>
        <v/>
      </c>
      <c r="J161" s="79" t="str">
        <f t="shared" si="8"/>
        <v/>
      </c>
      <c r="K16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1" s="68" t="str">
        <f>IF(UpgradeScores[[#This Row],[Grade]]="", "",
   _xlfn.RANK.EQ(UpgradeScores[[#This Row],[Grade]], UpgradeScores[Grade], 1)
)</f>
        <v/>
      </c>
    </row>
    <row r="162" spans="1:12" x14ac:dyDescent="0.3">
      <c r="A162" s="16">
        <f t="shared" si="9"/>
        <v>41</v>
      </c>
      <c r="B162" s="68" t="str">
        <f>_xlfn.XLOOKUP(UpgradeScores[[#This Row],[Planet '#]],Hybridtable[Planet '#],Hybridtable[Name])</f>
        <v>Dune</v>
      </c>
      <c r="C162" s="68" t="s">
        <v>226</v>
      </c>
      <c r="D162" s="78" t="str" cm="1">
        <f t="array" ref="D16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2" s="78" t="str" cm="1">
        <f t="array" ref="E16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2" s="77" t="str" cm="1">
        <f t="array" ref="F16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2" s="77" t="str" cm="1">
        <f t="array" ref="G16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2" s="79" t="str">
        <f>IF(COUNT(F162:G162)&lt;2,"",$N$16*UpgradeScores[[#This Row],[ROI Score]]+$O$16*UpgradeScores[[#This Row],[BE Score]])</f>
        <v/>
      </c>
      <c r="J162" s="79" t="str">
        <f t="shared" si="8"/>
        <v/>
      </c>
      <c r="K16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2" s="68" t="str">
        <f>IF(UpgradeScores[[#This Row],[Grade]]="", "",
   _xlfn.RANK.EQ(UpgradeScores[[#This Row],[Grade]], UpgradeScores[Grade], 1)
)</f>
        <v/>
      </c>
    </row>
    <row r="163" spans="1:12" x14ac:dyDescent="0.3">
      <c r="A163" s="16">
        <f t="shared" si="9"/>
        <v>41</v>
      </c>
      <c r="B163" s="68" t="str">
        <f>_xlfn.XLOOKUP(UpgradeScores[[#This Row],[Planet '#]],Hybridtable[Planet '#],Hybridtable[Name])</f>
        <v>Dune</v>
      </c>
      <c r="C163" s="68" t="s">
        <v>227</v>
      </c>
      <c r="D163" s="78" t="str" cm="1">
        <f t="array" ref="D16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3" s="78" t="str" cm="1">
        <f t="array" ref="E16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3" s="77" t="str" cm="1">
        <f t="array" ref="F16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3" s="77" t="str" cm="1">
        <f t="array" ref="G16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3" s="79" t="str">
        <f>IF(COUNT(F163:G163)&lt;2,"",$N$16*UpgradeScores[[#This Row],[ROI Score]]+$O$16*UpgradeScores[[#This Row],[BE Score]])</f>
        <v/>
      </c>
      <c r="J163" s="79" t="str">
        <f t="shared" si="8"/>
        <v/>
      </c>
      <c r="K16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3" s="68" t="str">
        <f>IF(UpgradeScores[[#This Row],[Grade]]="", "",
   _xlfn.RANK.EQ(UpgradeScores[[#This Row],[Grade]], UpgradeScores[Grade], 1)
)</f>
        <v/>
      </c>
    </row>
    <row r="164" spans="1:12" x14ac:dyDescent="0.3">
      <c r="A164" s="16">
        <f t="shared" si="9"/>
        <v>41</v>
      </c>
      <c r="B164" s="68" t="str">
        <f>_xlfn.XLOOKUP(UpgradeScores[[#This Row],[Planet '#]],Hybridtable[Planet '#],Hybridtable[Name])</f>
        <v>Dune</v>
      </c>
      <c r="C164" s="68" t="s">
        <v>159</v>
      </c>
      <c r="D164" s="78" t="str" cm="1">
        <f t="array" ref="D16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4" s="78" t="str" cm="1">
        <f t="array" ref="E16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4" s="77" t="str" cm="1">
        <f t="array" ref="F16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4" s="77" t="str" cm="1">
        <f t="array" ref="G16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4" s="79" t="str">
        <f>IF(COUNT(F164:G164)&lt;2,"",$N$16*UpgradeScores[[#This Row],[ROI Score]]+$O$16*UpgradeScores[[#This Row],[BE Score]])</f>
        <v/>
      </c>
      <c r="J164" s="79" t="str">
        <f t="shared" si="8"/>
        <v/>
      </c>
      <c r="K16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4" s="68" t="str">
        <f>IF(UpgradeScores[[#This Row],[Grade]]="", "",
   _xlfn.RANK.EQ(UpgradeScores[[#This Row],[Grade]], UpgradeScores[Grade], 1)
)</f>
        <v/>
      </c>
    </row>
    <row r="165" spans="1:12" x14ac:dyDescent="0.3">
      <c r="A165" s="16">
        <f t="shared" si="9"/>
        <v>41</v>
      </c>
      <c r="B165" s="68" t="str">
        <f>_xlfn.XLOOKUP(UpgradeScores[[#This Row],[Planet '#]],Hybridtable[Planet '#],Hybridtable[Name])</f>
        <v>Dune</v>
      </c>
      <c r="C165" s="68" t="s">
        <v>228</v>
      </c>
      <c r="D165" s="78" t="str" cm="1">
        <f t="array" ref="D16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5" s="78" t="str" cm="1">
        <f t="array" ref="E16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5" s="77" t="str" cm="1">
        <f t="array" ref="F16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5" s="77" t="str" cm="1">
        <f t="array" ref="G16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5" s="79" t="str">
        <f>IF(COUNT(F165:G165)&lt;2,"",$N$16*UpgradeScores[[#This Row],[ROI Score]]+$O$16*UpgradeScores[[#This Row],[BE Score]])</f>
        <v/>
      </c>
      <c r="J165" s="79" t="str">
        <f t="shared" si="8"/>
        <v/>
      </c>
      <c r="K16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5" s="68" t="str">
        <f>IF(UpgradeScores[[#This Row],[Grade]]="", "",
   _xlfn.RANK.EQ(UpgradeScores[[#This Row],[Grade]], UpgradeScores[Grade], 1)
)</f>
        <v/>
      </c>
    </row>
    <row r="166" spans="1:12" x14ac:dyDescent="0.3">
      <c r="A166" s="16">
        <f t="shared" si="9"/>
        <v>42</v>
      </c>
      <c r="B166" s="68" t="str">
        <f>_xlfn.XLOOKUP(UpgradeScores[[#This Row],[Planet '#]],Hybridtable[Planet '#],Hybridtable[Name])</f>
        <v>Naraka</v>
      </c>
      <c r="C166" s="68" t="s">
        <v>226</v>
      </c>
      <c r="D166" s="78" t="str" cm="1">
        <f t="array" ref="D16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6" s="78" t="str" cm="1">
        <f t="array" ref="E16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6" s="77" t="str" cm="1">
        <f t="array" ref="F16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6" s="77" t="str" cm="1">
        <f t="array" ref="G16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6" s="79" t="str">
        <f>IF(COUNT(F166:G166)&lt;2,"",$N$16*UpgradeScores[[#This Row],[ROI Score]]+$O$16*UpgradeScores[[#This Row],[BE Score]])</f>
        <v/>
      </c>
      <c r="J166" s="79" t="str">
        <f t="shared" si="8"/>
        <v/>
      </c>
      <c r="K16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6" s="68" t="str">
        <f>IF(UpgradeScores[[#This Row],[Grade]]="", "",
   _xlfn.RANK.EQ(UpgradeScores[[#This Row],[Grade]], UpgradeScores[Grade], 1)
)</f>
        <v/>
      </c>
    </row>
    <row r="167" spans="1:12" x14ac:dyDescent="0.3">
      <c r="A167" s="16">
        <f t="shared" si="9"/>
        <v>42</v>
      </c>
      <c r="B167" s="68" t="str">
        <f>_xlfn.XLOOKUP(UpgradeScores[[#This Row],[Planet '#]],Hybridtable[Planet '#],Hybridtable[Name])</f>
        <v>Naraka</v>
      </c>
      <c r="C167" s="68" t="s">
        <v>227</v>
      </c>
      <c r="D167" s="78" t="str" cm="1">
        <f t="array" ref="D16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7" s="78" t="str" cm="1">
        <f t="array" ref="E16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7" s="77" t="str" cm="1">
        <f t="array" ref="F16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7" s="77" t="str" cm="1">
        <f t="array" ref="G16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7" s="79" t="str">
        <f>IF(COUNT(F167:G167)&lt;2,"",$N$16*UpgradeScores[[#This Row],[ROI Score]]+$O$16*UpgradeScores[[#This Row],[BE Score]])</f>
        <v/>
      </c>
      <c r="J167" s="79" t="str">
        <f t="shared" si="8"/>
        <v/>
      </c>
      <c r="K16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7" s="68" t="str">
        <f>IF(UpgradeScores[[#This Row],[Grade]]="", "",
   _xlfn.RANK.EQ(UpgradeScores[[#This Row],[Grade]], UpgradeScores[Grade], 1)
)</f>
        <v/>
      </c>
    </row>
    <row r="168" spans="1:12" x14ac:dyDescent="0.3">
      <c r="A168" s="16">
        <f t="shared" si="9"/>
        <v>42</v>
      </c>
      <c r="B168" s="68" t="str">
        <f>_xlfn.XLOOKUP(UpgradeScores[[#This Row],[Planet '#]],Hybridtable[Planet '#],Hybridtable[Name])</f>
        <v>Naraka</v>
      </c>
      <c r="C168" s="68" t="s">
        <v>159</v>
      </c>
      <c r="D168" s="78" t="str" cm="1">
        <f t="array" ref="D16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8" s="78" t="str" cm="1">
        <f t="array" ref="E16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8" s="77" t="str" cm="1">
        <f t="array" ref="F16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8" s="77" t="str" cm="1">
        <f t="array" ref="G16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8" s="79" t="str">
        <f>IF(COUNT(F168:G168)&lt;2,"",$N$16*UpgradeScores[[#This Row],[ROI Score]]+$O$16*UpgradeScores[[#This Row],[BE Score]])</f>
        <v/>
      </c>
      <c r="J168" s="79" t="str">
        <f t="shared" si="8"/>
        <v/>
      </c>
      <c r="K16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8" s="68" t="str">
        <f>IF(UpgradeScores[[#This Row],[Grade]]="", "",
   _xlfn.RANK.EQ(UpgradeScores[[#This Row],[Grade]], UpgradeScores[Grade], 1)
)</f>
        <v/>
      </c>
    </row>
    <row r="169" spans="1:12" x14ac:dyDescent="0.3">
      <c r="A169" s="16">
        <f t="shared" si="9"/>
        <v>42</v>
      </c>
      <c r="B169" s="68" t="str">
        <f>_xlfn.XLOOKUP(UpgradeScores[[#This Row],[Planet '#]],Hybridtable[Planet '#],Hybridtable[Name])</f>
        <v>Naraka</v>
      </c>
      <c r="C169" s="68" t="s">
        <v>228</v>
      </c>
      <c r="D169" s="78" t="str" cm="1">
        <f t="array" ref="D16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69" s="78" t="str" cm="1">
        <f t="array" ref="E16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69" s="77" t="str" cm="1">
        <f t="array" ref="F16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69" s="77" t="str" cm="1">
        <f t="array" ref="G16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6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69" s="79" t="str">
        <f>IF(COUNT(F169:G169)&lt;2,"",$N$16*UpgradeScores[[#This Row],[ROI Score]]+$O$16*UpgradeScores[[#This Row],[BE Score]])</f>
        <v/>
      </c>
      <c r="J169" s="79" t="str">
        <f t="shared" si="8"/>
        <v/>
      </c>
      <c r="K16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69" s="68" t="str">
        <f>IF(UpgradeScores[[#This Row],[Grade]]="", "",
   _xlfn.RANK.EQ(UpgradeScores[[#This Row],[Grade]], UpgradeScores[Grade], 1)
)</f>
        <v/>
      </c>
    </row>
    <row r="170" spans="1:12" x14ac:dyDescent="0.3">
      <c r="A170" s="16">
        <f t="shared" si="9"/>
        <v>43</v>
      </c>
      <c r="B170" s="68" t="str">
        <f>_xlfn.XLOOKUP(UpgradeScores[[#This Row],[Planet '#]],Hybridtable[Planet '#],Hybridtable[Name])</f>
        <v>Daedalus</v>
      </c>
      <c r="C170" s="68" t="s">
        <v>226</v>
      </c>
      <c r="D170" s="78" t="str" cm="1">
        <f t="array" ref="D17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0" s="78" t="str" cm="1">
        <f t="array" ref="E17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0" s="77" t="str" cm="1">
        <f t="array" ref="F17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0" s="77" t="str" cm="1">
        <f t="array" ref="G17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0" s="79" t="str">
        <f>IF(COUNT(F170:G170)&lt;2,"",$N$16*UpgradeScores[[#This Row],[ROI Score]]+$O$16*UpgradeScores[[#This Row],[BE Score]])</f>
        <v/>
      </c>
      <c r="J170" s="79" t="str">
        <f t="shared" si="8"/>
        <v/>
      </c>
      <c r="K17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0" s="68" t="str">
        <f>IF(UpgradeScores[[#This Row],[Grade]]="", "",
   _xlfn.RANK.EQ(UpgradeScores[[#This Row],[Grade]], UpgradeScores[Grade], 1)
)</f>
        <v/>
      </c>
    </row>
    <row r="171" spans="1:12" x14ac:dyDescent="0.3">
      <c r="A171" s="16">
        <f t="shared" si="9"/>
        <v>43</v>
      </c>
      <c r="B171" s="68" t="str">
        <f>_xlfn.XLOOKUP(UpgradeScores[[#This Row],[Planet '#]],Hybridtable[Planet '#],Hybridtable[Name])</f>
        <v>Daedalus</v>
      </c>
      <c r="C171" s="68" t="s">
        <v>227</v>
      </c>
      <c r="D171" s="78" t="str" cm="1">
        <f t="array" ref="D17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1" s="78" t="str" cm="1">
        <f t="array" ref="E17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1" s="77" t="str" cm="1">
        <f t="array" ref="F17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1" s="77" t="str" cm="1">
        <f t="array" ref="G17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1" s="79" t="str">
        <f>IF(COUNT(F171:G171)&lt;2,"",$N$16*UpgradeScores[[#This Row],[ROI Score]]+$O$16*UpgradeScores[[#This Row],[BE Score]])</f>
        <v/>
      </c>
      <c r="J171" s="79" t="str">
        <f t="shared" si="8"/>
        <v/>
      </c>
      <c r="K17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1" s="68" t="str">
        <f>IF(UpgradeScores[[#This Row],[Grade]]="", "",
   _xlfn.RANK.EQ(UpgradeScores[[#This Row],[Grade]], UpgradeScores[Grade], 1)
)</f>
        <v/>
      </c>
    </row>
    <row r="172" spans="1:12" x14ac:dyDescent="0.3">
      <c r="A172" s="16">
        <f t="shared" si="9"/>
        <v>43</v>
      </c>
      <c r="B172" s="68" t="str">
        <f>_xlfn.XLOOKUP(UpgradeScores[[#This Row],[Planet '#]],Hybridtable[Planet '#],Hybridtable[Name])</f>
        <v>Daedalus</v>
      </c>
      <c r="C172" s="68" t="s">
        <v>159</v>
      </c>
      <c r="D172" s="78" t="str" cm="1">
        <f t="array" ref="D17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2" s="78" t="str" cm="1">
        <f t="array" ref="E17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2" s="77" t="str" cm="1">
        <f t="array" ref="F17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2" s="77" t="str" cm="1">
        <f t="array" ref="G17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2" s="79" t="str">
        <f>IF(COUNT(F172:G172)&lt;2,"",$N$16*UpgradeScores[[#This Row],[ROI Score]]+$O$16*UpgradeScores[[#This Row],[BE Score]])</f>
        <v/>
      </c>
      <c r="J172" s="79" t="str">
        <f t="shared" si="8"/>
        <v/>
      </c>
      <c r="K17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2" s="68" t="str">
        <f>IF(UpgradeScores[[#This Row],[Grade]]="", "",
   _xlfn.RANK.EQ(UpgradeScores[[#This Row],[Grade]], UpgradeScores[Grade], 1)
)</f>
        <v/>
      </c>
    </row>
    <row r="173" spans="1:12" x14ac:dyDescent="0.3">
      <c r="A173" s="16">
        <f t="shared" si="9"/>
        <v>43</v>
      </c>
      <c r="B173" s="68" t="str">
        <f>_xlfn.XLOOKUP(UpgradeScores[[#This Row],[Planet '#]],Hybridtable[Planet '#],Hybridtable[Name])</f>
        <v>Daedalus</v>
      </c>
      <c r="C173" s="68" t="s">
        <v>228</v>
      </c>
      <c r="D173" s="78" t="str" cm="1">
        <f t="array" ref="D17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3" s="78" t="str" cm="1">
        <f t="array" ref="E17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3" s="77" t="str" cm="1">
        <f t="array" ref="F17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3" s="77" t="str" cm="1">
        <f t="array" ref="G17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3" s="79" t="str">
        <f>IF(COUNT(F173:G173)&lt;2,"",$N$16*UpgradeScores[[#This Row],[ROI Score]]+$O$16*UpgradeScores[[#This Row],[BE Score]])</f>
        <v/>
      </c>
      <c r="J173" s="79" t="str">
        <f t="shared" si="8"/>
        <v/>
      </c>
      <c r="K17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3" s="68" t="str">
        <f>IF(UpgradeScores[[#This Row],[Grade]]="", "",
   _xlfn.RANK.EQ(UpgradeScores[[#This Row],[Grade]], UpgradeScores[Grade], 1)
)</f>
        <v/>
      </c>
    </row>
    <row r="174" spans="1:12" x14ac:dyDescent="0.3">
      <c r="A174" s="16">
        <f t="shared" si="9"/>
        <v>44</v>
      </c>
      <c r="B174" s="68" t="str">
        <f>_xlfn.XLOOKUP(UpgradeScores[[#This Row],[Planet '#]],Hybridtable[Planet '#],Hybridtable[Name])</f>
        <v>Clovis</v>
      </c>
      <c r="C174" s="68" t="s">
        <v>226</v>
      </c>
      <c r="D174" s="78" t="str" cm="1">
        <f t="array" ref="D17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4" s="78" t="str" cm="1">
        <f t="array" ref="E17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4" s="77" t="str" cm="1">
        <f t="array" ref="F17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4" s="77" t="str" cm="1">
        <f t="array" ref="G17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4" s="79" t="str">
        <f>IF(COUNT(F174:G174)&lt;2,"",$N$16*UpgradeScores[[#This Row],[ROI Score]]+$O$16*UpgradeScores[[#This Row],[BE Score]])</f>
        <v/>
      </c>
      <c r="J174" s="79" t="str">
        <f t="shared" si="8"/>
        <v/>
      </c>
      <c r="K17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4" s="68" t="str">
        <f>IF(UpgradeScores[[#This Row],[Grade]]="", "",
   _xlfn.RANK.EQ(UpgradeScores[[#This Row],[Grade]], UpgradeScores[Grade], 1)
)</f>
        <v/>
      </c>
    </row>
    <row r="175" spans="1:12" x14ac:dyDescent="0.3">
      <c r="A175" s="16">
        <f t="shared" si="9"/>
        <v>44</v>
      </c>
      <c r="B175" s="68" t="str">
        <f>_xlfn.XLOOKUP(UpgradeScores[[#This Row],[Planet '#]],Hybridtable[Planet '#],Hybridtable[Name])</f>
        <v>Clovis</v>
      </c>
      <c r="C175" s="68" t="s">
        <v>227</v>
      </c>
      <c r="D175" s="78" t="str" cm="1">
        <f t="array" ref="D17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5" s="78" t="str" cm="1">
        <f t="array" ref="E17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5" s="77" t="str" cm="1">
        <f t="array" ref="F17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5" s="77" t="str" cm="1">
        <f t="array" ref="G17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5" s="79" t="str">
        <f>IF(COUNT(F175:G175)&lt;2,"",$N$16*UpgradeScores[[#This Row],[ROI Score]]+$O$16*UpgradeScores[[#This Row],[BE Score]])</f>
        <v/>
      </c>
      <c r="J175" s="79" t="str">
        <f t="shared" si="8"/>
        <v/>
      </c>
      <c r="K17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5" s="68" t="str">
        <f>IF(UpgradeScores[[#This Row],[Grade]]="", "",
   _xlfn.RANK.EQ(UpgradeScores[[#This Row],[Grade]], UpgradeScores[Grade], 1)
)</f>
        <v/>
      </c>
    </row>
    <row r="176" spans="1:12" x14ac:dyDescent="0.3">
      <c r="A176" s="16">
        <f t="shared" si="9"/>
        <v>44</v>
      </c>
      <c r="B176" s="68" t="str">
        <f>_xlfn.XLOOKUP(UpgradeScores[[#This Row],[Planet '#]],Hybridtable[Planet '#],Hybridtable[Name])</f>
        <v>Clovis</v>
      </c>
      <c r="C176" s="68" t="s">
        <v>159</v>
      </c>
      <c r="D176" s="78" t="str" cm="1">
        <f t="array" ref="D17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6" s="78" t="str" cm="1">
        <f t="array" ref="E17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6" s="77" t="str" cm="1">
        <f t="array" ref="F17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6" s="77" t="str" cm="1">
        <f t="array" ref="G17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6" s="79" t="str">
        <f>IF(COUNT(F176:G176)&lt;2,"",$N$16*UpgradeScores[[#This Row],[ROI Score]]+$O$16*UpgradeScores[[#This Row],[BE Score]])</f>
        <v/>
      </c>
      <c r="J176" s="79" t="str">
        <f t="shared" si="8"/>
        <v/>
      </c>
      <c r="K17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6" s="68" t="str">
        <f>IF(UpgradeScores[[#This Row],[Grade]]="", "",
   _xlfn.RANK.EQ(UpgradeScores[[#This Row],[Grade]], UpgradeScores[Grade], 1)
)</f>
        <v/>
      </c>
    </row>
    <row r="177" spans="1:12" x14ac:dyDescent="0.3">
      <c r="A177" s="16">
        <f t="shared" si="9"/>
        <v>44</v>
      </c>
      <c r="B177" s="68" t="str">
        <f>_xlfn.XLOOKUP(UpgradeScores[[#This Row],[Planet '#]],Hybridtable[Planet '#],Hybridtable[Name])</f>
        <v>Clovis</v>
      </c>
      <c r="C177" s="68" t="s">
        <v>228</v>
      </c>
      <c r="D177" s="78" t="str" cm="1">
        <f t="array" ref="D17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7" s="78" t="str" cm="1">
        <f t="array" ref="E17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7" s="77" t="str" cm="1">
        <f t="array" ref="F17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7" s="77" t="str" cm="1">
        <f t="array" ref="G17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7" s="79" t="str">
        <f>IF(COUNT(F177:G177)&lt;2,"",$N$16*UpgradeScores[[#This Row],[ROI Score]]+$O$16*UpgradeScores[[#This Row],[BE Score]])</f>
        <v/>
      </c>
      <c r="J177" s="79" t="str">
        <f t="shared" si="8"/>
        <v/>
      </c>
      <c r="K17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7" s="68" t="str">
        <f>IF(UpgradeScores[[#This Row],[Grade]]="", "",
   _xlfn.RANK.EQ(UpgradeScores[[#This Row],[Grade]], UpgradeScores[Grade], 1)
)</f>
        <v/>
      </c>
    </row>
    <row r="178" spans="1:12" x14ac:dyDescent="0.3">
      <c r="A178" s="16">
        <f t="shared" si="9"/>
        <v>45</v>
      </c>
      <c r="B178" s="68" t="str">
        <f>_xlfn.XLOOKUP(UpgradeScores[[#This Row],[Planet '#]],Hybridtable[Planet '#],Hybridtable[Name])</f>
        <v>Zero</v>
      </c>
      <c r="C178" s="68" t="s">
        <v>226</v>
      </c>
      <c r="D178" s="78" t="str" cm="1">
        <f t="array" ref="D17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8" s="78" t="str" cm="1">
        <f t="array" ref="E17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8" s="77" t="str" cm="1">
        <f t="array" ref="F17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8" s="77" t="str" cm="1">
        <f t="array" ref="G17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8" s="79" t="str">
        <f>IF(COUNT(F178:G178)&lt;2,"",$N$16*UpgradeScores[[#This Row],[ROI Score]]+$O$16*UpgradeScores[[#This Row],[BE Score]])</f>
        <v/>
      </c>
      <c r="J178" s="79" t="str">
        <f t="shared" si="8"/>
        <v/>
      </c>
      <c r="K17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8" s="68" t="str">
        <f>IF(UpgradeScores[[#This Row],[Grade]]="", "",
   _xlfn.RANK.EQ(UpgradeScores[[#This Row],[Grade]], UpgradeScores[Grade], 1)
)</f>
        <v/>
      </c>
    </row>
    <row r="179" spans="1:12" x14ac:dyDescent="0.3">
      <c r="A179" s="16">
        <f t="shared" si="9"/>
        <v>45</v>
      </c>
      <c r="B179" s="68" t="str">
        <f>_xlfn.XLOOKUP(UpgradeScores[[#This Row],[Planet '#]],Hybridtable[Planet '#],Hybridtable[Name])</f>
        <v>Zero</v>
      </c>
      <c r="C179" s="68" t="s">
        <v>227</v>
      </c>
      <c r="D179" s="78" t="str" cm="1">
        <f t="array" ref="D17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79" s="78" t="str" cm="1">
        <f t="array" ref="E17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79" s="77" t="str" cm="1">
        <f t="array" ref="F17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79" s="77" t="str" cm="1">
        <f t="array" ref="G17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7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79" s="79" t="str">
        <f>IF(COUNT(F179:G179)&lt;2,"",$N$16*UpgradeScores[[#This Row],[ROI Score]]+$O$16*UpgradeScores[[#This Row],[BE Score]])</f>
        <v/>
      </c>
      <c r="J179" s="79" t="str">
        <f t="shared" si="8"/>
        <v/>
      </c>
      <c r="K17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79" s="68" t="str">
        <f>IF(UpgradeScores[[#This Row],[Grade]]="", "",
   _xlfn.RANK.EQ(UpgradeScores[[#This Row],[Grade]], UpgradeScores[Grade], 1)
)</f>
        <v/>
      </c>
    </row>
    <row r="180" spans="1:12" x14ac:dyDescent="0.3">
      <c r="A180" s="16">
        <f t="shared" ref="A180:A211" si="10">INT((ROW()-ROW($A$2))/4)+1</f>
        <v>45</v>
      </c>
      <c r="B180" s="68" t="str">
        <f>_xlfn.XLOOKUP(UpgradeScores[[#This Row],[Planet '#]],Hybridtable[Planet '#],Hybridtable[Name])</f>
        <v>Zero</v>
      </c>
      <c r="C180" s="68" t="s">
        <v>159</v>
      </c>
      <c r="D180" s="78" t="str" cm="1">
        <f t="array" ref="D18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0" s="78" t="str" cm="1">
        <f t="array" ref="E18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0" s="77" t="str" cm="1">
        <f t="array" ref="F18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0" s="77" t="str" cm="1">
        <f t="array" ref="G18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0" s="79" t="str">
        <f>IF(COUNT(F180:G180)&lt;2,"",$N$16*UpgradeScores[[#This Row],[ROI Score]]+$O$16*UpgradeScores[[#This Row],[BE Score]])</f>
        <v/>
      </c>
      <c r="J180" s="79" t="str">
        <f t="shared" si="8"/>
        <v/>
      </c>
      <c r="K18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0" s="68" t="str">
        <f>IF(UpgradeScores[[#This Row],[Grade]]="", "",
   _xlfn.RANK.EQ(UpgradeScores[[#This Row],[Grade]], UpgradeScores[Grade], 1)
)</f>
        <v/>
      </c>
    </row>
    <row r="181" spans="1:12" x14ac:dyDescent="0.3">
      <c r="A181" s="16">
        <f t="shared" si="10"/>
        <v>45</v>
      </c>
      <c r="B181" s="68" t="str">
        <f>_xlfn.XLOOKUP(UpgradeScores[[#This Row],[Planet '#]],Hybridtable[Planet '#],Hybridtable[Name])</f>
        <v>Zero</v>
      </c>
      <c r="C181" s="68" t="s">
        <v>228</v>
      </c>
      <c r="D181" s="78" t="str" cm="1">
        <f t="array" ref="D18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1" s="78" t="str" cm="1">
        <f t="array" ref="E18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1" s="77" t="str" cm="1">
        <f t="array" ref="F18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1" s="77" t="str" cm="1">
        <f t="array" ref="G18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1" s="79" t="str">
        <f>IF(COUNT(F181:G181)&lt;2,"",$N$16*UpgradeScores[[#This Row],[ROI Score]]+$O$16*UpgradeScores[[#This Row],[BE Score]])</f>
        <v/>
      </c>
      <c r="J181" s="79" t="str">
        <f t="shared" si="8"/>
        <v/>
      </c>
      <c r="K18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1" s="68" t="str">
        <f>IF(UpgradeScores[[#This Row],[Grade]]="", "",
   _xlfn.RANK.EQ(UpgradeScores[[#This Row],[Grade]], UpgradeScores[Grade], 1)
)</f>
        <v/>
      </c>
    </row>
    <row r="182" spans="1:12" x14ac:dyDescent="0.3">
      <c r="A182" s="16">
        <f t="shared" si="10"/>
        <v>46</v>
      </c>
      <c r="B182" s="68" t="str">
        <f>_xlfn.XLOOKUP(UpgradeScores[[#This Row],[Planet '#]],Hybridtable[Planet '#],Hybridtable[Name])</f>
        <v>Sotomi</v>
      </c>
      <c r="C182" s="68" t="s">
        <v>226</v>
      </c>
      <c r="D182" s="78" t="str" cm="1">
        <f t="array" ref="D18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2" s="78" t="str" cm="1">
        <f t="array" ref="E18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2" s="77" t="str" cm="1">
        <f t="array" ref="F18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2" s="77" t="str" cm="1">
        <f t="array" ref="G18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2" s="79" t="str">
        <f>IF(COUNT(F182:G182)&lt;2,"",$N$16*UpgradeScores[[#This Row],[ROI Score]]+$O$16*UpgradeScores[[#This Row],[BE Score]])</f>
        <v/>
      </c>
      <c r="J182" s="79" t="str">
        <f t="shared" si="8"/>
        <v/>
      </c>
      <c r="K18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2" s="68" t="str">
        <f>IF(UpgradeScores[[#This Row],[Grade]]="", "",
   _xlfn.RANK.EQ(UpgradeScores[[#This Row],[Grade]], UpgradeScores[Grade], 1)
)</f>
        <v/>
      </c>
    </row>
    <row r="183" spans="1:12" x14ac:dyDescent="0.3">
      <c r="A183" s="16">
        <f t="shared" si="10"/>
        <v>46</v>
      </c>
      <c r="B183" s="68" t="str">
        <f>_xlfn.XLOOKUP(UpgradeScores[[#This Row],[Planet '#]],Hybridtable[Planet '#],Hybridtable[Name])</f>
        <v>Sotomi</v>
      </c>
      <c r="C183" s="68" t="s">
        <v>227</v>
      </c>
      <c r="D183" s="78" t="str" cm="1">
        <f t="array" ref="D18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3" s="78" t="str" cm="1">
        <f t="array" ref="E18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3" s="77" t="str" cm="1">
        <f t="array" ref="F18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3" s="77" t="str" cm="1">
        <f t="array" ref="G18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3" s="79" t="str">
        <f>IF(COUNT(F183:G183)&lt;2,"",$N$16*UpgradeScores[[#This Row],[ROI Score]]+$O$16*UpgradeScores[[#This Row],[BE Score]])</f>
        <v/>
      </c>
      <c r="J183" s="79" t="str">
        <f t="shared" si="8"/>
        <v/>
      </c>
      <c r="K18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3" s="68" t="str">
        <f>IF(UpgradeScores[[#This Row],[Grade]]="", "",
   _xlfn.RANK.EQ(UpgradeScores[[#This Row],[Grade]], UpgradeScores[Grade], 1)
)</f>
        <v/>
      </c>
    </row>
    <row r="184" spans="1:12" x14ac:dyDescent="0.3">
      <c r="A184" s="16">
        <f t="shared" si="10"/>
        <v>46</v>
      </c>
      <c r="B184" s="68" t="str">
        <f>_xlfn.XLOOKUP(UpgradeScores[[#This Row],[Planet '#]],Hybridtable[Planet '#],Hybridtable[Name])</f>
        <v>Sotomi</v>
      </c>
      <c r="C184" s="68" t="s">
        <v>159</v>
      </c>
      <c r="D184" s="78" t="str" cm="1">
        <f t="array" ref="D18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4" s="78" t="str" cm="1">
        <f t="array" ref="E18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4" s="77" t="str" cm="1">
        <f t="array" ref="F18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4" s="77" t="str" cm="1">
        <f t="array" ref="G18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4" s="79" t="str">
        <f>IF(COUNT(F184:G184)&lt;2,"",$N$16*UpgradeScores[[#This Row],[ROI Score]]+$O$16*UpgradeScores[[#This Row],[BE Score]])</f>
        <v/>
      </c>
      <c r="J184" s="79" t="str">
        <f t="shared" si="8"/>
        <v/>
      </c>
      <c r="K18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4" s="68" t="str">
        <f>IF(UpgradeScores[[#This Row],[Grade]]="", "",
   _xlfn.RANK.EQ(UpgradeScores[[#This Row],[Grade]], UpgradeScores[Grade], 1)
)</f>
        <v/>
      </c>
    </row>
    <row r="185" spans="1:12" x14ac:dyDescent="0.3">
      <c r="A185" s="16">
        <f t="shared" si="10"/>
        <v>46</v>
      </c>
      <c r="B185" s="68" t="str">
        <f>_xlfn.XLOOKUP(UpgradeScores[[#This Row],[Planet '#]],Hybridtable[Planet '#],Hybridtable[Name])</f>
        <v>Sotomi</v>
      </c>
      <c r="C185" s="68" t="s">
        <v>228</v>
      </c>
      <c r="D185" s="78" t="str" cm="1">
        <f t="array" ref="D18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5" s="78" t="str" cm="1">
        <f t="array" ref="E18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5" s="77" t="str" cm="1">
        <f t="array" ref="F18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5" s="77" t="str" cm="1">
        <f t="array" ref="G18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5" s="79" t="str">
        <f>IF(COUNT(F185:G185)&lt;2,"",$N$16*UpgradeScores[[#This Row],[ROI Score]]+$O$16*UpgradeScores[[#This Row],[BE Score]])</f>
        <v/>
      </c>
      <c r="J185" s="79" t="str">
        <f t="shared" si="8"/>
        <v/>
      </c>
      <c r="K18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5" s="68" t="str">
        <f>IF(UpgradeScores[[#This Row],[Grade]]="", "",
   _xlfn.RANK.EQ(UpgradeScores[[#This Row],[Grade]], UpgradeScores[Grade], 1)
)</f>
        <v/>
      </c>
    </row>
    <row r="186" spans="1:12" x14ac:dyDescent="0.3">
      <c r="A186" s="16">
        <f t="shared" si="10"/>
        <v>47</v>
      </c>
      <c r="B186" s="68" t="str">
        <f>_xlfn.XLOOKUP(UpgradeScores[[#This Row],[Planet '#]],Hybridtable[Planet '#],Hybridtable[Name])</f>
        <v>Remidian</v>
      </c>
      <c r="C186" s="68" t="s">
        <v>226</v>
      </c>
      <c r="D186" s="78" t="str" cm="1">
        <f t="array" ref="D18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6" s="78" t="str" cm="1">
        <f t="array" ref="E18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6" s="77" t="str" cm="1">
        <f t="array" ref="F18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6" s="77" t="str" cm="1">
        <f t="array" ref="G18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6" s="79" t="str">
        <f>IF(COUNT(F186:G186)&lt;2,"",$N$16*UpgradeScores[[#This Row],[ROI Score]]+$O$16*UpgradeScores[[#This Row],[BE Score]])</f>
        <v/>
      </c>
      <c r="J186" s="79" t="str">
        <f t="shared" si="8"/>
        <v/>
      </c>
      <c r="K18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6" s="68" t="str">
        <f>IF(UpgradeScores[[#This Row],[Grade]]="", "",
   _xlfn.RANK.EQ(UpgradeScores[[#This Row],[Grade]], UpgradeScores[Grade], 1)
)</f>
        <v/>
      </c>
    </row>
    <row r="187" spans="1:12" x14ac:dyDescent="0.3">
      <c r="A187" s="16">
        <f t="shared" si="10"/>
        <v>47</v>
      </c>
      <c r="B187" s="68" t="str">
        <f>_xlfn.XLOOKUP(UpgradeScores[[#This Row],[Planet '#]],Hybridtable[Planet '#],Hybridtable[Name])</f>
        <v>Remidian</v>
      </c>
      <c r="C187" s="68" t="s">
        <v>227</v>
      </c>
      <c r="D187" s="78" t="str" cm="1">
        <f t="array" ref="D18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7" s="78" t="str" cm="1">
        <f t="array" ref="E18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7" s="77" t="str" cm="1">
        <f t="array" ref="F18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7" s="77" t="str" cm="1">
        <f t="array" ref="G18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7" s="79" t="str">
        <f>IF(COUNT(F187:G187)&lt;2,"",$N$16*UpgradeScores[[#This Row],[ROI Score]]+$O$16*UpgradeScores[[#This Row],[BE Score]])</f>
        <v/>
      </c>
      <c r="J187" s="79" t="str">
        <f t="shared" si="8"/>
        <v/>
      </c>
      <c r="K18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7" s="68" t="str">
        <f>IF(UpgradeScores[[#This Row],[Grade]]="", "",
   _xlfn.RANK.EQ(UpgradeScores[[#This Row],[Grade]], UpgradeScores[Grade], 1)
)</f>
        <v/>
      </c>
    </row>
    <row r="188" spans="1:12" x14ac:dyDescent="0.3">
      <c r="A188" s="16">
        <f t="shared" si="10"/>
        <v>47</v>
      </c>
      <c r="B188" s="68" t="str">
        <f>_xlfn.XLOOKUP(UpgradeScores[[#This Row],[Planet '#]],Hybridtable[Planet '#],Hybridtable[Name])</f>
        <v>Remidian</v>
      </c>
      <c r="C188" s="68" t="s">
        <v>159</v>
      </c>
      <c r="D188" s="78" t="str" cm="1">
        <f t="array" ref="D18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8" s="78" t="str" cm="1">
        <f t="array" ref="E18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8" s="77" t="str" cm="1">
        <f t="array" ref="F18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8" s="77" t="str" cm="1">
        <f t="array" ref="G18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8" s="79" t="str">
        <f>IF(COUNT(F188:G188)&lt;2,"",$N$16*UpgradeScores[[#This Row],[ROI Score]]+$O$16*UpgradeScores[[#This Row],[BE Score]])</f>
        <v/>
      </c>
      <c r="J188" s="79" t="str">
        <f t="shared" si="8"/>
        <v/>
      </c>
      <c r="K18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8" s="68" t="str">
        <f>IF(UpgradeScores[[#This Row],[Grade]]="", "",
   _xlfn.RANK.EQ(UpgradeScores[[#This Row],[Grade]], UpgradeScores[Grade], 1)
)</f>
        <v/>
      </c>
    </row>
    <row r="189" spans="1:12" x14ac:dyDescent="0.3">
      <c r="A189" s="16">
        <f t="shared" si="10"/>
        <v>47</v>
      </c>
      <c r="B189" s="68" t="str">
        <f>_xlfn.XLOOKUP(UpgradeScores[[#This Row],[Planet '#]],Hybridtable[Planet '#],Hybridtable[Name])</f>
        <v>Remidian</v>
      </c>
      <c r="C189" s="68" t="s">
        <v>228</v>
      </c>
      <c r="D189" s="78" t="str" cm="1">
        <f t="array" ref="D18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89" s="78" t="str" cm="1">
        <f t="array" ref="E18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89" s="77" t="str" cm="1">
        <f t="array" ref="F18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89" s="77" t="str" cm="1">
        <f t="array" ref="G18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8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89" s="79" t="str">
        <f>IF(COUNT(F189:G189)&lt;2,"",$N$16*UpgradeScores[[#This Row],[ROI Score]]+$O$16*UpgradeScores[[#This Row],[BE Score]])</f>
        <v/>
      </c>
      <c r="J189" s="79" t="str">
        <f t="shared" si="8"/>
        <v/>
      </c>
      <c r="K18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89" s="68" t="str">
        <f>IF(UpgradeScores[[#This Row],[Grade]]="", "",
   _xlfn.RANK.EQ(UpgradeScores[[#This Row],[Grade]], UpgradeScores[Grade], 1)
)</f>
        <v/>
      </c>
    </row>
    <row r="190" spans="1:12" x14ac:dyDescent="0.3">
      <c r="A190" s="16">
        <f t="shared" si="10"/>
        <v>48</v>
      </c>
      <c r="B190" s="68" t="str">
        <f>_xlfn.XLOOKUP(UpgradeScores[[#This Row],[Planet '#]],Hybridtable[Planet '#],Hybridtable[Name])</f>
        <v>Muse</v>
      </c>
      <c r="C190" s="68" t="s">
        <v>226</v>
      </c>
      <c r="D190" s="78" t="str" cm="1">
        <f t="array" ref="D19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0" s="78" t="str" cm="1">
        <f t="array" ref="E19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0" s="77" t="str" cm="1">
        <f t="array" ref="F19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0" s="77" t="str" cm="1">
        <f t="array" ref="G19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0" s="79" t="str">
        <f>IF(COUNT(F190:G190)&lt;2,"",$N$16*UpgradeScores[[#This Row],[ROI Score]]+$O$16*UpgradeScores[[#This Row],[BE Score]])</f>
        <v/>
      </c>
      <c r="J190" s="79" t="str">
        <f t="shared" si="8"/>
        <v/>
      </c>
      <c r="K19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0" s="68" t="str">
        <f>IF(UpgradeScores[[#This Row],[Grade]]="", "",
   _xlfn.RANK.EQ(UpgradeScores[[#This Row],[Grade]], UpgradeScores[Grade], 1)
)</f>
        <v/>
      </c>
    </row>
    <row r="191" spans="1:12" x14ac:dyDescent="0.3">
      <c r="A191" s="16">
        <f t="shared" si="10"/>
        <v>48</v>
      </c>
      <c r="B191" s="68" t="str">
        <f>_xlfn.XLOOKUP(UpgradeScores[[#This Row],[Planet '#]],Hybridtable[Planet '#],Hybridtable[Name])</f>
        <v>Muse</v>
      </c>
      <c r="C191" s="68" t="s">
        <v>227</v>
      </c>
      <c r="D191" s="78" t="str" cm="1">
        <f t="array" ref="D19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1" s="78" t="str" cm="1">
        <f t="array" ref="E19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1" s="77" t="str" cm="1">
        <f t="array" ref="F19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1" s="77" t="str" cm="1">
        <f t="array" ref="G19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1" s="79" t="str">
        <f>IF(COUNT(F191:G191)&lt;2,"",$N$16*UpgradeScores[[#This Row],[ROI Score]]+$O$16*UpgradeScores[[#This Row],[BE Score]])</f>
        <v/>
      </c>
      <c r="J191" s="79" t="str">
        <f t="shared" si="8"/>
        <v/>
      </c>
      <c r="K19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1" s="68" t="str">
        <f>IF(UpgradeScores[[#This Row],[Grade]]="", "",
   _xlfn.RANK.EQ(UpgradeScores[[#This Row],[Grade]], UpgradeScores[Grade], 1)
)</f>
        <v/>
      </c>
    </row>
    <row r="192" spans="1:12" x14ac:dyDescent="0.3">
      <c r="A192" s="16">
        <f t="shared" si="10"/>
        <v>48</v>
      </c>
      <c r="B192" s="68" t="str">
        <f>_xlfn.XLOOKUP(UpgradeScores[[#This Row],[Planet '#]],Hybridtable[Planet '#],Hybridtable[Name])</f>
        <v>Muse</v>
      </c>
      <c r="C192" s="68" t="s">
        <v>159</v>
      </c>
      <c r="D192" s="78" t="str" cm="1">
        <f t="array" ref="D19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2" s="78" t="str" cm="1">
        <f t="array" ref="E19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2" s="77" t="str" cm="1">
        <f t="array" ref="F19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2" s="77" t="str" cm="1">
        <f t="array" ref="G19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2" s="79" t="str">
        <f>IF(COUNT(F192:G192)&lt;2,"",$N$16*UpgradeScores[[#This Row],[ROI Score]]+$O$16*UpgradeScores[[#This Row],[BE Score]])</f>
        <v/>
      </c>
      <c r="J192" s="79" t="str">
        <f t="shared" si="8"/>
        <v/>
      </c>
      <c r="K19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2" s="68" t="str">
        <f>IF(UpgradeScores[[#This Row],[Grade]]="", "",
   _xlfn.RANK.EQ(UpgradeScores[[#This Row],[Grade]], UpgradeScores[Grade], 1)
)</f>
        <v/>
      </c>
    </row>
    <row r="193" spans="1:12" x14ac:dyDescent="0.3">
      <c r="A193" s="16">
        <f t="shared" si="10"/>
        <v>48</v>
      </c>
      <c r="B193" s="68" t="str">
        <f>_xlfn.XLOOKUP(UpgradeScores[[#This Row],[Planet '#]],Hybridtable[Planet '#],Hybridtable[Name])</f>
        <v>Muse</v>
      </c>
      <c r="C193" s="68" t="s">
        <v>228</v>
      </c>
      <c r="D193" s="78" t="str" cm="1">
        <f t="array" ref="D19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3" s="78" t="str" cm="1">
        <f t="array" ref="E19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3" s="77" t="str" cm="1">
        <f t="array" ref="F19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3" s="77" t="str" cm="1">
        <f t="array" ref="G19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3" s="79" t="str">
        <f>IF(COUNT(F193:G193)&lt;2,"",$N$16*UpgradeScores[[#This Row],[ROI Score]]+$O$16*UpgradeScores[[#This Row],[BE Score]])</f>
        <v/>
      </c>
      <c r="J193" s="79" t="str">
        <f t="shared" si="8"/>
        <v/>
      </c>
      <c r="K19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3" s="68" t="str">
        <f>IF(UpgradeScores[[#This Row],[Grade]]="", "",
   _xlfn.RANK.EQ(UpgradeScores[[#This Row],[Grade]], UpgradeScores[Grade], 1)
)</f>
        <v/>
      </c>
    </row>
    <row r="194" spans="1:12" x14ac:dyDescent="0.3">
      <c r="A194" s="16">
        <f t="shared" si="10"/>
        <v>49</v>
      </c>
      <c r="B194" s="68" t="str">
        <f>_xlfn.XLOOKUP(UpgradeScores[[#This Row],[Planet '#]],Hybridtable[Planet '#],Hybridtable[Name])</f>
        <v>Arabis</v>
      </c>
      <c r="C194" s="68" t="s">
        <v>226</v>
      </c>
      <c r="D194" s="78" t="str" cm="1">
        <f t="array" ref="D19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4" s="78" t="str" cm="1">
        <f t="array" ref="E19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4" s="77" t="str" cm="1">
        <f t="array" ref="F19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4" s="77" t="str" cm="1">
        <f t="array" ref="G19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4" s="79" t="str">
        <f>IF(COUNT(F194:G194)&lt;2,"",$N$16*UpgradeScores[[#This Row],[ROI Score]]+$O$16*UpgradeScores[[#This Row],[BE Score]])</f>
        <v/>
      </c>
      <c r="J194" s="79" t="str">
        <f t="shared" ref="J194:J257" si="11">IF(COUNT(F194:G194)&lt;2,"",SQRT(F194*G194))</f>
        <v/>
      </c>
      <c r="K19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4" s="68" t="str">
        <f>IF(UpgradeScores[[#This Row],[Grade]]="", "",
   _xlfn.RANK.EQ(UpgradeScores[[#This Row],[Grade]], UpgradeScores[Grade], 1)
)</f>
        <v/>
      </c>
    </row>
    <row r="195" spans="1:12" x14ac:dyDescent="0.3">
      <c r="A195" s="16">
        <f t="shared" si="10"/>
        <v>49</v>
      </c>
      <c r="B195" s="68" t="str">
        <f>_xlfn.XLOOKUP(UpgradeScores[[#This Row],[Planet '#]],Hybridtable[Planet '#],Hybridtable[Name])</f>
        <v>Arabis</v>
      </c>
      <c r="C195" s="68" t="s">
        <v>227</v>
      </c>
      <c r="D195" s="78" t="str" cm="1">
        <f t="array" ref="D19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5" s="78" t="str" cm="1">
        <f t="array" ref="E19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5" s="77" t="str" cm="1">
        <f t="array" ref="F19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5" s="77" t="str" cm="1">
        <f t="array" ref="G19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5" s="79" t="str">
        <f>IF(COUNT(F195:G195)&lt;2,"",$N$16*UpgradeScores[[#This Row],[ROI Score]]+$O$16*UpgradeScores[[#This Row],[BE Score]])</f>
        <v/>
      </c>
      <c r="J195" s="79" t="str">
        <f t="shared" si="11"/>
        <v/>
      </c>
      <c r="K19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5" s="68" t="str">
        <f>IF(UpgradeScores[[#This Row],[Grade]]="", "",
   _xlfn.RANK.EQ(UpgradeScores[[#This Row],[Grade]], UpgradeScores[Grade], 1)
)</f>
        <v/>
      </c>
    </row>
    <row r="196" spans="1:12" x14ac:dyDescent="0.3">
      <c r="A196" s="16">
        <f t="shared" si="10"/>
        <v>49</v>
      </c>
      <c r="B196" s="68" t="str">
        <f>_xlfn.XLOOKUP(UpgradeScores[[#This Row],[Planet '#]],Hybridtable[Planet '#],Hybridtable[Name])</f>
        <v>Arabis</v>
      </c>
      <c r="C196" s="68" t="s">
        <v>159</v>
      </c>
      <c r="D196" s="78" t="str" cm="1">
        <f t="array" ref="D19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6" s="78" t="str" cm="1">
        <f t="array" ref="E19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6" s="77" t="str" cm="1">
        <f t="array" ref="F19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6" s="77" t="str" cm="1">
        <f t="array" ref="G19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6" s="79" t="str">
        <f>IF(COUNT(F196:G196)&lt;2,"",$N$16*UpgradeScores[[#This Row],[ROI Score]]+$O$16*UpgradeScores[[#This Row],[BE Score]])</f>
        <v/>
      </c>
      <c r="J196" s="79" t="str">
        <f t="shared" si="11"/>
        <v/>
      </c>
      <c r="K19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6" s="68" t="str">
        <f>IF(UpgradeScores[[#This Row],[Grade]]="", "",
   _xlfn.RANK.EQ(UpgradeScores[[#This Row],[Grade]], UpgradeScores[Grade], 1)
)</f>
        <v/>
      </c>
    </row>
    <row r="197" spans="1:12" x14ac:dyDescent="0.3">
      <c r="A197" s="16">
        <f t="shared" si="10"/>
        <v>49</v>
      </c>
      <c r="B197" s="68" t="str">
        <f>_xlfn.XLOOKUP(UpgradeScores[[#This Row],[Planet '#]],Hybridtable[Planet '#],Hybridtable[Name])</f>
        <v>Arabis</v>
      </c>
      <c r="C197" s="68" t="s">
        <v>228</v>
      </c>
      <c r="D197" s="78" t="str" cm="1">
        <f t="array" ref="D19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7" s="78" t="str" cm="1">
        <f t="array" ref="E19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7" s="77" t="str" cm="1">
        <f t="array" ref="F19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7" s="77" t="str" cm="1">
        <f t="array" ref="G19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7" s="79" t="str">
        <f>IF(COUNT(F197:G197)&lt;2,"",$N$16*UpgradeScores[[#This Row],[ROI Score]]+$O$16*UpgradeScores[[#This Row],[BE Score]])</f>
        <v/>
      </c>
      <c r="J197" s="79" t="str">
        <f t="shared" si="11"/>
        <v/>
      </c>
      <c r="K19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7" s="68" t="str">
        <f>IF(UpgradeScores[[#This Row],[Grade]]="", "",
   _xlfn.RANK.EQ(UpgradeScores[[#This Row],[Grade]], UpgradeScores[Grade], 1)
)</f>
        <v/>
      </c>
    </row>
    <row r="198" spans="1:12" x14ac:dyDescent="0.3">
      <c r="A198" s="16">
        <f t="shared" si="10"/>
        <v>50</v>
      </c>
      <c r="B198" s="68" t="str">
        <f>_xlfn.XLOOKUP(UpgradeScores[[#This Row],[Planet '#]],Hybridtable[Planet '#],Hybridtable[Name])</f>
        <v>Vesna</v>
      </c>
      <c r="C198" s="68" t="s">
        <v>226</v>
      </c>
      <c r="D198" s="78" t="str" cm="1">
        <f t="array" ref="D19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8" s="78" t="str" cm="1">
        <f t="array" ref="E19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8" s="77" t="str" cm="1">
        <f t="array" ref="F19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8" s="77" t="str" cm="1">
        <f t="array" ref="G19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8" s="79" t="str">
        <f>IF(COUNT(F198:G198)&lt;2,"",$N$16*UpgradeScores[[#This Row],[ROI Score]]+$O$16*UpgradeScores[[#This Row],[BE Score]])</f>
        <v/>
      </c>
      <c r="J198" s="79" t="str">
        <f t="shared" si="11"/>
        <v/>
      </c>
      <c r="K19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8" s="68" t="str">
        <f>IF(UpgradeScores[[#This Row],[Grade]]="", "",
   _xlfn.RANK.EQ(UpgradeScores[[#This Row],[Grade]], UpgradeScores[Grade], 1)
)</f>
        <v/>
      </c>
    </row>
    <row r="199" spans="1:12" x14ac:dyDescent="0.3">
      <c r="A199" s="16">
        <f t="shared" si="10"/>
        <v>50</v>
      </c>
      <c r="B199" s="68" t="str">
        <f>_xlfn.XLOOKUP(UpgradeScores[[#This Row],[Planet '#]],Hybridtable[Planet '#],Hybridtable[Name])</f>
        <v>Vesna</v>
      </c>
      <c r="C199" s="68" t="s">
        <v>227</v>
      </c>
      <c r="D199" s="78" t="str" cm="1">
        <f t="array" ref="D19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199" s="78" t="str" cm="1">
        <f t="array" ref="E19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199" s="77" t="str" cm="1">
        <f t="array" ref="F19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199" s="77" t="str" cm="1">
        <f t="array" ref="G19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19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199" s="79" t="str">
        <f>IF(COUNT(F199:G199)&lt;2,"",$N$16*UpgradeScores[[#This Row],[ROI Score]]+$O$16*UpgradeScores[[#This Row],[BE Score]])</f>
        <v/>
      </c>
      <c r="J199" s="79" t="str">
        <f t="shared" si="11"/>
        <v/>
      </c>
      <c r="K19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199" s="68" t="str">
        <f>IF(UpgradeScores[[#This Row],[Grade]]="", "",
   _xlfn.RANK.EQ(UpgradeScores[[#This Row],[Grade]], UpgradeScores[Grade], 1)
)</f>
        <v/>
      </c>
    </row>
    <row r="200" spans="1:12" x14ac:dyDescent="0.3">
      <c r="A200" s="16">
        <f t="shared" si="10"/>
        <v>50</v>
      </c>
      <c r="B200" s="68" t="str">
        <f>_xlfn.XLOOKUP(UpgradeScores[[#This Row],[Planet '#]],Hybridtable[Planet '#],Hybridtable[Name])</f>
        <v>Vesna</v>
      </c>
      <c r="C200" s="68" t="s">
        <v>159</v>
      </c>
      <c r="D200" s="78" t="str" cm="1">
        <f t="array" ref="D20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0" s="78" t="str" cm="1">
        <f t="array" ref="E20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0" s="77" t="str" cm="1">
        <f t="array" ref="F20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0" s="77" t="str" cm="1">
        <f t="array" ref="G20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0" s="79" t="str">
        <f>IF(COUNT(F200:G200)&lt;2,"",$N$16*UpgradeScores[[#This Row],[ROI Score]]+$O$16*UpgradeScores[[#This Row],[BE Score]])</f>
        <v/>
      </c>
      <c r="J200" s="79" t="str">
        <f t="shared" si="11"/>
        <v/>
      </c>
      <c r="K20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0" s="68" t="str">
        <f>IF(UpgradeScores[[#This Row],[Grade]]="", "",
   _xlfn.RANK.EQ(UpgradeScores[[#This Row],[Grade]], UpgradeScores[Grade], 1)
)</f>
        <v/>
      </c>
    </row>
    <row r="201" spans="1:12" x14ac:dyDescent="0.3">
      <c r="A201" s="16">
        <f t="shared" si="10"/>
        <v>50</v>
      </c>
      <c r="B201" s="68" t="str">
        <f>_xlfn.XLOOKUP(UpgradeScores[[#This Row],[Planet '#]],Hybridtable[Planet '#],Hybridtable[Name])</f>
        <v>Vesna</v>
      </c>
      <c r="C201" s="68" t="s">
        <v>228</v>
      </c>
      <c r="D201" s="78" t="str" cm="1">
        <f t="array" ref="D20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1" s="78" t="str" cm="1">
        <f t="array" ref="E20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1" s="77" t="str" cm="1">
        <f t="array" ref="F20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1" s="77" t="str" cm="1">
        <f t="array" ref="G20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1" s="79" t="str">
        <f>IF(COUNT(F201:G201)&lt;2,"",$N$16*UpgradeScores[[#This Row],[ROI Score]]+$O$16*UpgradeScores[[#This Row],[BE Score]])</f>
        <v/>
      </c>
      <c r="J201" s="79" t="str">
        <f t="shared" si="11"/>
        <v/>
      </c>
      <c r="K20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1" s="68" t="str">
        <f>IF(UpgradeScores[[#This Row],[Grade]]="", "",
   _xlfn.RANK.EQ(UpgradeScores[[#This Row],[Grade]], UpgradeScores[Grade], 1)
)</f>
        <v/>
      </c>
    </row>
    <row r="202" spans="1:12" x14ac:dyDescent="0.3">
      <c r="A202" s="16">
        <f t="shared" si="10"/>
        <v>51</v>
      </c>
      <c r="B202" s="68" t="str">
        <f>_xlfn.XLOOKUP(UpgradeScores[[#This Row],[Planet '#]],Hybridtable[Planet '#],Hybridtable[Name])</f>
        <v>Chandra</v>
      </c>
      <c r="C202" s="68" t="s">
        <v>226</v>
      </c>
      <c r="D202" s="78" t="str" cm="1">
        <f t="array" ref="D20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2" s="78" t="str" cm="1">
        <f t="array" ref="E20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2" s="77" t="str" cm="1">
        <f t="array" ref="F20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2" s="77" t="str" cm="1">
        <f t="array" ref="G20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2" s="79" t="str">
        <f>IF(COUNT(F202:G202)&lt;2,"",$N$16*UpgradeScores[[#This Row],[ROI Score]]+$O$16*UpgradeScores[[#This Row],[BE Score]])</f>
        <v/>
      </c>
      <c r="J202" s="79" t="str">
        <f t="shared" si="11"/>
        <v/>
      </c>
      <c r="K20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2" s="68" t="str">
        <f>IF(UpgradeScores[[#This Row],[Grade]]="", "",
   _xlfn.RANK.EQ(UpgradeScores[[#This Row],[Grade]], UpgradeScores[Grade], 1)
)</f>
        <v/>
      </c>
    </row>
    <row r="203" spans="1:12" x14ac:dyDescent="0.3">
      <c r="A203" s="16">
        <f t="shared" si="10"/>
        <v>51</v>
      </c>
      <c r="B203" s="68" t="str">
        <f>_xlfn.XLOOKUP(UpgradeScores[[#This Row],[Planet '#]],Hybridtable[Planet '#],Hybridtable[Name])</f>
        <v>Chandra</v>
      </c>
      <c r="C203" s="68" t="s">
        <v>227</v>
      </c>
      <c r="D203" s="78" t="str" cm="1">
        <f t="array" ref="D20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3" s="78" t="str" cm="1">
        <f t="array" ref="E20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3" s="77" t="str" cm="1">
        <f t="array" ref="F20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3" s="77" t="str" cm="1">
        <f t="array" ref="G20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3" s="79" t="str">
        <f>IF(COUNT(F203:G203)&lt;2,"",$N$16*UpgradeScores[[#This Row],[ROI Score]]+$O$16*UpgradeScores[[#This Row],[BE Score]])</f>
        <v/>
      </c>
      <c r="J203" s="79" t="str">
        <f t="shared" si="11"/>
        <v/>
      </c>
      <c r="K20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3" s="68" t="str">
        <f>IF(UpgradeScores[[#This Row],[Grade]]="", "",
   _xlfn.RANK.EQ(UpgradeScores[[#This Row],[Grade]], UpgradeScores[Grade], 1)
)</f>
        <v/>
      </c>
    </row>
    <row r="204" spans="1:12" x14ac:dyDescent="0.3">
      <c r="A204" s="16">
        <f t="shared" si="10"/>
        <v>51</v>
      </c>
      <c r="B204" s="68" t="str">
        <f>_xlfn.XLOOKUP(UpgradeScores[[#This Row],[Planet '#]],Hybridtable[Planet '#],Hybridtable[Name])</f>
        <v>Chandra</v>
      </c>
      <c r="C204" s="68" t="s">
        <v>159</v>
      </c>
      <c r="D204" s="78" t="str" cm="1">
        <f t="array" ref="D20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4" s="78" t="str" cm="1">
        <f t="array" ref="E20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4" s="77" t="str" cm="1">
        <f t="array" ref="F20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4" s="77" t="str" cm="1">
        <f t="array" ref="G20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4" s="79" t="str">
        <f>IF(COUNT(F204:G204)&lt;2,"",$N$16*UpgradeScores[[#This Row],[ROI Score]]+$O$16*UpgradeScores[[#This Row],[BE Score]])</f>
        <v/>
      </c>
      <c r="J204" s="79" t="str">
        <f t="shared" si="11"/>
        <v/>
      </c>
      <c r="K20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4" s="68" t="str">
        <f>IF(UpgradeScores[[#This Row],[Grade]]="", "",
   _xlfn.RANK.EQ(UpgradeScores[[#This Row],[Grade]], UpgradeScores[Grade], 1)
)</f>
        <v/>
      </c>
    </row>
    <row r="205" spans="1:12" x14ac:dyDescent="0.3">
      <c r="A205" s="16">
        <f t="shared" si="10"/>
        <v>51</v>
      </c>
      <c r="B205" s="68" t="str">
        <f>_xlfn.XLOOKUP(UpgradeScores[[#This Row],[Planet '#]],Hybridtable[Planet '#],Hybridtable[Name])</f>
        <v>Chandra</v>
      </c>
      <c r="C205" s="68" t="s">
        <v>228</v>
      </c>
      <c r="D205" s="78" t="str" cm="1">
        <f t="array" ref="D20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5" s="78" t="str" cm="1">
        <f t="array" ref="E20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5" s="77" t="str" cm="1">
        <f t="array" ref="F20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5" s="77" t="str" cm="1">
        <f t="array" ref="G20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5" s="79" t="str">
        <f>IF(COUNT(F205:G205)&lt;2,"",$N$16*UpgradeScores[[#This Row],[ROI Score]]+$O$16*UpgradeScores[[#This Row],[BE Score]])</f>
        <v/>
      </c>
      <c r="J205" s="79" t="str">
        <f t="shared" si="11"/>
        <v/>
      </c>
      <c r="K20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5" s="68" t="str">
        <f>IF(UpgradeScores[[#This Row],[Grade]]="", "",
   _xlfn.RANK.EQ(UpgradeScores[[#This Row],[Grade]], UpgradeScores[Grade], 1)
)</f>
        <v/>
      </c>
    </row>
    <row r="206" spans="1:12" x14ac:dyDescent="0.3">
      <c r="A206" s="16">
        <f t="shared" si="10"/>
        <v>52</v>
      </c>
      <c r="B206" s="68" t="str">
        <f>_xlfn.XLOOKUP(UpgradeScores[[#This Row],[Planet '#]],Hybridtable[Planet '#],Hybridtable[Name])</f>
        <v>Vega</v>
      </c>
      <c r="C206" s="68" t="s">
        <v>226</v>
      </c>
      <c r="D206" s="78" t="str" cm="1">
        <f t="array" ref="D20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6" s="78" t="str" cm="1">
        <f t="array" ref="E20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6" s="77" t="str" cm="1">
        <f t="array" ref="F20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6" s="77" t="str" cm="1">
        <f t="array" ref="G20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6" s="79" t="str">
        <f>IF(COUNT(F206:G206)&lt;2,"",$N$16*UpgradeScores[[#This Row],[ROI Score]]+$O$16*UpgradeScores[[#This Row],[BE Score]])</f>
        <v/>
      </c>
      <c r="J206" s="79" t="str">
        <f t="shared" si="11"/>
        <v/>
      </c>
      <c r="K20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6" s="68" t="str">
        <f>IF(UpgradeScores[[#This Row],[Grade]]="", "",
   _xlfn.RANK.EQ(UpgradeScores[[#This Row],[Grade]], UpgradeScores[Grade], 1)
)</f>
        <v/>
      </c>
    </row>
    <row r="207" spans="1:12" x14ac:dyDescent="0.3">
      <c r="A207" s="16">
        <f t="shared" si="10"/>
        <v>52</v>
      </c>
      <c r="B207" s="68" t="str">
        <f>_xlfn.XLOOKUP(UpgradeScores[[#This Row],[Planet '#]],Hybridtable[Planet '#],Hybridtable[Name])</f>
        <v>Vega</v>
      </c>
      <c r="C207" s="68" t="s">
        <v>227</v>
      </c>
      <c r="D207" s="78" t="str" cm="1">
        <f t="array" ref="D20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7" s="78" t="str" cm="1">
        <f t="array" ref="E20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7" s="77" t="str" cm="1">
        <f t="array" ref="F20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7" s="77" t="str" cm="1">
        <f t="array" ref="G20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7" s="79" t="str">
        <f>IF(COUNT(F207:G207)&lt;2,"",$N$16*UpgradeScores[[#This Row],[ROI Score]]+$O$16*UpgradeScores[[#This Row],[BE Score]])</f>
        <v/>
      </c>
      <c r="J207" s="79" t="str">
        <f t="shared" si="11"/>
        <v/>
      </c>
      <c r="K20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7" s="68" t="str">
        <f>IF(UpgradeScores[[#This Row],[Grade]]="", "",
   _xlfn.RANK.EQ(UpgradeScores[[#This Row],[Grade]], UpgradeScores[Grade], 1)
)</f>
        <v/>
      </c>
    </row>
    <row r="208" spans="1:12" x14ac:dyDescent="0.3">
      <c r="A208" s="16">
        <f t="shared" si="10"/>
        <v>52</v>
      </c>
      <c r="B208" s="68" t="str">
        <f>_xlfn.XLOOKUP(UpgradeScores[[#This Row],[Planet '#]],Hybridtable[Planet '#],Hybridtable[Name])</f>
        <v>Vega</v>
      </c>
      <c r="C208" s="68" t="s">
        <v>159</v>
      </c>
      <c r="D208" s="78" t="str" cm="1">
        <f t="array" ref="D20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8" s="78" t="str" cm="1">
        <f t="array" ref="E20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8" s="77" t="str" cm="1">
        <f t="array" ref="F20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8" s="77" t="str" cm="1">
        <f t="array" ref="G20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8" s="79" t="str">
        <f>IF(COUNT(F208:G208)&lt;2,"",$N$16*UpgradeScores[[#This Row],[ROI Score]]+$O$16*UpgradeScores[[#This Row],[BE Score]])</f>
        <v/>
      </c>
      <c r="J208" s="79" t="str">
        <f t="shared" si="11"/>
        <v/>
      </c>
      <c r="K20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8" s="68" t="str">
        <f>IF(UpgradeScores[[#This Row],[Grade]]="", "",
   _xlfn.RANK.EQ(UpgradeScores[[#This Row],[Grade]], UpgradeScores[Grade], 1)
)</f>
        <v/>
      </c>
    </row>
    <row r="209" spans="1:12" x14ac:dyDescent="0.3">
      <c r="A209" s="16">
        <f t="shared" si="10"/>
        <v>52</v>
      </c>
      <c r="B209" s="68" t="str">
        <f>_xlfn.XLOOKUP(UpgradeScores[[#This Row],[Planet '#]],Hybridtable[Planet '#],Hybridtable[Name])</f>
        <v>Vega</v>
      </c>
      <c r="C209" s="68" t="s">
        <v>228</v>
      </c>
      <c r="D209" s="78" t="str" cm="1">
        <f t="array" ref="D20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09" s="78" t="str" cm="1">
        <f t="array" ref="E20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09" s="77" t="str" cm="1">
        <f t="array" ref="F20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09" s="77" t="str" cm="1">
        <f t="array" ref="G20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0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09" s="79" t="str">
        <f>IF(COUNT(F209:G209)&lt;2,"",$N$16*UpgradeScores[[#This Row],[ROI Score]]+$O$16*UpgradeScores[[#This Row],[BE Score]])</f>
        <v/>
      </c>
      <c r="J209" s="79" t="str">
        <f t="shared" si="11"/>
        <v/>
      </c>
      <c r="K20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09" s="68" t="str">
        <f>IF(UpgradeScores[[#This Row],[Grade]]="", "",
   _xlfn.RANK.EQ(UpgradeScores[[#This Row],[Grade]], UpgradeScores[Grade], 1)
)</f>
        <v/>
      </c>
    </row>
    <row r="210" spans="1:12" x14ac:dyDescent="0.3">
      <c r="A210" s="16">
        <f t="shared" si="10"/>
        <v>53</v>
      </c>
      <c r="B210" s="68" t="str">
        <f>_xlfn.XLOOKUP(UpgradeScores[[#This Row],[Planet '#]],Hybridtable[Planet '#],Hybridtable[Name])</f>
        <v>Crius</v>
      </c>
      <c r="C210" s="68" t="s">
        <v>226</v>
      </c>
      <c r="D210" s="78" t="str" cm="1">
        <f t="array" ref="D21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0" s="78" t="str" cm="1">
        <f t="array" ref="E21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0" s="77" t="str" cm="1">
        <f t="array" ref="F21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0" s="77" t="str" cm="1">
        <f t="array" ref="G21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0" s="79" t="str">
        <f>IF(COUNT(F210:G210)&lt;2,"",$N$16*UpgradeScores[[#This Row],[ROI Score]]+$O$16*UpgradeScores[[#This Row],[BE Score]])</f>
        <v/>
      </c>
      <c r="J210" s="79" t="str">
        <f t="shared" si="11"/>
        <v/>
      </c>
      <c r="K21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0" s="68" t="str">
        <f>IF(UpgradeScores[[#This Row],[Grade]]="", "",
   _xlfn.RANK.EQ(UpgradeScores[[#This Row],[Grade]], UpgradeScores[Grade], 1)
)</f>
        <v/>
      </c>
    </row>
    <row r="211" spans="1:12" x14ac:dyDescent="0.3">
      <c r="A211" s="16">
        <f t="shared" si="10"/>
        <v>53</v>
      </c>
      <c r="B211" s="68" t="str">
        <f>_xlfn.XLOOKUP(UpgradeScores[[#This Row],[Planet '#]],Hybridtable[Planet '#],Hybridtable[Name])</f>
        <v>Crius</v>
      </c>
      <c r="C211" s="68" t="s">
        <v>227</v>
      </c>
      <c r="D211" s="78" t="str" cm="1">
        <f t="array" ref="D21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1" s="78" t="str" cm="1">
        <f t="array" ref="E21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1" s="77" t="str" cm="1">
        <f t="array" ref="F21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1" s="77" t="str" cm="1">
        <f t="array" ref="G21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1" s="79" t="str">
        <f>IF(COUNT(F211:G211)&lt;2,"",$N$16*UpgradeScores[[#This Row],[ROI Score]]+$O$16*UpgradeScores[[#This Row],[BE Score]])</f>
        <v/>
      </c>
      <c r="J211" s="79" t="str">
        <f t="shared" si="11"/>
        <v/>
      </c>
      <c r="K21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1" s="68" t="str">
        <f>IF(UpgradeScores[[#This Row],[Grade]]="", "",
   _xlfn.RANK.EQ(UpgradeScores[[#This Row],[Grade]], UpgradeScores[Grade], 1)
)</f>
        <v/>
      </c>
    </row>
    <row r="212" spans="1:12" x14ac:dyDescent="0.3">
      <c r="A212" s="16">
        <f t="shared" ref="A212:A224" si="12">INT((ROW()-ROW($A$2))/4)+1</f>
        <v>53</v>
      </c>
      <c r="B212" s="68" t="str">
        <f>_xlfn.XLOOKUP(UpgradeScores[[#This Row],[Planet '#]],Hybridtable[Planet '#],Hybridtable[Name])</f>
        <v>Crius</v>
      </c>
      <c r="C212" s="68" t="s">
        <v>159</v>
      </c>
      <c r="D212" s="78" t="str" cm="1">
        <f t="array" ref="D21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2" s="78" t="str" cm="1">
        <f t="array" ref="E21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2" s="77" t="str" cm="1">
        <f t="array" ref="F21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2" s="77" t="str" cm="1">
        <f t="array" ref="G21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2" s="79" t="str">
        <f>IF(COUNT(F212:G212)&lt;2,"",$N$16*UpgradeScores[[#This Row],[ROI Score]]+$O$16*UpgradeScores[[#This Row],[BE Score]])</f>
        <v/>
      </c>
      <c r="J212" s="79" t="str">
        <f t="shared" si="11"/>
        <v/>
      </c>
      <c r="K21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2" s="68" t="str">
        <f>IF(UpgradeScores[[#This Row],[Grade]]="", "",
   _xlfn.RANK.EQ(UpgradeScores[[#This Row],[Grade]], UpgradeScores[Grade], 1)
)</f>
        <v/>
      </c>
    </row>
    <row r="213" spans="1:12" x14ac:dyDescent="0.3">
      <c r="A213" s="16">
        <f t="shared" si="12"/>
        <v>53</v>
      </c>
      <c r="B213" s="68" t="str">
        <f>_xlfn.XLOOKUP(UpgradeScores[[#This Row],[Planet '#]],Hybridtable[Planet '#],Hybridtable[Name])</f>
        <v>Crius</v>
      </c>
      <c r="C213" s="68" t="s">
        <v>228</v>
      </c>
      <c r="D213" s="78" t="str" cm="1">
        <f t="array" ref="D21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3" s="78" t="str" cm="1">
        <f t="array" ref="E21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3" s="77" t="str" cm="1">
        <f t="array" ref="F21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3" s="77" t="str" cm="1">
        <f t="array" ref="G21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3" s="79" t="str">
        <f>IF(COUNT(F213:G213)&lt;2,"",$N$16*UpgradeScores[[#This Row],[ROI Score]]+$O$16*UpgradeScores[[#This Row],[BE Score]])</f>
        <v/>
      </c>
      <c r="J213" s="79" t="str">
        <f t="shared" si="11"/>
        <v/>
      </c>
      <c r="K21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3" s="68" t="str">
        <f>IF(UpgradeScores[[#This Row],[Grade]]="", "",
   _xlfn.RANK.EQ(UpgradeScores[[#This Row],[Grade]], UpgradeScores[Grade], 1)
)</f>
        <v/>
      </c>
    </row>
    <row r="214" spans="1:12" x14ac:dyDescent="0.3">
      <c r="A214" s="16">
        <f t="shared" si="12"/>
        <v>54</v>
      </c>
      <c r="B214" s="68" t="str">
        <f>_xlfn.XLOOKUP(UpgradeScores[[#This Row],[Planet '#]],Hybridtable[Planet '#],Hybridtable[Name])</f>
        <v>Singhana</v>
      </c>
      <c r="C214" s="68" t="s">
        <v>226</v>
      </c>
      <c r="D214" s="78" t="str" cm="1">
        <f t="array" ref="D21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4" s="78" t="str" cm="1">
        <f t="array" ref="E21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4" s="77" t="str" cm="1">
        <f t="array" ref="F21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4" s="77" t="str" cm="1">
        <f t="array" ref="G21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4" s="79" t="str">
        <f>IF(COUNT(F214:G214)&lt;2,"",$N$16*UpgradeScores[[#This Row],[ROI Score]]+$O$16*UpgradeScores[[#This Row],[BE Score]])</f>
        <v/>
      </c>
      <c r="J214" s="79" t="str">
        <f t="shared" si="11"/>
        <v/>
      </c>
      <c r="K21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4" s="68" t="str">
        <f>IF(UpgradeScores[[#This Row],[Grade]]="", "",
   _xlfn.RANK.EQ(UpgradeScores[[#This Row],[Grade]], UpgradeScores[Grade], 1)
)</f>
        <v/>
      </c>
    </row>
    <row r="215" spans="1:12" x14ac:dyDescent="0.3">
      <c r="A215" s="16">
        <f t="shared" si="12"/>
        <v>54</v>
      </c>
      <c r="B215" s="68" t="str">
        <f>_xlfn.XLOOKUP(UpgradeScores[[#This Row],[Planet '#]],Hybridtable[Planet '#],Hybridtable[Name])</f>
        <v>Singhana</v>
      </c>
      <c r="C215" s="68" t="s">
        <v>227</v>
      </c>
      <c r="D215" s="78" t="str" cm="1">
        <f t="array" ref="D21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5" s="78" t="str" cm="1">
        <f t="array" ref="E21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5" s="77" t="str" cm="1">
        <f t="array" ref="F21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5" s="77" t="str" cm="1">
        <f t="array" ref="G21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5" s="79" t="str">
        <f>IF(COUNT(F215:G215)&lt;2,"",$N$16*UpgradeScores[[#This Row],[ROI Score]]+$O$16*UpgradeScores[[#This Row],[BE Score]])</f>
        <v/>
      </c>
      <c r="J215" s="79" t="str">
        <f t="shared" si="11"/>
        <v/>
      </c>
      <c r="K21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5" s="68" t="str">
        <f>IF(UpgradeScores[[#This Row],[Grade]]="", "",
   _xlfn.RANK.EQ(UpgradeScores[[#This Row],[Grade]], UpgradeScores[Grade], 1)
)</f>
        <v/>
      </c>
    </row>
    <row r="216" spans="1:12" x14ac:dyDescent="0.3">
      <c r="A216" s="16">
        <f t="shared" si="12"/>
        <v>54</v>
      </c>
      <c r="B216" s="68" t="str">
        <f>_xlfn.XLOOKUP(UpgradeScores[[#This Row],[Planet '#]],Hybridtable[Planet '#],Hybridtable[Name])</f>
        <v>Singhana</v>
      </c>
      <c r="C216" s="68" t="s">
        <v>159</v>
      </c>
      <c r="D216" s="78" t="str" cm="1">
        <f t="array" ref="D21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6" s="78" t="str" cm="1">
        <f t="array" ref="E21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6" s="77" t="str" cm="1">
        <f t="array" ref="F21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6" s="77" t="str" cm="1">
        <f t="array" ref="G21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6" s="79" t="str">
        <f>IF(COUNT(F216:G216)&lt;2,"",$N$16*UpgradeScores[[#This Row],[ROI Score]]+$O$16*UpgradeScores[[#This Row],[BE Score]])</f>
        <v/>
      </c>
      <c r="J216" s="79" t="str">
        <f t="shared" si="11"/>
        <v/>
      </c>
      <c r="K21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6" s="68" t="str">
        <f>IF(UpgradeScores[[#This Row],[Grade]]="", "",
   _xlfn.RANK.EQ(UpgradeScores[[#This Row],[Grade]], UpgradeScores[Grade], 1)
)</f>
        <v/>
      </c>
    </row>
    <row r="217" spans="1:12" x14ac:dyDescent="0.3">
      <c r="A217" s="16">
        <f t="shared" si="12"/>
        <v>54</v>
      </c>
      <c r="B217" s="68" t="str">
        <f>_xlfn.XLOOKUP(UpgradeScores[[#This Row],[Planet '#]],Hybridtable[Planet '#],Hybridtable[Name])</f>
        <v>Singhana</v>
      </c>
      <c r="C217" s="68" t="s">
        <v>228</v>
      </c>
      <c r="D217" s="78" t="str" cm="1">
        <f t="array" ref="D21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7" s="78" t="str" cm="1">
        <f t="array" ref="E21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7" s="77" t="str" cm="1">
        <f t="array" ref="F21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7" s="77" t="str" cm="1">
        <f t="array" ref="G21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7" s="79" t="str">
        <f>IF(COUNT(F217:G217)&lt;2,"",$N$16*UpgradeScores[[#This Row],[ROI Score]]+$O$16*UpgradeScores[[#This Row],[BE Score]])</f>
        <v/>
      </c>
      <c r="J217" s="79" t="str">
        <f t="shared" si="11"/>
        <v/>
      </c>
      <c r="K21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7" s="68" t="str">
        <f>IF(UpgradeScores[[#This Row],[Grade]]="", "",
   _xlfn.RANK.EQ(UpgradeScores[[#This Row],[Grade]], UpgradeScores[Grade], 1)
)</f>
        <v/>
      </c>
    </row>
    <row r="218" spans="1:12" x14ac:dyDescent="0.3">
      <c r="A218" s="16">
        <f t="shared" si="12"/>
        <v>55</v>
      </c>
      <c r="B218" s="68" t="str">
        <f>_xlfn.XLOOKUP(UpgradeScores[[#This Row],[Planet '#]],Hybridtable[Planet '#],Hybridtable[Name])</f>
        <v>Zumbia</v>
      </c>
      <c r="C218" s="68" t="s">
        <v>226</v>
      </c>
      <c r="D218" s="78" t="str" cm="1">
        <f t="array" ref="D21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8" s="78" t="str" cm="1">
        <f t="array" ref="E21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8" s="77" t="str" cm="1">
        <f t="array" ref="F21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8" s="77" t="str" cm="1">
        <f t="array" ref="G21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8" s="79" t="str">
        <f>IF(COUNT(F218:G218)&lt;2,"",$N$16*UpgradeScores[[#This Row],[ROI Score]]+$O$16*UpgradeScores[[#This Row],[BE Score]])</f>
        <v/>
      </c>
      <c r="J218" s="79" t="str">
        <f t="shared" si="11"/>
        <v/>
      </c>
      <c r="K21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8" s="68" t="str">
        <f>IF(UpgradeScores[[#This Row],[Grade]]="", "",
   _xlfn.RANK.EQ(UpgradeScores[[#This Row],[Grade]], UpgradeScores[Grade], 1)
)</f>
        <v/>
      </c>
    </row>
    <row r="219" spans="1:12" x14ac:dyDescent="0.3">
      <c r="A219" s="16">
        <f t="shared" si="12"/>
        <v>55</v>
      </c>
      <c r="B219" s="68" t="str">
        <f>_xlfn.XLOOKUP(UpgradeScores[[#This Row],[Planet '#]],Hybridtable[Planet '#],Hybridtable[Name])</f>
        <v>Zumbia</v>
      </c>
      <c r="C219" s="68" t="s">
        <v>227</v>
      </c>
      <c r="D219" s="78" t="str" cm="1">
        <f t="array" ref="D21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19" s="78" t="str" cm="1">
        <f t="array" ref="E21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19" s="77" t="str" cm="1">
        <f t="array" ref="F21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19" s="77" t="str" cm="1">
        <f t="array" ref="G21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1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19" s="79" t="str">
        <f>IF(COUNT(F219:G219)&lt;2,"",$N$16*UpgradeScores[[#This Row],[ROI Score]]+$O$16*UpgradeScores[[#This Row],[BE Score]])</f>
        <v/>
      </c>
      <c r="J219" s="79" t="str">
        <f t="shared" si="11"/>
        <v/>
      </c>
      <c r="K21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19" s="68" t="str">
        <f>IF(UpgradeScores[[#This Row],[Grade]]="", "",
   _xlfn.RANK.EQ(UpgradeScores[[#This Row],[Grade]], UpgradeScores[Grade], 1)
)</f>
        <v/>
      </c>
    </row>
    <row r="220" spans="1:12" x14ac:dyDescent="0.3">
      <c r="A220" s="16">
        <f t="shared" si="12"/>
        <v>55</v>
      </c>
      <c r="B220" s="68" t="str">
        <f>_xlfn.XLOOKUP(UpgradeScores[[#This Row],[Planet '#]],Hybridtable[Planet '#],Hybridtable[Name])</f>
        <v>Zumbia</v>
      </c>
      <c r="C220" s="68" t="s">
        <v>159</v>
      </c>
      <c r="D220" s="78" t="str" cm="1">
        <f t="array" ref="D22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0" s="78" t="str" cm="1">
        <f t="array" ref="E22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0" s="77" t="str" cm="1">
        <f t="array" ref="F22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0" s="77" t="str" cm="1">
        <f t="array" ref="G22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0" s="79" t="str">
        <f>IF(COUNT(F220:G220)&lt;2,"",$N$16*UpgradeScores[[#This Row],[ROI Score]]+$O$16*UpgradeScores[[#This Row],[BE Score]])</f>
        <v/>
      </c>
      <c r="J220" s="79" t="str">
        <f t="shared" si="11"/>
        <v/>
      </c>
      <c r="K22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0" s="68" t="str">
        <f>IF(UpgradeScores[[#This Row],[Grade]]="", "",
   _xlfn.RANK.EQ(UpgradeScores[[#This Row],[Grade]], UpgradeScores[Grade], 1)
)</f>
        <v/>
      </c>
    </row>
    <row r="221" spans="1:12" x14ac:dyDescent="0.3">
      <c r="A221" s="16">
        <f t="shared" si="12"/>
        <v>55</v>
      </c>
      <c r="B221" s="68" t="str">
        <f>_xlfn.XLOOKUP(UpgradeScores[[#This Row],[Planet '#]],Hybridtable[Planet '#],Hybridtable[Name])</f>
        <v>Zumbia</v>
      </c>
      <c r="C221" s="68" t="s">
        <v>228</v>
      </c>
      <c r="D221" s="78" t="str" cm="1">
        <f t="array" ref="D22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1" s="78" t="str" cm="1">
        <f t="array" ref="E22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1" s="77" t="str" cm="1">
        <f t="array" ref="F22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1" s="77" t="str" cm="1">
        <f t="array" ref="G22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1" s="79" t="str">
        <f>IF(COUNT(F221:G221)&lt;2,"",$N$16*UpgradeScores[[#This Row],[ROI Score]]+$O$16*UpgradeScores[[#This Row],[BE Score]])</f>
        <v/>
      </c>
      <c r="J221" s="79" t="str">
        <f t="shared" si="11"/>
        <v/>
      </c>
      <c r="K22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1" s="68" t="str">
        <f>IF(UpgradeScores[[#This Row],[Grade]]="", "",
   _xlfn.RANK.EQ(UpgradeScores[[#This Row],[Grade]], UpgradeScores[Grade], 1)
)</f>
        <v/>
      </c>
    </row>
    <row r="222" spans="1:12" x14ac:dyDescent="0.3">
      <c r="A222" s="16">
        <f t="shared" si="12"/>
        <v>56</v>
      </c>
      <c r="B222" s="68" t="str">
        <f>_xlfn.XLOOKUP(UpgradeScores[[#This Row],[Planet '#]],Hybridtable[Planet '#],Hybridtable[Name])</f>
        <v>Elysium</v>
      </c>
      <c r="C222" s="68" t="s">
        <v>226</v>
      </c>
      <c r="D222" s="78" t="str" cm="1">
        <f t="array" ref="D22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2" s="78" t="str" cm="1">
        <f t="array" ref="E22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2" s="77" t="str" cm="1">
        <f t="array" ref="F22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2" s="77" t="str" cm="1">
        <f t="array" ref="G22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2" s="79" t="str">
        <f>IF(COUNT(F222:G222)&lt;2,"",$N$16*UpgradeScores[[#This Row],[ROI Score]]+$O$16*UpgradeScores[[#This Row],[BE Score]])</f>
        <v/>
      </c>
      <c r="J222" s="79" t="str">
        <f t="shared" si="11"/>
        <v/>
      </c>
      <c r="K22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2" s="68" t="str">
        <f>IF(UpgradeScores[[#This Row],[Grade]]="", "",
   _xlfn.RANK.EQ(UpgradeScores[[#This Row],[Grade]], UpgradeScores[Grade], 1)
)</f>
        <v/>
      </c>
    </row>
    <row r="223" spans="1:12" x14ac:dyDescent="0.3">
      <c r="A223" s="16">
        <f t="shared" si="12"/>
        <v>56</v>
      </c>
      <c r="B223" s="68" t="str">
        <f>_xlfn.XLOOKUP(UpgradeScores[[#This Row],[Planet '#]],Hybridtable[Planet '#],Hybridtable[Name])</f>
        <v>Elysium</v>
      </c>
      <c r="C223" s="68" t="s">
        <v>227</v>
      </c>
      <c r="D223" s="78" t="str" cm="1">
        <f t="array" ref="D22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3" s="78" t="str" cm="1">
        <f t="array" ref="E22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3" s="77" t="str" cm="1">
        <f t="array" ref="F22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3" s="77" t="str" cm="1">
        <f t="array" ref="G22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3" s="79" t="str">
        <f>IF(COUNT(F223:G223)&lt;2,"",$N$16*UpgradeScores[[#This Row],[ROI Score]]+$O$16*UpgradeScores[[#This Row],[BE Score]])</f>
        <v/>
      </c>
      <c r="J223" s="79" t="str">
        <f t="shared" si="11"/>
        <v/>
      </c>
      <c r="K22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3" s="68" t="str">
        <f>IF(UpgradeScores[[#This Row],[Grade]]="", "",
   _xlfn.RANK.EQ(UpgradeScores[[#This Row],[Grade]], UpgradeScores[Grade], 1)
)</f>
        <v/>
      </c>
    </row>
    <row r="224" spans="1:12" x14ac:dyDescent="0.3">
      <c r="A224" s="16">
        <f t="shared" si="12"/>
        <v>56</v>
      </c>
      <c r="B224" s="68" t="str">
        <f>_xlfn.XLOOKUP(UpgradeScores[[#This Row],[Planet '#]],Hybridtable[Planet '#],Hybridtable[Name])</f>
        <v>Elysium</v>
      </c>
      <c r="C224" s="68" t="s">
        <v>159</v>
      </c>
      <c r="D224" s="78" t="str" cm="1">
        <f t="array" ref="D22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4" s="78" t="str" cm="1">
        <f t="array" ref="E22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4" s="77" t="str" cm="1">
        <f t="array" ref="F22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4" s="77" t="str" cm="1">
        <f t="array" ref="G22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4" s="79" t="str">
        <f>IF(COUNT(F224:G224)&lt;2,"",$N$16*UpgradeScores[[#This Row],[ROI Score]]+$O$16*UpgradeScores[[#This Row],[BE Score]])</f>
        <v/>
      </c>
      <c r="J224" s="79" t="str">
        <f t="shared" si="11"/>
        <v/>
      </c>
      <c r="K22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4" s="68" t="str">
        <f>IF(UpgradeScores[[#This Row],[Grade]]="", "",
   _xlfn.RANK.EQ(UpgradeScores[[#This Row],[Grade]], UpgradeScores[Grade], 1)
)</f>
        <v/>
      </c>
    </row>
    <row r="225" spans="1:12" x14ac:dyDescent="0.3">
      <c r="A225" s="16">
        <f t="shared" ref="A225:A256" si="13">INT((ROW()-ROW($A$2))/4)+1</f>
        <v>56</v>
      </c>
      <c r="B225" s="68" t="str">
        <f>_xlfn.XLOOKUP(UpgradeScores[[#This Row],[Planet '#]],Hybridtable[Planet '#],Hybridtable[Name])</f>
        <v>Elysium</v>
      </c>
      <c r="C225" s="68" t="s">
        <v>228</v>
      </c>
      <c r="D225" s="78" t="str" cm="1">
        <f t="array" ref="D22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5" s="78" t="str" cm="1">
        <f t="array" ref="E22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5" s="77" t="str" cm="1">
        <f t="array" ref="F22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5" s="77" t="str" cm="1">
        <f t="array" ref="G22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5" s="79" t="str">
        <f>IF(COUNT(F225:G225)&lt;2,"",$N$16*UpgradeScores[[#This Row],[ROI Score]]+$O$16*UpgradeScores[[#This Row],[BE Score]])</f>
        <v/>
      </c>
      <c r="J225" s="79" t="str">
        <f t="shared" si="11"/>
        <v/>
      </c>
      <c r="K22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5" s="68" t="str">
        <f>IF(UpgradeScores[[#This Row],[Grade]]="", "",
   _xlfn.RANK.EQ(UpgradeScores[[#This Row],[Grade]], UpgradeScores[Grade], 1)
)</f>
        <v/>
      </c>
    </row>
    <row r="226" spans="1:12" x14ac:dyDescent="0.3">
      <c r="A226" s="16">
        <f t="shared" si="13"/>
        <v>57</v>
      </c>
      <c r="B226" s="68" t="str">
        <f>_xlfn.XLOOKUP(UpgradeScores[[#This Row],[Planet '#]],Hybridtable[Planet '#],Hybridtable[Name])</f>
        <v>Nyota</v>
      </c>
      <c r="C226" s="68" t="s">
        <v>226</v>
      </c>
      <c r="D226" s="78" t="str" cm="1">
        <f t="array" ref="D22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6" s="78" t="str" cm="1">
        <f t="array" ref="E22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6" s="77" t="str" cm="1">
        <f t="array" ref="F22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6" s="77" t="str" cm="1">
        <f t="array" ref="G22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6" s="79" t="str">
        <f>IF(COUNT(F226:G226)&lt;2,"",$N$16*UpgradeScores[[#This Row],[ROI Score]]+$O$16*UpgradeScores[[#This Row],[BE Score]])</f>
        <v/>
      </c>
      <c r="J226" s="79" t="str">
        <f t="shared" si="11"/>
        <v/>
      </c>
      <c r="K22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6" s="68" t="str">
        <f>IF(UpgradeScores[[#This Row],[Grade]]="", "",
   _xlfn.RANK.EQ(UpgradeScores[[#This Row],[Grade]], UpgradeScores[Grade], 1)
)</f>
        <v/>
      </c>
    </row>
    <row r="227" spans="1:12" x14ac:dyDescent="0.3">
      <c r="A227" s="16">
        <f t="shared" si="13"/>
        <v>57</v>
      </c>
      <c r="B227" s="68" t="str">
        <f>_xlfn.XLOOKUP(UpgradeScores[[#This Row],[Planet '#]],Hybridtable[Planet '#],Hybridtable[Name])</f>
        <v>Nyota</v>
      </c>
      <c r="C227" s="68" t="s">
        <v>227</v>
      </c>
      <c r="D227" s="78" t="str" cm="1">
        <f t="array" ref="D22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7" s="78" t="str" cm="1">
        <f t="array" ref="E22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7" s="77" t="str" cm="1">
        <f t="array" ref="F22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7" s="77" t="str" cm="1">
        <f t="array" ref="G22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7" s="79" t="str">
        <f>IF(COUNT(F227:G227)&lt;2,"",$N$16*UpgradeScores[[#This Row],[ROI Score]]+$O$16*UpgradeScores[[#This Row],[BE Score]])</f>
        <v/>
      </c>
      <c r="J227" s="79" t="str">
        <f t="shared" si="11"/>
        <v/>
      </c>
      <c r="K22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7" s="68" t="str">
        <f>IF(UpgradeScores[[#This Row],[Grade]]="", "",
   _xlfn.RANK.EQ(UpgradeScores[[#This Row],[Grade]], UpgradeScores[Grade], 1)
)</f>
        <v/>
      </c>
    </row>
    <row r="228" spans="1:12" x14ac:dyDescent="0.3">
      <c r="A228" s="16">
        <f t="shared" si="13"/>
        <v>57</v>
      </c>
      <c r="B228" s="68" t="str">
        <f>_xlfn.XLOOKUP(UpgradeScores[[#This Row],[Planet '#]],Hybridtable[Planet '#],Hybridtable[Name])</f>
        <v>Nyota</v>
      </c>
      <c r="C228" s="68" t="s">
        <v>159</v>
      </c>
      <c r="D228" s="78" t="str" cm="1">
        <f t="array" ref="D22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8" s="78" t="str" cm="1">
        <f t="array" ref="E22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8" s="77" t="str" cm="1">
        <f t="array" ref="F22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8" s="77" t="str" cm="1">
        <f t="array" ref="G22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8" s="79" t="str">
        <f>IF(COUNT(F228:G228)&lt;2,"",$N$16*UpgradeScores[[#This Row],[ROI Score]]+$O$16*UpgradeScores[[#This Row],[BE Score]])</f>
        <v/>
      </c>
      <c r="J228" s="79" t="str">
        <f t="shared" si="11"/>
        <v/>
      </c>
      <c r="K22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8" s="68" t="str">
        <f>IF(UpgradeScores[[#This Row],[Grade]]="", "",
   _xlfn.RANK.EQ(UpgradeScores[[#This Row],[Grade]], UpgradeScores[Grade], 1)
)</f>
        <v/>
      </c>
    </row>
    <row r="229" spans="1:12" x14ac:dyDescent="0.3">
      <c r="A229" s="16">
        <f t="shared" si="13"/>
        <v>57</v>
      </c>
      <c r="B229" s="68" t="str">
        <f>_xlfn.XLOOKUP(UpgradeScores[[#This Row],[Planet '#]],Hybridtable[Planet '#],Hybridtable[Name])</f>
        <v>Nyota</v>
      </c>
      <c r="C229" s="68" t="s">
        <v>228</v>
      </c>
      <c r="D229" s="78" t="str" cm="1">
        <f t="array" ref="D22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29" s="78" t="str" cm="1">
        <f t="array" ref="E22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29" s="77" t="str" cm="1">
        <f t="array" ref="F22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29" s="77" t="str" cm="1">
        <f t="array" ref="G22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2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29" s="79" t="str">
        <f>IF(COUNT(F229:G229)&lt;2,"",$N$16*UpgradeScores[[#This Row],[ROI Score]]+$O$16*UpgradeScores[[#This Row],[BE Score]])</f>
        <v/>
      </c>
      <c r="J229" s="79" t="str">
        <f t="shared" si="11"/>
        <v/>
      </c>
      <c r="K22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29" s="68" t="str">
        <f>IF(UpgradeScores[[#This Row],[Grade]]="", "",
   _xlfn.RANK.EQ(UpgradeScores[[#This Row],[Grade]], UpgradeScores[Grade], 1)
)</f>
        <v/>
      </c>
    </row>
    <row r="230" spans="1:12" x14ac:dyDescent="0.3">
      <c r="A230" s="16">
        <f t="shared" si="13"/>
        <v>58</v>
      </c>
      <c r="B230" s="68" t="str">
        <f>_xlfn.XLOOKUP(UpgradeScores[[#This Row],[Planet '#]],Hybridtable[Planet '#],Hybridtable[Name])</f>
        <v>Doral</v>
      </c>
      <c r="C230" s="68" t="s">
        <v>226</v>
      </c>
      <c r="D230" s="78" t="str" cm="1">
        <f t="array" ref="D23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0" s="78" t="str" cm="1">
        <f t="array" ref="E23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0" s="77" t="str" cm="1">
        <f t="array" ref="F23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0" s="77" t="str" cm="1">
        <f t="array" ref="G23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0" s="79" t="str">
        <f>IF(COUNT(F230:G230)&lt;2,"",$N$16*UpgradeScores[[#This Row],[ROI Score]]+$O$16*UpgradeScores[[#This Row],[BE Score]])</f>
        <v/>
      </c>
      <c r="J230" s="79" t="str">
        <f t="shared" si="11"/>
        <v/>
      </c>
      <c r="K23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0" s="68" t="str">
        <f>IF(UpgradeScores[[#This Row],[Grade]]="", "",
   _xlfn.RANK.EQ(UpgradeScores[[#This Row],[Grade]], UpgradeScores[Grade], 1)
)</f>
        <v/>
      </c>
    </row>
    <row r="231" spans="1:12" x14ac:dyDescent="0.3">
      <c r="A231" s="16">
        <f t="shared" si="13"/>
        <v>58</v>
      </c>
      <c r="B231" s="68" t="str">
        <f>_xlfn.XLOOKUP(UpgradeScores[[#This Row],[Planet '#]],Hybridtable[Planet '#],Hybridtable[Name])</f>
        <v>Doral</v>
      </c>
      <c r="C231" s="68" t="s">
        <v>227</v>
      </c>
      <c r="D231" s="78" t="str" cm="1">
        <f t="array" ref="D23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1" s="78" t="str" cm="1">
        <f t="array" ref="E23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1" s="77" t="str" cm="1">
        <f t="array" ref="F23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1" s="77" t="str" cm="1">
        <f t="array" ref="G23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1" s="79" t="str">
        <f>IF(COUNT(F231:G231)&lt;2,"",$N$16*UpgradeScores[[#This Row],[ROI Score]]+$O$16*UpgradeScores[[#This Row],[BE Score]])</f>
        <v/>
      </c>
      <c r="J231" s="79" t="str">
        <f t="shared" si="11"/>
        <v/>
      </c>
      <c r="K23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1" s="68" t="str">
        <f>IF(UpgradeScores[[#This Row],[Grade]]="", "",
   _xlfn.RANK.EQ(UpgradeScores[[#This Row],[Grade]], UpgradeScores[Grade], 1)
)</f>
        <v/>
      </c>
    </row>
    <row r="232" spans="1:12" x14ac:dyDescent="0.3">
      <c r="A232" s="16">
        <f t="shared" si="13"/>
        <v>58</v>
      </c>
      <c r="B232" s="68" t="str">
        <f>_xlfn.XLOOKUP(UpgradeScores[[#This Row],[Planet '#]],Hybridtable[Planet '#],Hybridtable[Name])</f>
        <v>Doral</v>
      </c>
      <c r="C232" s="68" t="s">
        <v>159</v>
      </c>
      <c r="D232" s="78" t="str" cm="1">
        <f t="array" ref="D23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2" s="78" t="str" cm="1">
        <f t="array" ref="E23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2" s="77" t="str" cm="1">
        <f t="array" ref="F23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2" s="77" t="str" cm="1">
        <f t="array" ref="G23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2" s="79" t="str">
        <f>IF(COUNT(F232:G232)&lt;2,"",$N$16*UpgradeScores[[#This Row],[ROI Score]]+$O$16*UpgradeScores[[#This Row],[BE Score]])</f>
        <v/>
      </c>
      <c r="J232" s="79" t="str">
        <f t="shared" si="11"/>
        <v/>
      </c>
      <c r="K23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2" s="68" t="str">
        <f>IF(UpgradeScores[[#This Row],[Grade]]="", "",
   _xlfn.RANK.EQ(UpgradeScores[[#This Row],[Grade]], UpgradeScores[Grade], 1)
)</f>
        <v/>
      </c>
    </row>
    <row r="233" spans="1:12" x14ac:dyDescent="0.3">
      <c r="A233" s="16">
        <f t="shared" si="13"/>
        <v>58</v>
      </c>
      <c r="B233" s="68" t="str">
        <f>_xlfn.XLOOKUP(UpgradeScores[[#This Row],[Planet '#]],Hybridtable[Planet '#],Hybridtable[Name])</f>
        <v>Doral</v>
      </c>
      <c r="C233" s="68" t="s">
        <v>228</v>
      </c>
      <c r="D233" s="78" t="str" cm="1">
        <f t="array" ref="D23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3" s="78" t="str" cm="1">
        <f t="array" ref="E23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3" s="77" t="str" cm="1">
        <f t="array" ref="F23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3" s="77" t="str" cm="1">
        <f t="array" ref="G23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3" s="79" t="str">
        <f>IF(COUNT(F233:G233)&lt;2,"",$N$16*UpgradeScores[[#This Row],[ROI Score]]+$O$16*UpgradeScores[[#This Row],[BE Score]])</f>
        <v/>
      </c>
      <c r="J233" s="79" t="str">
        <f t="shared" si="11"/>
        <v/>
      </c>
      <c r="K23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3" s="68" t="str">
        <f>IF(UpgradeScores[[#This Row],[Grade]]="", "",
   _xlfn.RANK.EQ(UpgradeScores[[#This Row],[Grade]], UpgradeScores[Grade], 1)
)</f>
        <v/>
      </c>
    </row>
    <row r="234" spans="1:12" x14ac:dyDescent="0.3">
      <c r="A234" s="16">
        <f t="shared" si="13"/>
        <v>59</v>
      </c>
      <c r="B234" s="68" t="str">
        <f>_xlfn.XLOOKUP(UpgradeScores[[#This Row],[Planet '#]],Hybridtable[Planet '#],Hybridtable[Name])</f>
        <v>Nikara</v>
      </c>
      <c r="C234" s="68" t="s">
        <v>226</v>
      </c>
      <c r="D234" s="78" t="str" cm="1">
        <f t="array" ref="D23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4" s="78" t="str" cm="1">
        <f t="array" ref="E23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4" s="77" t="str" cm="1">
        <f t="array" ref="F23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4" s="77" t="str" cm="1">
        <f t="array" ref="G23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4" s="79" t="str">
        <f>IF(COUNT(F234:G234)&lt;2,"",$N$16*UpgradeScores[[#This Row],[ROI Score]]+$O$16*UpgradeScores[[#This Row],[BE Score]])</f>
        <v/>
      </c>
      <c r="J234" s="79" t="str">
        <f t="shared" si="11"/>
        <v/>
      </c>
      <c r="K23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4" s="68" t="str">
        <f>IF(UpgradeScores[[#This Row],[Grade]]="", "",
   _xlfn.RANK.EQ(UpgradeScores[[#This Row],[Grade]], UpgradeScores[Grade], 1)
)</f>
        <v/>
      </c>
    </row>
    <row r="235" spans="1:12" x14ac:dyDescent="0.3">
      <c r="A235" s="16">
        <f t="shared" si="13"/>
        <v>59</v>
      </c>
      <c r="B235" s="68" t="str">
        <f>_xlfn.XLOOKUP(UpgradeScores[[#This Row],[Planet '#]],Hybridtable[Planet '#],Hybridtable[Name])</f>
        <v>Nikara</v>
      </c>
      <c r="C235" s="68" t="s">
        <v>227</v>
      </c>
      <c r="D235" s="78" t="str" cm="1">
        <f t="array" ref="D23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5" s="78" t="str" cm="1">
        <f t="array" ref="E23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5" s="77" t="str" cm="1">
        <f t="array" ref="F23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5" s="77" t="str" cm="1">
        <f t="array" ref="G23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5" s="79" t="str">
        <f>IF(COUNT(F235:G235)&lt;2,"",$N$16*UpgradeScores[[#This Row],[ROI Score]]+$O$16*UpgradeScores[[#This Row],[BE Score]])</f>
        <v/>
      </c>
      <c r="J235" s="79" t="str">
        <f t="shared" si="11"/>
        <v/>
      </c>
      <c r="K23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5" s="68" t="str">
        <f>IF(UpgradeScores[[#This Row],[Grade]]="", "",
   _xlfn.RANK.EQ(UpgradeScores[[#This Row],[Grade]], UpgradeScores[Grade], 1)
)</f>
        <v/>
      </c>
    </row>
    <row r="236" spans="1:12" x14ac:dyDescent="0.3">
      <c r="A236" s="16">
        <f t="shared" si="13"/>
        <v>59</v>
      </c>
      <c r="B236" s="68" t="str">
        <f>_xlfn.XLOOKUP(UpgradeScores[[#This Row],[Planet '#]],Hybridtable[Planet '#],Hybridtable[Name])</f>
        <v>Nikara</v>
      </c>
      <c r="C236" s="68" t="s">
        <v>159</v>
      </c>
      <c r="D236" s="78" t="str" cm="1">
        <f t="array" ref="D23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6" s="78" t="str" cm="1">
        <f t="array" ref="E23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6" s="77" t="str" cm="1">
        <f t="array" ref="F23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6" s="77" t="str" cm="1">
        <f t="array" ref="G23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6" s="79" t="str">
        <f>IF(COUNT(F236:G236)&lt;2,"",$N$16*UpgradeScores[[#This Row],[ROI Score]]+$O$16*UpgradeScores[[#This Row],[BE Score]])</f>
        <v/>
      </c>
      <c r="J236" s="79" t="str">
        <f t="shared" si="11"/>
        <v/>
      </c>
      <c r="K23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6" s="68" t="str">
        <f>IF(UpgradeScores[[#This Row],[Grade]]="", "",
   _xlfn.RANK.EQ(UpgradeScores[[#This Row],[Grade]], UpgradeScores[Grade], 1)
)</f>
        <v/>
      </c>
    </row>
    <row r="237" spans="1:12" x14ac:dyDescent="0.3">
      <c r="A237" s="16">
        <f t="shared" si="13"/>
        <v>59</v>
      </c>
      <c r="B237" s="68" t="str">
        <f>_xlfn.XLOOKUP(UpgradeScores[[#This Row],[Planet '#]],Hybridtable[Planet '#],Hybridtable[Name])</f>
        <v>Nikara</v>
      </c>
      <c r="C237" s="68" t="s">
        <v>228</v>
      </c>
      <c r="D237" s="78" t="str" cm="1">
        <f t="array" ref="D23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7" s="78" t="str" cm="1">
        <f t="array" ref="E23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7" s="77" t="str" cm="1">
        <f t="array" ref="F23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7" s="77" t="str" cm="1">
        <f t="array" ref="G23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7" s="79" t="str">
        <f>IF(COUNT(F237:G237)&lt;2,"",$N$16*UpgradeScores[[#This Row],[ROI Score]]+$O$16*UpgradeScores[[#This Row],[BE Score]])</f>
        <v/>
      </c>
      <c r="J237" s="79" t="str">
        <f t="shared" si="11"/>
        <v/>
      </c>
      <c r="K23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7" s="68" t="str">
        <f>IF(UpgradeScores[[#This Row],[Grade]]="", "",
   _xlfn.RANK.EQ(UpgradeScores[[#This Row],[Grade]], UpgradeScores[Grade], 1)
)</f>
        <v/>
      </c>
    </row>
    <row r="238" spans="1:12" x14ac:dyDescent="0.3">
      <c r="A238" s="16">
        <f t="shared" si="13"/>
        <v>60</v>
      </c>
      <c r="B238" s="68" t="str">
        <f>_xlfn.XLOOKUP(UpgradeScores[[#This Row],[Planet '#]],Hybridtable[Planet '#],Hybridtable[Name])</f>
        <v>Limbo</v>
      </c>
      <c r="C238" s="68" t="s">
        <v>226</v>
      </c>
      <c r="D238" s="78" t="str" cm="1">
        <f t="array" ref="D23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8" s="78" t="str" cm="1">
        <f t="array" ref="E23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8" s="77" t="str" cm="1">
        <f t="array" ref="F23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8" s="77" t="str" cm="1">
        <f t="array" ref="G23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8" s="79" t="str">
        <f>IF(COUNT(F238:G238)&lt;2,"",$N$16*UpgradeScores[[#This Row],[ROI Score]]+$O$16*UpgradeScores[[#This Row],[BE Score]])</f>
        <v/>
      </c>
      <c r="J238" s="79" t="str">
        <f t="shared" si="11"/>
        <v/>
      </c>
      <c r="K23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8" s="68" t="str">
        <f>IF(UpgradeScores[[#This Row],[Grade]]="", "",
   _xlfn.RANK.EQ(UpgradeScores[[#This Row],[Grade]], UpgradeScores[Grade], 1)
)</f>
        <v/>
      </c>
    </row>
    <row r="239" spans="1:12" x14ac:dyDescent="0.3">
      <c r="A239" s="16">
        <f t="shared" si="13"/>
        <v>60</v>
      </c>
      <c r="B239" s="68" t="str">
        <f>_xlfn.XLOOKUP(UpgradeScores[[#This Row],[Planet '#]],Hybridtable[Planet '#],Hybridtable[Name])</f>
        <v>Limbo</v>
      </c>
      <c r="C239" s="68" t="s">
        <v>227</v>
      </c>
      <c r="D239" s="78" t="str" cm="1">
        <f t="array" ref="D23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39" s="78" t="str" cm="1">
        <f t="array" ref="E23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39" s="77" t="str" cm="1">
        <f t="array" ref="F23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39" s="77" t="str" cm="1">
        <f t="array" ref="G23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3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39" s="79" t="str">
        <f>IF(COUNT(F239:G239)&lt;2,"",$N$16*UpgradeScores[[#This Row],[ROI Score]]+$O$16*UpgradeScores[[#This Row],[BE Score]])</f>
        <v/>
      </c>
      <c r="J239" s="79" t="str">
        <f t="shared" si="11"/>
        <v/>
      </c>
      <c r="K23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39" s="68" t="str">
        <f>IF(UpgradeScores[[#This Row],[Grade]]="", "",
   _xlfn.RANK.EQ(UpgradeScores[[#This Row],[Grade]], UpgradeScores[Grade], 1)
)</f>
        <v/>
      </c>
    </row>
    <row r="240" spans="1:12" x14ac:dyDescent="0.3">
      <c r="A240" s="16">
        <f t="shared" si="13"/>
        <v>60</v>
      </c>
      <c r="B240" s="68" t="str">
        <f>_xlfn.XLOOKUP(UpgradeScores[[#This Row],[Planet '#]],Hybridtable[Planet '#],Hybridtable[Name])</f>
        <v>Limbo</v>
      </c>
      <c r="C240" s="68" t="s">
        <v>159</v>
      </c>
      <c r="D240" s="78" t="str" cm="1">
        <f t="array" ref="D24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0" s="78" t="str" cm="1">
        <f t="array" ref="E24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0" s="77" t="str" cm="1">
        <f t="array" ref="F24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0" s="77" t="str" cm="1">
        <f t="array" ref="G24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0" s="79" t="str">
        <f>IF(COUNT(F240:G240)&lt;2,"",$N$16*UpgradeScores[[#This Row],[ROI Score]]+$O$16*UpgradeScores[[#This Row],[BE Score]])</f>
        <v/>
      </c>
      <c r="J240" s="79" t="str">
        <f t="shared" si="11"/>
        <v/>
      </c>
      <c r="K24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0" s="68" t="str">
        <f>IF(UpgradeScores[[#This Row],[Grade]]="", "",
   _xlfn.RANK.EQ(UpgradeScores[[#This Row],[Grade]], UpgradeScores[Grade], 1)
)</f>
        <v/>
      </c>
    </row>
    <row r="241" spans="1:12" x14ac:dyDescent="0.3">
      <c r="A241" s="16">
        <f t="shared" si="13"/>
        <v>60</v>
      </c>
      <c r="B241" s="68" t="str">
        <f>_xlfn.XLOOKUP(UpgradeScores[[#This Row],[Planet '#]],Hybridtable[Planet '#],Hybridtable[Name])</f>
        <v>Limbo</v>
      </c>
      <c r="C241" s="68" t="s">
        <v>228</v>
      </c>
      <c r="D241" s="78" t="str" cm="1">
        <f t="array" ref="D24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1" s="78" t="str" cm="1">
        <f t="array" ref="E24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1" s="77" t="str" cm="1">
        <f t="array" ref="F24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1" s="77" t="str" cm="1">
        <f t="array" ref="G24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1" s="79" t="str">
        <f>IF(COUNT(F241:G241)&lt;2,"",$N$16*UpgradeScores[[#This Row],[ROI Score]]+$O$16*UpgradeScores[[#This Row],[BE Score]])</f>
        <v/>
      </c>
      <c r="J241" s="79" t="str">
        <f t="shared" si="11"/>
        <v/>
      </c>
      <c r="K24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1" s="68" t="str">
        <f>IF(UpgradeScores[[#This Row],[Grade]]="", "",
   _xlfn.RANK.EQ(UpgradeScores[[#This Row],[Grade]], UpgradeScores[Grade], 1)
)</f>
        <v/>
      </c>
    </row>
    <row r="242" spans="1:12" x14ac:dyDescent="0.3">
      <c r="A242" s="16">
        <f t="shared" si="13"/>
        <v>61</v>
      </c>
      <c r="B242" s="68" t="str">
        <f>_xlfn.XLOOKUP(UpgradeScores[[#This Row],[Planet '#]],Hybridtable[Planet '#],Hybridtable[Name])</f>
        <v>Bob</v>
      </c>
      <c r="C242" s="68" t="s">
        <v>226</v>
      </c>
      <c r="D242" s="78" t="str" cm="1">
        <f t="array" ref="D24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2" s="78" t="str" cm="1">
        <f t="array" ref="E24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2" s="77" t="str" cm="1">
        <f t="array" ref="F24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2" s="77" t="str" cm="1">
        <f t="array" ref="G24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2" s="79" t="str">
        <f>IF(COUNT(F242:G242)&lt;2,"",$N$16*UpgradeScores[[#This Row],[ROI Score]]+$O$16*UpgradeScores[[#This Row],[BE Score]])</f>
        <v/>
      </c>
      <c r="J242" s="79" t="str">
        <f t="shared" si="11"/>
        <v/>
      </c>
      <c r="K24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2" s="68" t="str">
        <f>IF(UpgradeScores[[#This Row],[Grade]]="", "",
   _xlfn.RANK.EQ(UpgradeScores[[#This Row],[Grade]], UpgradeScores[Grade], 1)
)</f>
        <v/>
      </c>
    </row>
    <row r="243" spans="1:12" x14ac:dyDescent="0.3">
      <c r="A243" s="16">
        <f t="shared" si="13"/>
        <v>61</v>
      </c>
      <c r="B243" s="68" t="str">
        <f>_xlfn.XLOOKUP(UpgradeScores[[#This Row],[Planet '#]],Hybridtable[Planet '#],Hybridtable[Name])</f>
        <v>Bob</v>
      </c>
      <c r="C243" s="68" t="s">
        <v>227</v>
      </c>
      <c r="D243" s="78" t="str" cm="1">
        <f t="array" ref="D24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3" s="78" t="str" cm="1">
        <f t="array" ref="E24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3" s="77" t="str" cm="1">
        <f t="array" ref="F24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3" s="77" t="str" cm="1">
        <f t="array" ref="G24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3" s="79" t="str">
        <f>IF(COUNT(F243:G243)&lt;2,"",$N$16*UpgradeScores[[#This Row],[ROI Score]]+$O$16*UpgradeScores[[#This Row],[BE Score]])</f>
        <v/>
      </c>
      <c r="J243" s="79" t="str">
        <f t="shared" si="11"/>
        <v/>
      </c>
      <c r="K24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3" s="68" t="str">
        <f>IF(UpgradeScores[[#This Row],[Grade]]="", "",
   _xlfn.RANK.EQ(UpgradeScores[[#This Row],[Grade]], UpgradeScores[Grade], 1)
)</f>
        <v/>
      </c>
    </row>
    <row r="244" spans="1:12" x14ac:dyDescent="0.3">
      <c r="A244" s="16">
        <f t="shared" si="13"/>
        <v>61</v>
      </c>
      <c r="B244" s="68" t="str">
        <f>_xlfn.XLOOKUP(UpgradeScores[[#This Row],[Planet '#]],Hybridtable[Planet '#],Hybridtable[Name])</f>
        <v>Bob</v>
      </c>
      <c r="C244" s="68" t="s">
        <v>159</v>
      </c>
      <c r="D244" s="78" t="str" cm="1">
        <f t="array" ref="D24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4" s="78" t="str" cm="1">
        <f t="array" ref="E24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4" s="77" t="str" cm="1">
        <f t="array" ref="F24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4" s="77" t="str" cm="1">
        <f t="array" ref="G24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4" s="79" t="str">
        <f>IF(COUNT(F244:G244)&lt;2,"",$N$16*UpgradeScores[[#This Row],[ROI Score]]+$O$16*UpgradeScores[[#This Row],[BE Score]])</f>
        <v/>
      </c>
      <c r="J244" s="79" t="str">
        <f t="shared" si="11"/>
        <v/>
      </c>
      <c r="K24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4" s="68" t="str">
        <f>IF(UpgradeScores[[#This Row],[Grade]]="", "",
   _xlfn.RANK.EQ(UpgradeScores[[#This Row],[Grade]], UpgradeScores[Grade], 1)
)</f>
        <v/>
      </c>
    </row>
    <row r="245" spans="1:12" x14ac:dyDescent="0.3">
      <c r="A245" s="16">
        <f t="shared" si="13"/>
        <v>61</v>
      </c>
      <c r="B245" s="68" t="str">
        <f>_xlfn.XLOOKUP(UpgradeScores[[#This Row],[Planet '#]],Hybridtable[Planet '#],Hybridtable[Name])</f>
        <v>Bob</v>
      </c>
      <c r="C245" s="68" t="s">
        <v>228</v>
      </c>
      <c r="D245" s="78" t="str" cm="1">
        <f t="array" ref="D24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5" s="78" t="str" cm="1">
        <f t="array" ref="E24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5" s="77" t="str" cm="1">
        <f t="array" ref="F24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5" s="77" t="str" cm="1">
        <f t="array" ref="G24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5" s="79" t="str">
        <f>IF(COUNT(F245:G245)&lt;2,"",$N$16*UpgradeScores[[#This Row],[ROI Score]]+$O$16*UpgradeScores[[#This Row],[BE Score]])</f>
        <v/>
      </c>
      <c r="J245" s="79" t="str">
        <f t="shared" si="11"/>
        <v/>
      </c>
      <c r="K24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5" s="68" t="str">
        <f>IF(UpgradeScores[[#This Row],[Grade]]="", "",
   _xlfn.RANK.EQ(UpgradeScores[[#This Row],[Grade]], UpgradeScores[Grade], 1)
)</f>
        <v/>
      </c>
    </row>
    <row r="246" spans="1:12" x14ac:dyDescent="0.3">
      <c r="A246" s="16">
        <f t="shared" si="13"/>
        <v>62</v>
      </c>
      <c r="B246" s="68" t="str">
        <f>_xlfn.XLOOKUP(UpgradeScores[[#This Row],[Planet '#]],Hybridtable[Planet '#],Hybridtable[Name])</f>
        <v>Midas</v>
      </c>
      <c r="C246" s="68" t="s">
        <v>226</v>
      </c>
      <c r="D246" s="78" t="str" cm="1">
        <f t="array" ref="D24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6" s="78" t="str" cm="1">
        <f t="array" ref="E24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6" s="77" t="str" cm="1">
        <f t="array" ref="F24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6" s="77" t="str" cm="1">
        <f t="array" ref="G24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6" s="79" t="str">
        <f>IF(COUNT(F246:G246)&lt;2,"",$N$16*UpgradeScores[[#This Row],[ROI Score]]+$O$16*UpgradeScores[[#This Row],[BE Score]])</f>
        <v/>
      </c>
      <c r="J246" s="79" t="str">
        <f t="shared" si="11"/>
        <v/>
      </c>
      <c r="K24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6" s="68" t="str">
        <f>IF(UpgradeScores[[#This Row],[Grade]]="", "",
   _xlfn.RANK.EQ(UpgradeScores[[#This Row],[Grade]], UpgradeScores[Grade], 1)
)</f>
        <v/>
      </c>
    </row>
    <row r="247" spans="1:12" x14ac:dyDescent="0.3">
      <c r="A247" s="16">
        <f t="shared" si="13"/>
        <v>62</v>
      </c>
      <c r="B247" s="68" t="str">
        <f>_xlfn.XLOOKUP(UpgradeScores[[#This Row],[Planet '#]],Hybridtable[Planet '#],Hybridtable[Name])</f>
        <v>Midas</v>
      </c>
      <c r="C247" s="68" t="s">
        <v>227</v>
      </c>
      <c r="D247" s="78" t="str" cm="1">
        <f t="array" ref="D24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7" s="78" t="str" cm="1">
        <f t="array" ref="E24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7" s="77" t="str" cm="1">
        <f t="array" ref="F24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7" s="77" t="str" cm="1">
        <f t="array" ref="G24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7" s="79" t="str">
        <f>IF(COUNT(F247:G247)&lt;2,"",$N$16*UpgradeScores[[#This Row],[ROI Score]]+$O$16*UpgradeScores[[#This Row],[BE Score]])</f>
        <v/>
      </c>
      <c r="J247" s="79" t="str">
        <f t="shared" si="11"/>
        <v/>
      </c>
      <c r="K24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7" s="68" t="str">
        <f>IF(UpgradeScores[[#This Row],[Grade]]="", "",
   _xlfn.RANK.EQ(UpgradeScores[[#This Row],[Grade]], UpgradeScores[Grade], 1)
)</f>
        <v/>
      </c>
    </row>
    <row r="248" spans="1:12" x14ac:dyDescent="0.3">
      <c r="A248" s="16">
        <f t="shared" si="13"/>
        <v>62</v>
      </c>
      <c r="B248" s="68" t="str">
        <f>_xlfn.XLOOKUP(UpgradeScores[[#This Row],[Planet '#]],Hybridtable[Planet '#],Hybridtable[Name])</f>
        <v>Midas</v>
      </c>
      <c r="C248" s="68" t="s">
        <v>159</v>
      </c>
      <c r="D248" s="78" t="str" cm="1">
        <f t="array" ref="D24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8" s="78" t="str" cm="1">
        <f t="array" ref="E24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8" s="77" t="str" cm="1">
        <f t="array" ref="F24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8" s="77" t="str" cm="1">
        <f t="array" ref="G24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8" s="79" t="str">
        <f>IF(COUNT(F248:G248)&lt;2,"",$N$16*UpgradeScores[[#This Row],[ROI Score]]+$O$16*UpgradeScores[[#This Row],[BE Score]])</f>
        <v/>
      </c>
      <c r="J248" s="79" t="str">
        <f t="shared" si="11"/>
        <v/>
      </c>
      <c r="K24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8" s="68" t="str">
        <f>IF(UpgradeScores[[#This Row],[Grade]]="", "",
   _xlfn.RANK.EQ(UpgradeScores[[#This Row],[Grade]], UpgradeScores[Grade], 1)
)</f>
        <v/>
      </c>
    </row>
    <row r="249" spans="1:12" x14ac:dyDescent="0.3">
      <c r="A249" s="16">
        <f t="shared" si="13"/>
        <v>62</v>
      </c>
      <c r="B249" s="68" t="str">
        <f>_xlfn.XLOOKUP(UpgradeScores[[#This Row],[Planet '#]],Hybridtable[Planet '#],Hybridtable[Name])</f>
        <v>Midas</v>
      </c>
      <c r="C249" s="68" t="s">
        <v>228</v>
      </c>
      <c r="D249" s="78" t="str" cm="1">
        <f t="array" ref="D24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49" s="78" t="str" cm="1">
        <f t="array" ref="E24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49" s="77" t="str" cm="1">
        <f t="array" ref="F24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49" s="77" t="str" cm="1">
        <f t="array" ref="G24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4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49" s="79" t="str">
        <f>IF(COUNT(F249:G249)&lt;2,"",$N$16*UpgradeScores[[#This Row],[ROI Score]]+$O$16*UpgradeScores[[#This Row],[BE Score]])</f>
        <v/>
      </c>
      <c r="J249" s="79" t="str">
        <f t="shared" si="11"/>
        <v/>
      </c>
      <c r="K24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49" s="68" t="str">
        <f>IF(UpgradeScores[[#This Row],[Grade]]="", "",
   _xlfn.RANK.EQ(UpgradeScores[[#This Row],[Grade]], UpgradeScores[Grade], 1)
)</f>
        <v/>
      </c>
    </row>
    <row r="250" spans="1:12" x14ac:dyDescent="0.3">
      <c r="A250" s="16">
        <f t="shared" si="13"/>
        <v>63</v>
      </c>
      <c r="B250" s="68" t="str">
        <f>_xlfn.XLOOKUP(UpgradeScores[[#This Row],[Planet '#]],Hybridtable[Planet '#],Hybridtable[Name])</f>
        <v>Antigone</v>
      </c>
      <c r="C250" s="68" t="s">
        <v>226</v>
      </c>
      <c r="D250" s="78" t="str" cm="1">
        <f t="array" ref="D25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0" s="78" t="str" cm="1">
        <f t="array" ref="E25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0" s="77" t="str" cm="1">
        <f t="array" ref="F25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0" s="77" t="str" cm="1">
        <f t="array" ref="G25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0" s="79" t="str">
        <f>IF(COUNT(F250:G250)&lt;2,"",$N$16*UpgradeScores[[#This Row],[ROI Score]]+$O$16*UpgradeScores[[#This Row],[BE Score]])</f>
        <v/>
      </c>
      <c r="J250" s="79" t="str">
        <f t="shared" si="11"/>
        <v/>
      </c>
      <c r="K25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0" s="68" t="str">
        <f>IF(UpgradeScores[[#This Row],[Grade]]="", "",
   _xlfn.RANK.EQ(UpgradeScores[[#This Row],[Grade]], UpgradeScores[Grade], 1)
)</f>
        <v/>
      </c>
    </row>
    <row r="251" spans="1:12" x14ac:dyDescent="0.3">
      <c r="A251" s="16">
        <f t="shared" si="13"/>
        <v>63</v>
      </c>
      <c r="B251" s="68" t="str">
        <f>_xlfn.XLOOKUP(UpgradeScores[[#This Row],[Planet '#]],Hybridtable[Planet '#],Hybridtable[Name])</f>
        <v>Antigone</v>
      </c>
      <c r="C251" s="68" t="s">
        <v>227</v>
      </c>
      <c r="D251" s="78" t="str" cm="1">
        <f t="array" ref="D25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1" s="78" t="str" cm="1">
        <f t="array" ref="E25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1" s="77" t="str" cm="1">
        <f t="array" ref="F25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1" s="77" t="str" cm="1">
        <f t="array" ref="G25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1" s="79" t="str">
        <f>IF(COUNT(F251:G251)&lt;2,"",$N$16*UpgradeScores[[#This Row],[ROI Score]]+$O$16*UpgradeScores[[#This Row],[BE Score]])</f>
        <v/>
      </c>
      <c r="J251" s="79" t="str">
        <f t="shared" si="11"/>
        <v/>
      </c>
      <c r="K25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1" s="68" t="str">
        <f>IF(UpgradeScores[[#This Row],[Grade]]="", "",
   _xlfn.RANK.EQ(UpgradeScores[[#This Row],[Grade]], UpgradeScores[Grade], 1)
)</f>
        <v/>
      </c>
    </row>
    <row r="252" spans="1:12" x14ac:dyDescent="0.3">
      <c r="A252" s="16">
        <f t="shared" si="13"/>
        <v>63</v>
      </c>
      <c r="B252" s="68" t="str">
        <f>_xlfn.XLOOKUP(UpgradeScores[[#This Row],[Planet '#]],Hybridtable[Planet '#],Hybridtable[Name])</f>
        <v>Antigone</v>
      </c>
      <c r="C252" s="68" t="s">
        <v>159</v>
      </c>
      <c r="D252" s="78" t="str" cm="1">
        <f t="array" ref="D25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2" s="78" t="str" cm="1">
        <f t="array" ref="E25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2" s="77" t="str" cm="1">
        <f t="array" ref="F25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2" s="77" t="str" cm="1">
        <f t="array" ref="G25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2" s="79" t="str">
        <f>IF(COUNT(F252:G252)&lt;2,"",$N$16*UpgradeScores[[#This Row],[ROI Score]]+$O$16*UpgradeScores[[#This Row],[BE Score]])</f>
        <v/>
      </c>
      <c r="J252" s="79" t="str">
        <f t="shared" si="11"/>
        <v/>
      </c>
      <c r="K25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2" s="68" t="str">
        <f>IF(UpgradeScores[[#This Row],[Grade]]="", "",
   _xlfn.RANK.EQ(UpgradeScores[[#This Row],[Grade]], UpgradeScores[Grade], 1)
)</f>
        <v/>
      </c>
    </row>
    <row r="253" spans="1:12" x14ac:dyDescent="0.3">
      <c r="A253" s="16">
        <f t="shared" si="13"/>
        <v>63</v>
      </c>
      <c r="B253" s="68" t="str">
        <f>_xlfn.XLOOKUP(UpgradeScores[[#This Row],[Planet '#]],Hybridtable[Planet '#],Hybridtable[Name])</f>
        <v>Antigone</v>
      </c>
      <c r="C253" s="68" t="s">
        <v>228</v>
      </c>
      <c r="D253" s="78" t="str" cm="1">
        <f t="array" ref="D25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3" s="78" t="str" cm="1">
        <f t="array" ref="E25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3" s="77" t="str" cm="1">
        <f t="array" ref="F25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3" s="77" t="str" cm="1">
        <f t="array" ref="G25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3" s="79" t="str">
        <f>IF(COUNT(F253:G253)&lt;2,"",$N$16*UpgradeScores[[#This Row],[ROI Score]]+$O$16*UpgradeScores[[#This Row],[BE Score]])</f>
        <v/>
      </c>
      <c r="J253" s="79" t="str">
        <f t="shared" si="11"/>
        <v/>
      </c>
      <c r="K25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3" s="68" t="str">
        <f>IF(UpgradeScores[[#This Row],[Grade]]="", "",
   _xlfn.RANK.EQ(UpgradeScores[[#This Row],[Grade]], UpgradeScores[Grade], 1)
)</f>
        <v/>
      </c>
    </row>
    <row r="254" spans="1:12" x14ac:dyDescent="0.3">
      <c r="A254" s="16">
        <f t="shared" si="13"/>
        <v>64</v>
      </c>
      <c r="B254" s="68" t="str">
        <f>_xlfn.XLOOKUP(UpgradeScores[[#This Row],[Planet '#]],Hybridtable[Planet '#],Hybridtable[Name])</f>
        <v>Hecate</v>
      </c>
      <c r="C254" s="68" t="s">
        <v>226</v>
      </c>
      <c r="D254" s="78" t="str" cm="1">
        <f t="array" ref="D25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4" s="78" t="str" cm="1">
        <f t="array" ref="E25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4" s="77" t="str" cm="1">
        <f t="array" ref="F25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4" s="77" t="str" cm="1">
        <f t="array" ref="G25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4" s="79" t="str">
        <f>IF(COUNT(F254:G254)&lt;2,"",$N$16*UpgradeScores[[#This Row],[ROI Score]]+$O$16*UpgradeScores[[#This Row],[BE Score]])</f>
        <v/>
      </c>
      <c r="J254" s="79" t="str">
        <f t="shared" si="11"/>
        <v/>
      </c>
      <c r="K25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4" s="68" t="str">
        <f>IF(UpgradeScores[[#This Row],[Grade]]="", "",
   _xlfn.RANK.EQ(UpgradeScores[[#This Row],[Grade]], UpgradeScores[Grade], 1)
)</f>
        <v/>
      </c>
    </row>
    <row r="255" spans="1:12" x14ac:dyDescent="0.3">
      <c r="A255" s="16">
        <f t="shared" si="13"/>
        <v>64</v>
      </c>
      <c r="B255" s="68" t="str">
        <f>_xlfn.XLOOKUP(UpgradeScores[[#This Row],[Planet '#]],Hybridtable[Planet '#],Hybridtable[Name])</f>
        <v>Hecate</v>
      </c>
      <c r="C255" s="68" t="s">
        <v>227</v>
      </c>
      <c r="D255" s="78" t="str" cm="1">
        <f t="array" ref="D25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5" s="78" t="str" cm="1">
        <f t="array" ref="E25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5" s="77" t="str" cm="1">
        <f t="array" ref="F25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5" s="77" t="str" cm="1">
        <f t="array" ref="G25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5" s="79" t="str">
        <f>IF(COUNT(F255:G255)&lt;2,"",$N$16*UpgradeScores[[#This Row],[ROI Score]]+$O$16*UpgradeScores[[#This Row],[BE Score]])</f>
        <v/>
      </c>
      <c r="J255" s="79" t="str">
        <f t="shared" si="11"/>
        <v/>
      </c>
      <c r="K25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5" s="68" t="str">
        <f>IF(UpgradeScores[[#This Row],[Grade]]="", "",
   _xlfn.RANK.EQ(UpgradeScores[[#This Row],[Grade]], UpgradeScores[Grade], 1)
)</f>
        <v/>
      </c>
    </row>
    <row r="256" spans="1:12" x14ac:dyDescent="0.3">
      <c r="A256" s="16">
        <f t="shared" si="13"/>
        <v>64</v>
      </c>
      <c r="B256" s="68" t="str">
        <f>_xlfn.XLOOKUP(UpgradeScores[[#This Row],[Planet '#]],Hybridtable[Planet '#],Hybridtable[Name])</f>
        <v>Hecate</v>
      </c>
      <c r="C256" s="68" t="s">
        <v>159</v>
      </c>
      <c r="D256" s="78" t="str" cm="1">
        <f t="array" ref="D25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6" s="78" t="str" cm="1">
        <f t="array" ref="E25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6" s="77" t="str" cm="1">
        <f t="array" ref="F25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6" s="77" t="str" cm="1">
        <f t="array" ref="G25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6" s="79" t="str">
        <f>IF(COUNT(F256:G256)&lt;2,"",$N$16*UpgradeScores[[#This Row],[ROI Score]]+$O$16*UpgradeScores[[#This Row],[BE Score]])</f>
        <v/>
      </c>
      <c r="J256" s="79" t="str">
        <f t="shared" si="11"/>
        <v/>
      </c>
      <c r="K25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6" s="68" t="str">
        <f>IF(UpgradeScores[[#This Row],[Grade]]="", "",
   _xlfn.RANK.EQ(UpgradeScores[[#This Row],[Grade]], UpgradeScores[Grade], 1)
)</f>
        <v/>
      </c>
    </row>
    <row r="257" spans="1:12" x14ac:dyDescent="0.3">
      <c r="A257" s="16">
        <f t="shared" ref="A257:A274" si="14">INT((ROW()-ROW($A$2))/4)+1</f>
        <v>64</v>
      </c>
      <c r="B257" s="68" t="str">
        <f>_xlfn.XLOOKUP(UpgradeScores[[#This Row],[Planet '#]],Hybridtable[Planet '#],Hybridtable[Name])</f>
        <v>Hecate</v>
      </c>
      <c r="C257" s="68" t="s">
        <v>228</v>
      </c>
      <c r="D257" s="78" t="str" cm="1">
        <f t="array" ref="D25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7" s="78" t="str" cm="1">
        <f t="array" ref="E25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7" s="77" t="str" cm="1">
        <f t="array" ref="F25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7" s="77" t="str" cm="1">
        <f t="array" ref="G25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7" s="79" t="str">
        <f>IF(COUNT(F257:G257)&lt;2,"",$N$16*UpgradeScores[[#This Row],[ROI Score]]+$O$16*UpgradeScores[[#This Row],[BE Score]])</f>
        <v/>
      </c>
      <c r="J257" s="79" t="str">
        <f t="shared" si="11"/>
        <v/>
      </c>
      <c r="K25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7" s="68" t="str">
        <f>IF(UpgradeScores[[#This Row],[Grade]]="", "",
   _xlfn.RANK.EQ(UpgradeScores[[#This Row],[Grade]], UpgradeScores[Grade], 1)
)</f>
        <v/>
      </c>
    </row>
    <row r="258" spans="1:12" x14ac:dyDescent="0.3">
      <c r="A258" s="16">
        <f t="shared" si="14"/>
        <v>65</v>
      </c>
      <c r="B258" s="68" t="str">
        <f>_xlfn.XLOOKUP(UpgradeScores[[#This Row],[Planet '#]],Hybridtable[Planet '#],Hybridtable[Name])</f>
        <v>Sterop</v>
      </c>
      <c r="C258" s="68" t="s">
        <v>226</v>
      </c>
      <c r="D258" s="78" t="str" cm="1">
        <f t="array" ref="D25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8" s="78" t="str" cm="1">
        <f t="array" ref="E25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8" s="77" t="str" cm="1">
        <f t="array" ref="F25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8" s="77" t="str" cm="1">
        <f t="array" ref="G25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8" s="79" t="str">
        <f>IF(COUNT(F258:G258)&lt;2,"",$N$16*UpgradeScores[[#This Row],[ROI Score]]+$O$16*UpgradeScores[[#This Row],[BE Score]])</f>
        <v/>
      </c>
      <c r="J258" s="79" t="str">
        <f t="shared" ref="J258:J305" si="15">IF(COUNT(F258:G258)&lt;2,"",SQRT(F258*G258))</f>
        <v/>
      </c>
      <c r="K25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8" s="68" t="str">
        <f>IF(UpgradeScores[[#This Row],[Grade]]="", "",
   _xlfn.RANK.EQ(UpgradeScores[[#This Row],[Grade]], UpgradeScores[Grade], 1)
)</f>
        <v/>
      </c>
    </row>
    <row r="259" spans="1:12" x14ac:dyDescent="0.3">
      <c r="A259" s="16">
        <f t="shared" si="14"/>
        <v>65</v>
      </c>
      <c r="B259" s="68" t="str">
        <f>_xlfn.XLOOKUP(UpgradeScores[[#This Row],[Planet '#]],Hybridtable[Planet '#],Hybridtable[Name])</f>
        <v>Sterop</v>
      </c>
      <c r="C259" s="68" t="s">
        <v>227</v>
      </c>
      <c r="D259" s="78" t="str" cm="1">
        <f t="array" ref="D25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59" s="78" t="str" cm="1">
        <f t="array" ref="E25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59" s="77" t="str" cm="1">
        <f t="array" ref="F25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59" s="77" t="str" cm="1">
        <f t="array" ref="G25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5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59" s="79" t="str">
        <f>IF(COUNT(F259:G259)&lt;2,"",$N$16*UpgradeScores[[#This Row],[ROI Score]]+$O$16*UpgradeScores[[#This Row],[BE Score]])</f>
        <v/>
      </c>
      <c r="J259" s="79" t="str">
        <f t="shared" si="15"/>
        <v/>
      </c>
      <c r="K25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59" s="68" t="str">
        <f>IF(UpgradeScores[[#This Row],[Grade]]="", "",
   _xlfn.RANK.EQ(UpgradeScores[[#This Row],[Grade]], UpgradeScores[Grade], 1)
)</f>
        <v/>
      </c>
    </row>
    <row r="260" spans="1:12" x14ac:dyDescent="0.3">
      <c r="A260" s="16">
        <f t="shared" si="14"/>
        <v>65</v>
      </c>
      <c r="B260" s="68" t="str">
        <f>_xlfn.XLOOKUP(UpgradeScores[[#This Row],[Planet '#]],Hybridtable[Planet '#],Hybridtable[Name])</f>
        <v>Sterop</v>
      </c>
      <c r="C260" s="68" t="s">
        <v>159</v>
      </c>
      <c r="D260" s="78" t="str" cm="1">
        <f t="array" ref="D26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0" s="78" t="str" cm="1">
        <f t="array" ref="E26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0" s="77" t="str" cm="1">
        <f t="array" ref="F26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0" s="77" t="str" cm="1">
        <f t="array" ref="G26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0" s="79" t="str">
        <f>IF(COUNT(F260:G260)&lt;2,"",$N$16*UpgradeScores[[#This Row],[ROI Score]]+$O$16*UpgradeScores[[#This Row],[BE Score]])</f>
        <v/>
      </c>
      <c r="J260" s="79" t="str">
        <f t="shared" si="15"/>
        <v/>
      </c>
      <c r="K26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0" s="68" t="str">
        <f>IF(UpgradeScores[[#This Row],[Grade]]="", "",
   _xlfn.RANK.EQ(UpgradeScores[[#This Row],[Grade]], UpgradeScores[Grade], 1)
)</f>
        <v/>
      </c>
    </row>
    <row r="261" spans="1:12" x14ac:dyDescent="0.3">
      <c r="A261" s="16">
        <f t="shared" si="14"/>
        <v>65</v>
      </c>
      <c r="B261" s="68" t="str">
        <f>_xlfn.XLOOKUP(UpgradeScores[[#This Row],[Planet '#]],Hybridtable[Planet '#],Hybridtable[Name])</f>
        <v>Sterop</v>
      </c>
      <c r="C261" s="68" t="s">
        <v>228</v>
      </c>
      <c r="D261" s="78" t="str" cm="1">
        <f t="array" ref="D26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1" s="78" t="str" cm="1">
        <f t="array" ref="E26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1" s="77" t="str" cm="1">
        <f t="array" ref="F26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1" s="77" t="str" cm="1">
        <f t="array" ref="G26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1" s="79" t="str">
        <f>IF(COUNT(F261:G261)&lt;2,"",$N$16*UpgradeScores[[#This Row],[ROI Score]]+$O$16*UpgradeScores[[#This Row],[BE Score]])</f>
        <v/>
      </c>
      <c r="J261" s="79" t="str">
        <f t="shared" si="15"/>
        <v/>
      </c>
      <c r="K26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1" s="68" t="str">
        <f>IF(UpgradeScores[[#This Row],[Grade]]="", "",
   _xlfn.RANK.EQ(UpgradeScores[[#This Row],[Grade]], UpgradeScores[Grade], 1)
)</f>
        <v/>
      </c>
    </row>
    <row r="262" spans="1:12" x14ac:dyDescent="0.3">
      <c r="A262" s="16">
        <f t="shared" si="14"/>
        <v>66</v>
      </c>
      <c r="B262" s="68" t="str">
        <f>_xlfn.XLOOKUP(UpgradeScores[[#This Row],[Planet '#]],Hybridtable[Planet '#],Hybridtable[Name])</f>
        <v>Lavinia</v>
      </c>
      <c r="C262" s="68" t="s">
        <v>226</v>
      </c>
      <c r="D262" s="78" t="str" cm="1">
        <f t="array" ref="D26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2" s="78" t="str" cm="1">
        <f t="array" ref="E26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2" s="77" t="str" cm="1">
        <f t="array" ref="F26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2" s="77" t="str" cm="1">
        <f t="array" ref="G26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2" s="79" t="str">
        <f>IF(COUNT(F262:G262)&lt;2,"",$N$16*UpgradeScores[[#This Row],[ROI Score]]+$O$16*UpgradeScores[[#This Row],[BE Score]])</f>
        <v/>
      </c>
      <c r="J262" s="79" t="str">
        <f t="shared" si="15"/>
        <v/>
      </c>
      <c r="K26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2" s="68" t="str">
        <f>IF(UpgradeScores[[#This Row],[Grade]]="", "",
   _xlfn.RANK.EQ(UpgradeScores[[#This Row],[Grade]], UpgradeScores[Grade], 1)
)</f>
        <v/>
      </c>
    </row>
    <row r="263" spans="1:12" x14ac:dyDescent="0.3">
      <c r="A263" s="16">
        <f t="shared" si="14"/>
        <v>66</v>
      </c>
      <c r="B263" s="68" t="str">
        <f>_xlfn.XLOOKUP(UpgradeScores[[#This Row],[Planet '#]],Hybridtable[Planet '#],Hybridtable[Name])</f>
        <v>Lavinia</v>
      </c>
      <c r="C263" s="68" t="s">
        <v>227</v>
      </c>
      <c r="D263" s="78" t="str" cm="1">
        <f t="array" ref="D26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3" s="78" t="str" cm="1">
        <f t="array" ref="E26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3" s="77" t="str" cm="1">
        <f t="array" ref="F26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3" s="77" t="str" cm="1">
        <f t="array" ref="G26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3" s="79" t="str">
        <f>IF(COUNT(F263:G263)&lt;2,"",$N$16*UpgradeScores[[#This Row],[ROI Score]]+$O$16*UpgradeScores[[#This Row],[BE Score]])</f>
        <v/>
      </c>
      <c r="J263" s="79" t="str">
        <f t="shared" si="15"/>
        <v/>
      </c>
      <c r="K26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3" s="68" t="str">
        <f>IF(UpgradeScores[[#This Row],[Grade]]="", "",
   _xlfn.RANK.EQ(UpgradeScores[[#This Row],[Grade]], UpgradeScores[Grade], 1)
)</f>
        <v/>
      </c>
    </row>
    <row r="264" spans="1:12" x14ac:dyDescent="0.3">
      <c r="A264" s="16">
        <f t="shared" si="14"/>
        <v>66</v>
      </c>
      <c r="B264" s="68" t="str">
        <f>_xlfn.XLOOKUP(UpgradeScores[[#This Row],[Planet '#]],Hybridtable[Planet '#],Hybridtable[Name])</f>
        <v>Lavinia</v>
      </c>
      <c r="C264" s="68" t="s">
        <v>159</v>
      </c>
      <c r="D264" s="78" t="str" cm="1">
        <f t="array" ref="D26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4" s="78" t="str" cm="1">
        <f t="array" ref="E26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4" s="77" t="str" cm="1">
        <f t="array" ref="F26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4" s="77" t="str" cm="1">
        <f t="array" ref="G26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4" s="79" t="str">
        <f>IF(COUNT(F264:G264)&lt;2,"",$N$16*UpgradeScores[[#This Row],[ROI Score]]+$O$16*UpgradeScores[[#This Row],[BE Score]])</f>
        <v/>
      </c>
      <c r="J264" s="79" t="str">
        <f t="shared" si="15"/>
        <v/>
      </c>
      <c r="K26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4" s="68" t="str">
        <f>IF(UpgradeScores[[#This Row],[Grade]]="", "",
   _xlfn.RANK.EQ(UpgradeScores[[#This Row],[Grade]], UpgradeScores[Grade], 1)
)</f>
        <v/>
      </c>
    </row>
    <row r="265" spans="1:12" x14ac:dyDescent="0.3">
      <c r="A265" s="16">
        <f t="shared" si="14"/>
        <v>66</v>
      </c>
      <c r="B265" s="68" t="str">
        <f>_xlfn.XLOOKUP(UpgradeScores[[#This Row],[Planet '#]],Hybridtable[Planet '#],Hybridtable[Name])</f>
        <v>Lavinia</v>
      </c>
      <c r="C265" s="68" t="s">
        <v>228</v>
      </c>
      <c r="D265" s="78" t="str" cm="1">
        <f t="array" ref="D26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5" s="78" t="str" cm="1">
        <f t="array" ref="E26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5" s="77" t="str" cm="1">
        <f t="array" ref="F26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5" s="77" t="str" cm="1">
        <f t="array" ref="G26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5" s="79" t="str">
        <f>IF(COUNT(F265:G265)&lt;2,"",$N$16*UpgradeScores[[#This Row],[ROI Score]]+$O$16*UpgradeScores[[#This Row],[BE Score]])</f>
        <v/>
      </c>
      <c r="J265" s="79" t="str">
        <f t="shared" si="15"/>
        <v/>
      </c>
      <c r="K26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5" s="68" t="str">
        <f>IF(UpgradeScores[[#This Row],[Grade]]="", "",
   _xlfn.RANK.EQ(UpgradeScores[[#This Row],[Grade]], UpgradeScores[Grade], 1)
)</f>
        <v/>
      </c>
    </row>
    <row r="266" spans="1:12" x14ac:dyDescent="0.3">
      <c r="A266" s="16">
        <f t="shared" si="14"/>
        <v>67</v>
      </c>
      <c r="B266" s="68" t="str">
        <f>_xlfn.XLOOKUP(UpgradeScores[[#This Row],[Planet '#]],Hybridtable[Planet '#],Hybridtable[Name])</f>
        <v>Ren</v>
      </c>
      <c r="C266" s="68" t="s">
        <v>226</v>
      </c>
      <c r="D266" s="78" t="str" cm="1">
        <f t="array" ref="D26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6" s="78" t="str" cm="1">
        <f t="array" ref="E26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6" s="77" t="str" cm="1">
        <f t="array" ref="F26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6" s="77" t="str" cm="1">
        <f t="array" ref="G26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6" s="79" t="str">
        <f>IF(COUNT(F266:G266)&lt;2,"",$N$16*UpgradeScores[[#This Row],[ROI Score]]+$O$16*UpgradeScores[[#This Row],[BE Score]])</f>
        <v/>
      </c>
      <c r="J266" s="79" t="str">
        <f t="shared" si="15"/>
        <v/>
      </c>
      <c r="K26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6" s="68" t="str">
        <f>IF(UpgradeScores[[#This Row],[Grade]]="", "",
   _xlfn.RANK.EQ(UpgradeScores[[#This Row],[Grade]], UpgradeScores[Grade], 1)
)</f>
        <v/>
      </c>
    </row>
    <row r="267" spans="1:12" x14ac:dyDescent="0.3">
      <c r="A267" s="16">
        <f t="shared" si="14"/>
        <v>67</v>
      </c>
      <c r="B267" s="68" t="str">
        <f>_xlfn.XLOOKUP(UpgradeScores[[#This Row],[Planet '#]],Hybridtable[Planet '#],Hybridtable[Name])</f>
        <v>Ren</v>
      </c>
      <c r="C267" s="68" t="s">
        <v>227</v>
      </c>
      <c r="D267" s="78" t="str" cm="1">
        <f t="array" ref="D26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7" s="78" t="str" cm="1">
        <f t="array" ref="E26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7" s="77" t="str" cm="1">
        <f t="array" ref="F26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7" s="77" t="str" cm="1">
        <f t="array" ref="G26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7" s="79" t="str">
        <f>IF(COUNT(F267:G267)&lt;2,"",$N$16*UpgradeScores[[#This Row],[ROI Score]]+$O$16*UpgradeScores[[#This Row],[BE Score]])</f>
        <v/>
      </c>
      <c r="J267" s="79" t="str">
        <f t="shared" si="15"/>
        <v/>
      </c>
      <c r="K26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7" s="68" t="str">
        <f>IF(UpgradeScores[[#This Row],[Grade]]="", "",
   _xlfn.RANK.EQ(UpgradeScores[[#This Row],[Grade]], UpgradeScores[Grade], 1)
)</f>
        <v/>
      </c>
    </row>
    <row r="268" spans="1:12" x14ac:dyDescent="0.3">
      <c r="A268" s="16">
        <f t="shared" si="14"/>
        <v>67</v>
      </c>
      <c r="B268" s="68" t="str">
        <f>_xlfn.XLOOKUP(UpgradeScores[[#This Row],[Planet '#]],Hybridtable[Planet '#],Hybridtable[Name])</f>
        <v>Ren</v>
      </c>
      <c r="C268" s="68" t="s">
        <v>159</v>
      </c>
      <c r="D268" s="78" t="str" cm="1">
        <f t="array" ref="D26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8" s="78" t="str" cm="1">
        <f t="array" ref="E26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8" s="77" t="str" cm="1">
        <f t="array" ref="F26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8" s="77" t="str" cm="1">
        <f t="array" ref="G26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8" s="79" t="str">
        <f>IF(COUNT(F268:G268)&lt;2,"",$N$16*UpgradeScores[[#This Row],[ROI Score]]+$O$16*UpgradeScores[[#This Row],[BE Score]])</f>
        <v/>
      </c>
      <c r="J268" s="79" t="str">
        <f t="shared" si="15"/>
        <v/>
      </c>
      <c r="K26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8" s="68" t="str">
        <f>IF(UpgradeScores[[#This Row],[Grade]]="", "",
   _xlfn.RANK.EQ(UpgradeScores[[#This Row],[Grade]], UpgradeScores[Grade], 1)
)</f>
        <v/>
      </c>
    </row>
    <row r="269" spans="1:12" x14ac:dyDescent="0.3">
      <c r="A269" s="16">
        <f t="shared" si="14"/>
        <v>67</v>
      </c>
      <c r="B269" s="68" t="str">
        <f>_xlfn.XLOOKUP(UpgradeScores[[#This Row],[Planet '#]],Hybridtable[Planet '#],Hybridtable[Name])</f>
        <v>Ren</v>
      </c>
      <c r="C269" s="68" t="s">
        <v>228</v>
      </c>
      <c r="D269" s="78" t="str" cm="1">
        <f t="array" ref="D26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69" s="78" t="str" cm="1">
        <f t="array" ref="E26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69" s="77" t="str" cm="1">
        <f t="array" ref="F26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69" s="77" t="str" cm="1">
        <f t="array" ref="G26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6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69" s="79" t="str">
        <f>IF(COUNT(F269:G269)&lt;2,"",$N$16*UpgradeScores[[#This Row],[ROI Score]]+$O$16*UpgradeScores[[#This Row],[BE Score]])</f>
        <v/>
      </c>
      <c r="J269" s="79" t="str">
        <f t="shared" si="15"/>
        <v/>
      </c>
      <c r="K26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69" s="68" t="str">
        <f>IF(UpgradeScores[[#This Row],[Grade]]="", "",
   _xlfn.RANK.EQ(UpgradeScores[[#This Row],[Grade]], UpgradeScores[Grade], 1)
)</f>
        <v/>
      </c>
    </row>
    <row r="270" spans="1:12" x14ac:dyDescent="0.3">
      <c r="A270" s="16">
        <f t="shared" si="14"/>
        <v>68</v>
      </c>
      <c r="B270" s="68" t="str">
        <f>_xlfn.XLOOKUP(UpgradeScores[[#This Row],[Planet '#]],Hybridtable[Planet '#],Hybridtable[Name])</f>
        <v>Gorgons</v>
      </c>
      <c r="C270" s="68" t="s">
        <v>226</v>
      </c>
      <c r="D270" s="78" t="str" cm="1">
        <f t="array" ref="D27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0" s="78" t="str" cm="1">
        <f t="array" ref="E27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0" s="77" t="str" cm="1">
        <f t="array" ref="F27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0" s="77" t="str" cm="1">
        <f t="array" ref="G27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0" s="79" t="str">
        <f>IF(COUNT(F270:G270)&lt;2,"",$N$16*UpgradeScores[[#This Row],[ROI Score]]+$O$16*UpgradeScores[[#This Row],[BE Score]])</f>
        <v/>
      </c>
      <c r="J270" s="79" t="str">
        <f t="shared" si="15"/>
        <v/>
      </c>
      <c r="K27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0" s="68" t="str">
        <f>IF(UpgradeScores[[#This Row],[Grade]]="", "",
   _xlfn.RANK.EQ(UpgradeScores[[#This Row],[Grade]], UpgradeScores[Grade], 1)
)</f>
        <v/>
      </c>
    </row>
    <row r="271" spans="1:12" x14ac:dyDescent="0.3">
      <c r="A271" s="16">
        <f t="shared" si="14"/>
        <v>68</v>
      </c>
      <c r="B271" s="68" t="str">
        <f>_xlfn.XLOOKUP(UpgradeScores[[#This Row],[Planet '#]],Hybridtable[Planet '#],Hybridtable[Name])</f>
        <v>Gorgons</v>
      </c>
      <c r="C271" s="68" t="s">
        <v>227</v>
      </c>
      <c r="D271" s="78" t="str" cm="1">
        <f t="array" ref="D27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1" s="78" t="str" cm="1">
        <f t="array" ref="E27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1" s="77" t="str" cm="1">
        <f t="array" ref="F27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1" s="77" t="str" cm="1">
        <f t="array" ref="G27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1" s="79" t="str">
        <f>IF(COUNT(F271:G271)&lt;2,"",$N$16*UpgradeScores[[#This Row],[ROI Score]]+$O$16*UpgradeScores[[#This Row],[BE Score]])</f>
        <v/>
      </c>
      <c r="J271" s="79" t="str">
        <f t="shared" si="15"/>
        <v/>
      </c>
      <c r="K27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1" s="68" t="str">
        <f>IF(UpgradeScores[[#This Row],[Grade]]="", "",
   _xlfn.RANK.EQ(UpgradeScores[[#This Row],[Grade]], UpgradeScores[Grade], 1)
)</f>
        <v/>
      </c>
    </row>
    <row r="272" spans="1:12" x14ac:dyDescent="0.3">
      <c r="A272" s="16">
        <f t="shared" si="14"/>
        <v>68</v>
      </c>
      <c r="B272" s="68" t="str">
        <f>_xlfn.XLOOKUP(UpgradeScores[[#This Row],[Planet '#]],Hybridtable[Planet '#],Hybridtable[Name])</f>
        <v>Gorgons</v>
      </c>
      <c r="C272" s="68" t="s">
        <v>159</v>
      </c>
      <c r="D272" s="78" t="str" cm="1">
        <f t="array" ref="D27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2" s="78" t="str" cm="1">
        <f t="array" ref="E27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2" s="77" t="str" cm="1">
        <f t="array" ref="F27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2" s="77" t="str" cm="1">
        <f t="array" ref="G27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2" s="79" t="str">
        <f>IF(COUNT(F272:G272)&lt;2,"",$N$16*UpgradeScores[[#This Row],[ROI Score]]+$O$16*UpgradeScores[[#This Row],[BE Score]])</f>
        <v/>
      </c>
      <c r="J272" s="79" t="str">
        <f t="shared" si="15"/>
        <v/>
      </c>
      <c r="K27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2" s="68" t="str">
        <f>IF(UpgradeScores[[#This Row],[Grade]]="", "",
   _xlfn.RANK.EQ(UpgradeScores[[#This Row],[Grade]], UpgradeScores[Grade], 1)
)</f>
        <v/>
      </c>
    </row>
    <row r="273" spans="1:12" x14ac:dyDescent="0.3">
      <c r="A273" s="16">
        <f t="shared" si="14"/>
        <v>68</v>
      </c>
      <c r="B273" s="68" t="str">
        <f>_xlfn.XLOOKUP(UpgradeScores[[#This Row],[Planet '#]],Hybridtable[Planet '#],Hybridtable[Name])</f>
        <v>Gorgons</v>
      </c>
      <c r="C273" s="68" t="s">
        <v>228</v>
      </c>
      <c r="D273" s="78" t="str" cm="1">
        <f t="array" ref="D27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3" s="78" t="str" cm="1">
        <f t="array" ref="E27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3" s="77" t="str" cm="1">
        <f t="array" ref="F27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3" s="77" t="str" cm="1">
        <f t="array" ref="G27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3" s="79" t="str">
        <f>IF(COUNT(F273:G273)&lt;2,"",$N$16*UpgradeScores[[#This Row],[ROI Score]]+$O$16*UpgradeScores[[#This Row],[BE Score]])</f>
        <v/>
      </c>
      <c r="J273" s="79" t="str">
        <f t="shared" si="15"/>
        <v/>
      </c>
      <c r="K27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3" s="68" t="str">
        <f>IF(UpgradeScores[[#This Row],[Grade]]="", "",
   _xlfn.RANK.EQ(UpgradeScores[[#This Row],[Grade]], UpgradeScores[Grade], 1)
)</f>
        <v/>
      </c>
    </row>
    <row r="274" spans="1:12" x14ac:dyDescent="0.3">
      <c r="A274" s="16">
        <f t="shared" si="14"/>
        <v>69</v>
      </c>
      <c r="B274" s="68" t="str">
        <f>_xlfn.XLOOKUP(UpgradeScores[[#This Row],[Planet '#]],Hybridtable[Planet '#],Hybridtable[Name])</f>
        <v>Pontus</v>
      </c>
      <c r="C274" s="68" t="s">
        <v>226</v>
      </c>
      <c r="D274" s="78" t="str" cm="1">
        <f t="array" ref="D27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4" s="78" t="str" cm="1">
        <f t="array" ref="E27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4" s="77" t="str" cm="1">
        <f t="array" ref="F27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4" s="77" t="str" cm="1">
        <f t="array" ref="G27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4" s="79" t="str">
        <f>IF(COUNT(F274:G274)&lt;2,"",$N$16*UpgradeScores[[#This Row],[ROI Score]]+$O$16*UpgradeScores[[#This Row],[BE Score]])</f>
        <v/>
      </c>
      <c r="J274" s="79" t="str">
        <f t="shared" si="15"/>
        <v/>
      </c>
      <c r="K27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4" s="68" t="str">
        <f>IF(UpgradeScores[[#This Row],[Grade]]="", "",
   _xlfn.RANK.EQ(UpgradeScores[[#This Row],[Grade]], UpgradeScores[Grade], 1)
)</f>
        <v/>
      </c>
    </row>
    <row r="275" spans="1:12" x14ac:dyDescent="0.3">
      <c r="A275" s="16">
        <f t="shared" ref="A275:A283" si="16">INT((ROW()-ROW($A$2))/4)+1</f>
        <v>69</v>
      </c>
      <c r="B275" s="68" t="str">
        <f>_xlfn.XLOOKUP(UpgradeScores[[#This Row],[Planet '#]],Hybridtable[Planet '#],Hybridtable[Name])</f>
        <v>Pontus</v>
      </c>
      <c r="C275" s="68" t="s">
        <v>227</v>
      </c>
      <c r="D275" s="78" t="str" cm="1">
        <f t="array" ref="D27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5" s="78" t="str" cm="1">
        <f t="array" ref="E27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5" s="77" t="str" cm="1">
        <f t="array" ref="F27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5" s="77" t="str" cm="1">
        <f t="array" ref="G27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5" s="79" t="str">
        <f>IF(COUNT(F275:G275)&lt;2,"",$N$16*UpgradeScores[[#This Row],[ROI Score]]+$O$16*UpgradeScores[[#This Row],[BE Score]])</f>
        <v/>
      </c>
      <c r="J275" s="79" t="str">
        <f t="shared" si="15"/>
        <v/>
      </c>
      <c r="K27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5" s="68" t="str">
        <f>IF(UpgradeScores[[#This Row],[Grade]]="", "",
   _xlfn.RANK.EQ(UpgradeScores[[#This Row],[Grade]], UpgradeScores[Grade], 1)
)</f>
        <v/>
      </c>
    </row>
    <row r="276" spans="1:12" x14ac:dyDescent="0.3">
      <c r="A276" s="16">
        <f t="shared" si="16"/>
        <v>69</v>
      </c>
      <c r="B276" s="68" t="str">
        <f>_xlfn.XLOOKUP(UpgradeScores[[#This Row],[Planet '#]],Hybridtable[Planet '#],Hybridtable[Name])</f>
        <v>Pontus</v>
      </c>
      <c r="C276" s="68" t="s">
        <v>159</v>
      </c>
      <c r="D276" s="78" t="str" cm="1">
        <f t="array" ref="D27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6" s="78" t="str" cm="1">
        <f t="array" ref="E27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6" s="77" t="str" cm="1">
        <f t="array" ref="F27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6" s="77" t="str" cm="1">
        <f t="array" ref="G27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6" s="79" t="str">
        <f>IF(COUNT(F276:G276)&lt;2,"",$N$16*UpgradeScores[[#This Row],[ROI Score]]+$O$16*UpgradeScores[[#This Row],[BE Score]])</f>
        <v/>
      </c>
      <c r="J276" s="79" t="str">
        <f t="shared" si="15"/>
        <v/>
      </c>
      <c r="K27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6" s="68" t="str">
        <f>IF(UpgradeScores[[#This Row],[Grade]]="", "",
   _xlfn.RANK.EQ(UpgradeScores[[#This Row],[Grade]], UpgradeScores[Grade], 1)
)</f>
        <v/>
      </c>
    </row>
    <row r="277" spans="1:12" x14ac:dyDescent="0.3">
      <c r="A277" s="16">
        <f t="shared" si="16"/>
        <v>69</v>
      </c>
      <c r="B277" s="68" t="str">
        <f>_xlfn.XLOOKUP(UpgradeScores[[#This Row],[Planet '#]],Hybridtable[Planet '#],Hybridtable[Name])</f>
        <v>Pontus</v>
      </c>
      <c r="C277" s="68" t="s">
        <v>228</v>
      </c>
      <c r="D277" s="78" t="str" cm="1">
        <f t="array" ref="D27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7" s="78" t="str" cm="1">
        <f t="array" ref="E27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7" s="77" t="str" cm="1">
        <f t="array" ref="F27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7" s="77" t="str" cm="1">
        <f t="array" ref="G27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7" s="79" t="str">
        <f>IF(COUNT(F277:G277)&lt;2,"",$N$16*UpgradeScores[[#This Row],[ROI Score]]+$O$16*UpgradeScores[[#This Row],[BE Score]])</f>
        <v/>
      </c>
      <c r="J277" s="79" t="str">
        <f t="shared" si="15"/>
        <v/>
      </c>
      <c r="K27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7" s="68" t="str">
        <f>IF(UpgradeScores[[#This Row],[Grade]]="", "",
   _xlfn.RANK.EQ(UpgradeScores[[#This Row],[Grade]], UpgradeScores[Grade], 1)
)</f>
        <v/>
      </c>
    </row>
    <row r="278" spans="1:12" x14ac:dyDescent="0.3">
      <c r="A278" s="16">
        <f t="shared" si="16"/>
        <v>70</v>
      </c>
      <c r="B278" s="68" t="str">
        <f>_xlfn.XLOOKUP(UpgradeScores[[#This Row],[Planet '#]],Hybridtable[Planet '#],Hybridtable[Name])</f>
        <v>Leto</v>
      </c>
      <c r="C278" s="68" t="s">
        <v>226</v>
      </c>
      <c r="D278" s="78" t="str" cm="1">
        <f t="array" ref="D27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8" s="78" t="str" cm="1">
        <f t="array" ref="E27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8" s="77" t="str" cm="1">
        <f t="array" ref="F27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8" s="77" t="str" cm="1">
        <f t="array" ref="G27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8" s="79" t="str">
        <f>IF(COUNT(F278:G278)&lt;2,"",$N$16*UpgradeScores[[#This Row],[ROI Score]]+$O$16*UpgradeScores[[#This Row],[BE Score]])</f>
        <v/>
      </c>
      <c r="J278" s="79" t="str">
        <f t="shared" si="15"/>
        <v/>
      </c>
      <c r="K27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8" s="68" t="str">
        <f>IF(UpgradeScores[[#This Row],[Grade]]="", "",
   _xlfn.RANK.EQ(UpgradeScores[[#This Row],[Grade]], UpgradeScores[Grade], 1)
)</f>
        <v/>
      </c>
    </row>
    <row r="279" spans="1:12" x14ac:dyDescent="0.3">
      <c r="A279" s="16">
        <f t="shared" si="16"/>
        <v>70</v>
      </c>
      <c r="B279" s="68" t="str">
        <f>_xlfn.XLOOKUP(UpgradeScores[[#This Row],[Planet '#]],Hybridtable[Planet '#],Hybridtable[Name])</f>
        <v>Leto</v>
      </c>
      <c r="C279" s="68" t="s">
        <v>227</v>
      </c>
      <c r="D279" s="78" t="str" cm="1">
        <f t="array" ref="D27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79" s="78" t="str" cm="1">
        <f t="array" ref="E27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79" s="77" t="str" cm="1">
        <f t="array" ref="F27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79" s="77" t="str" cm="1">
        <f t="array" ref="G27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7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79" s="79" t="str">
        <f>IF(COUNT(F279:G279)&lt;2,"",$N$16*UpgradeScores[[#This Row],[ROI Score]]+$O$16*UpgradeScores[[#This Row],[BE Score]])</f>
        <v/>
      </c>
      <c r="J279" s="79" t="str">
        <f t="shared" si="15"/>
        <v/>
      </c>
      <c r="K27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79" s="68" t="str">
        <f>IF(UpgradeScores[[#This Row],[Grade]]="", "",
   _xlfn.RANK.EQ(UpgradeScores[[#This Row],[Grade]], UpgradeScores[Grade], 1)
)</f>
        <v/>
      </c>
    </row>
    <row r="280" spans="1:12" x14ac:dyDescent="0.3">
      <c r="A280" s="16">
        <f t="shared" si="16"/>
        <v>70</v>
      </c>
      <c r="B280" s="68" t="str">
        <f>_xlfn.XLOOKUP(UpgradeScores[[#This Row],[Planet '#]],Hybridtable[Planet '#],Hybridtable[Name])</f>
        <v>Leto</v>
      </c>
      <c r="C280" s="68" t="s">
        <v>159</v>
      </c>
      <c r="D280" s="78" t="str" cm="1">
        <f t="array" ref="D28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0" s="78" t="str" cm="1">
        <f t="array" ref="E28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0" s="77" t="str" cm="1">
        <f t="array" ref="F28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0" s="77" t="str" cm="1">
        <f t="array" ref="G28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0" s="79" t="str">
        <f>IF(COUNT(F280:G280)&lt;2,"",$N$16*UpgradeScores[[#This Row],[ROI Score]]+$O$16*UpgradeScores[[#This Row],[BE Score]])</f>
        <v/>
      </c>
      <c r="J280" s="79" t="str">
        <f t="shared" si="15"/>
        <v/>
      </c>
      <c r="K28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0" s="68" t="str">
        <f>IF(UpgradeScores[[#This Row],[Grade]]="", "",
   _xlfn.RANK.EQ(UpgradeScores[[#This Row],[Grade]], UpgradeScores[Grade], 1)
)</f>
        <v/>
      </c>
    </row>
    <row r="281" spans="1:12" x14ac:dyDescent="0.3">
      <c r="A281" s="16">
        <f t="shared" si="16"/>
        <v>70</v>
      </c>
      <c r="B281" s="68" t="str">
        <f>_xlfn.XLOOKUP(UpgradeScores[[#This Row],[Planet '#]],Hybridtable[Planet '#],Hybridtable[Name])</f>
        <v>Leto</v>
      </c>
      <c r="C281" s="68" t="s">
        <v>228</v>
      </c>
      <c r="D281" s="78" t="str" cm="1">
        <f t="array" ref="D28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1" s="78" t="str" cm="1">
        <f t="array" ref="E28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1" s="77" t="str" cm="1">
        <f t="array" ref="F28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1" s="77" t="str" cm="1">
        <f t="array" ref="G28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1" s="79" t="str">
        <f>IF(COUNT(F281:G281)&lt;2,"",$N$16*UpgradeScores[[#This Row],[ROI Score]]+$O$16*UpgradeScores[[#This Row],[BE Score]])</f>
        <v/>
      </c>
      <c r="J281" s="79" t="str">
        <f t="shared" si="15"/>
        <v/>
      </c>
      <c r="K28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1" s="68" t="str">
        <f>IF(UpgradeScores[[#This Row],[Grade]]="", "",
   _xlfn.RANK.EQ(UpgradeScores[[#This Row],[Grade]], UpgradeScores[Grade], 1)
)</f>
        <v/>
      </c>
    </row>
    <row r="282" spans="1:12" x14ac:dyDescent="0.3">
      <c r="A282" s="16">
        <f t="shared" si="16"/>
        <v>71</v>
      </c>
      <c r="B282" s="68" t="str">
        <f>_xlfn.XLOOKUP(UpgradeScores[[#This Row],[Planet '#]],Hybridtable[Planet '#],Hybridtable[Name])</f>
        <v>Laconia</v>
      </c>
      <c r="C282" s="68" t="s">
        <v>226</v>
      </c>
      <c r="D282" s="78" t="str" cm="1">
        <f t="array" ref="D28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2" s="78" t="str" cm="1">
        <f t="array" ref="E28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2" s="77" t="str" cm="1">
        <f t="array" ref="F28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2" s="77" t="str" cm="1">
        <f t="array" ref="G28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2" s="79" t="str">
        <f>IF(COUNT(F282:G282)&lt;2,"",$N$16*UpgradeScores[[#This Row],[ROI Score]]+$O$16*UpgradeScores[[#This Row],[BE Score]])</f>
        <v/>
      </c>
      <c r="J282" s="79" t="str">
        <f t="shared" si="15"/>
        <v/>
      </c>
      <c r="K28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2" s="68" t="str">
        <f>IF(UpgradeScores[[#This Row],[Grade]]="", "",
   _xlfn.RANK.EQ(UpgradeScores[[#This Row],[Grade]], UpgradeScores[Grade], 1)
)</f>
        <v/>
      </c>
    </row>
    <row r="283" spans="1:12" x14ac:dyDescent="0.3">
      <c r="A283" s="16">
        <f t="shared" si="16"/>
        <v>71</v>
      </c>
      <c r="B283" s="68" t="str">
        <f>_xlfn.XLOOKUP(UpgradeScores[[#This Row],[Planet '#]],Hybridtable[Planet '#],Hybridtable[Name])</f>
        <v>Laconia</v>
      </c>
      <c r="C283" s="68" t="s">
        <v>227</v>
      </c>
      <c r="D283" s="78" t="str" cm="1">
        <f t="array" ref="D28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3" s="78" t="str" cm="1">
        <f t="array" ref="E28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3" s="77" t="str" cm="1">
        <f t="array" ref="F28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3" s="77" t="str" cm="1">
        <f t="array" ref="G28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3" s="79" t="str">
        <f>IF(COUNT(F283:G283)&lt;2,"",$N$16*UpgradeScores[[#This Row],[ROI Score]]+$O$16*UpgradeScores[[#This Row],[BE Score]])</f>
        <v/>
      </c>
      <c r="J283" s="79" t="str">
        <f t="shared" si="15"/>
        <v/>
      </c>
      <c r="K28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3" s="68" t="str">
        <f>IF(UpgradeScores[[#This Row],[Grade]]="", "",
   _xlfn.RANK.EQ(UpgradeScores[[#This Row],[Grade]], UpgradeScores[Grade], 1)
)</f>
        <v/>
      </c>
    </row>
    <row r="284" spans="1:12" x14ac:dyDescent="0.3">
      <c r="A284" s="16">
        <f t="shared" ref="A284:A297" si="17">INT((ROW()-ROW($A$2))/4)+1</f>
        <v>71</v>
      </c>
      <c r="B284" s="68" t="str">
        <f>_xlfn.XLOOKUP(UpgradeScores[[#This Row],[Planet '#]],Hybridtable[Planet '#],Hybridtable[Name])</f>
        <v>Laconia</v>
      </c>
      <c r="C284" s="68" t="s">
        <v>159</v>
      </c>
      <c r="D284" s="78" t="str" cm="1">
        <f t="array" ref="D28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4" s="78" t="str" cm="1">
        <f t="array" ref="E28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4" s="77" t="str" cm="1">
        <f t="array" ref="F28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4" s="77" t="str" cm="1">
        <f t="array" ref="G28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4" s="79" t="str">
        <f>IF(COUNT(F284:G284)&lt;2,"",$N$16*UpgradeScores[[#This Row],[ROI Score]]+$O$16*UpgradeScores[[#This Row],[BE Score]])</f>
        <v/>
      </c>
      <c r="J284" s="79" t="str">
        <f t="shared" si="15"/>
        <v/>
      </c>
      <c r="K28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4" s="68" t="str">
        <f>IF(UpgradeScores[[#This Row],[Grade]]="", "",
   _xlfn.RANK.EQ(UpgradeScores[[#This Row],[Grade]], UpgradeScores[Grade], 1)
)</f>
        <v/>
      </c>
    </row>
    <row r="285" spans="1:12" x14ac:dyDescent="0.3">
      <c r="A285" s="16">
        <f t="shared" si="17"/>
        <v>71</v>
      </c>
      <c r="B285" s="68" t="str">
        <f>_xlfn.XLOOKUP(UpgradeScores[[#This Row],[Planet '#]],Hybridtable[Planet '#],Hybridtable[Name])</f>
        <v>Laconia</v>
      </c>
      <c r="C285" s="68" t="s">
        <v>228</v>
      </c>
      <c r="D285" s="78" t="str" cm="1">
        <f t="array" ref="D28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5" s="78" t="str" cm="1">
        <f t="array" ref="E28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5" s="77" t="str" cm="1">
        <f t="array" ref="F28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5" s="77" t="str" cm="1">
        <f t="array" ref="G28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5" s="79" t="str">
        <f>IF(COUNT(F285:G285)&lt;2,"",$N$16*UpgradeScores[[#This Row],[ROI Score]]+$O$16*UpgradeScores[[#This Row],[BE Score]])</f>
        <v/>
      </c>
      <c r="J285" s="79" t="str">
        <f t="shared" si="15"/>
        <v/>
      </c>
      <c r="K28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5" s="68" t="str">
        <f>IF(UpgradeScores[[#This Row],[Grade]]="", "",
   _xlfn.RANK.EQ(UpgradeScores[[#This Row],[Grade]], UpgradeScores[Grade], 1)
)</f>
        <v/>
      </c>
    </row>
    <row r="286" spans="1:12" x14ac:dyDescent="0.3">
      <c r="A286" s="16">
        <f t="shared" si="17"/>
        <v>72</v>
      </c>
      <c r="B286" s="68" t="str">
        <f>_xlfn.XLOOKUP(UpgradeScores[[#This Row],[Planet '#]],Hybridtable[Planet '#],Hybridtable[Name])</f>
        <v>Awohali</v>
      </c>
      <c r="C286" s="68" t="s">
        <v>226</v>
      </c>
      <c r="D286" s="78" t="str" cm="1">
        <f t="array" ref="D28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6" s="78" t="str" cm="1">
        <f t="array" ref="E28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6" s="77" t="str" cm="1">
        <f t="array" ref="F28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6" s="77" t="str" cm="1">
        <f t="array" ref="G28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6" s="79" t="str">
        <f>IF(COUNT(F286:G286)&lt;2,"",$N$16*UpgradeScores[[#This Row],[ROI Score]]+$O$16*UpgradeScores[[#This Row],[BE Score]])</f>
        <v/>
      </c>
      <c r="J286" s="79" t="str">
        <f t="shared" si="15"/>
        <v/>
      </c>
      <c r="K28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6" s="68" t="str">
        <f>IF(UpgradeScores[[#This Row],[Grade]]="", "",
   _xlfn.RANK.EQ(UpgradeScores[[#This Row],[Grade]], UpgradeScores[Grade], 1)
)</f>
        <v/>
      </c>
    </row>
    <row r="287" spans="1:12" x14ac:dyDescent="0.3">
      <c r="A287" s="16">
        <f t="shared" si="17"/>
        <v>72</v>
      </c>
      <c r="B287" s="68" t="str">
        <f>_xlfn.XLOOKUP(UpgradeScores[[#This Row],[Planet '#]],Hybridtable[Planet '#],Hybridtable[Name])</f>
        <v>Awohali</v>
      </c>
      <c r="C287" s="68" t="s">
        <v>227</v>
      </c>
      <c r="D287" s="78" t="str" cm="1">
        <f t="array" ref="D28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7" s="78" t="str" cm="1">
        <f t="array" ref="E28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7" s="77" t="str" cm="1">
        <f t="array" ref="F28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7" s="77" t="str" cm="1">
        <f t="array" ref="G28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7" s="79" t="str">
        <f>IF(COUNT(F287:G287)&lt;2,"",$N$16*UpgradeScores[[#This Row],[ROI Score]]+$O$16*UpgradeScores[[#This Row],[BE Score]])</f>
        <v/>
      </c>
      <c r="J287" s="79" t="str">
        <f t="shared" si="15"/>
        <v/>
      </c>
      <c r="K28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7" s="68" t="str">
        <f>IF(UpgradeScores[[#This Row],[Grade]]="", "",
   _xlfn.RANK.EQ(UpgradeScores[[#This Row],[Grade]], UpgradeScores[Grade], 1)
)</f>
        <v/>
      </c>
    </row>
    <row r="288" spans="1:12" x14ac:dyDescent="0.3">
      <c r="A288" s="16">
        <f t="shared" si="17"/>
        <v>72</v>
      </c>
      <c r="B288" s="68" t="str">
        <f>_xlfn.XLOOKUP(UpgradeScores[[#This Row],[Planet '#]],Hybridtable[Planet '#],Hybridtable[Name])</f>
        <v>Awohali</v>
      </c>
      <c r="C288" s="68" t="s">
        <v>159</v>
      </c>
      <c r="D288" s="78" t="str" cm="1">
        <f t="array" ref="D28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8" s="78" t="str" cm="1">
        <f t="array" ref="E28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8" s="77" t="str" cm="1">
        <f t="array" ref="F28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8" s="77" t="str" cm="1">
        <f t="array" ref="G28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8" s="79" t="str">
        <f>IF(COUNT(F288:G288)&lt;2,"",$N$16*UpgradeScores[[#This Row],[ROI Score]]+$O$16*UpgradeScores[[#This Row],[BE Score]])</f>
        <v/>
      </c>
      <c r="J288" s="79" t="str">
        <f t="shared" si="15"/>
        <v/>
      </c>
      <c r="K28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8" s="68" t="str">
        <f>IF(UpgradeScores[[#This Row],[Grade]]="", "",
   _xlfn.RANK.EQ(UpgradeScores[[#This Row],[Grade]], UpgradeScores[Grade], 1)
)</f>
        <v/>
      </c>
    </row>
    <row r="289" spans="1:12" x14ac:dyDescent="0.3">
      <c r="A289" s="16">
        <f t="shared" si="17"/>
        <v>72</v>
      </c>
      <c r="B289" s="68" t="str">
        <f>_xlfn.XLOOKUP(UpgradeScores[[#This Row],[Planet '#]],Hybridtable[Planet '#],Hybridtable[Name])</f>
        <v>Awohali</v>
      </c>
      <c r="C289" s="68" t="s">
        <v>228</v>
      </c>
      <c r="D289" s="78" t="str" cm="1">
        <f t="array" ref="D28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89" s="78" t="str" cm="1">
        <f t="array" ref="E28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89" s="77" t="str" cm="1">
        <f t="array" ref="F28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89" s="77" t="str" cm="1">
        <f t="array" ref="G28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8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89" s="79" t="str">
        <f>IF(COUNT(F289:G289)&lt;2,"",$N$16*UpgradeScores[[#This Row],[ROI Score]]+$O$16*UpgradeScores[[#This Row],[BE Score]])</f>
        <v/>
      </c>
      <c r="J289" s="79" t="str">
        <f t="shared" si="15"/>
        <v/>
      </c>
      <c r="K28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89" s="68" t="str">
        <f>IF(UpgradeScores[[#This Row],[Grade]]="", "",
   _xlfn.RANK.EQ(UpgradeScores[[#This Row],[Grade]], UpgradeScores[Grade], 1)
)</f>
        <v/>
      </c>
    </row>
    <row r="290" spans="1:12" x14ac:dyDescent="0.3">
      <c r="A290" s="16">
        <f t="shared" si="17"/>
        <v>73</v>
      </c>
      <c r="B290" s="68" t="str">
        <f>_xlfn.XLOOKUP(UpgradeScores[[#This Row],[Planet '#]],Hybridtable[Planet '#],Hybridtable[Name])</f>
        <v>Pegasi</v>
      </c>
      <c r="C290" s="68" t="s">
        <v>226</v>
      </c>
      <c r="D290" s="78" t="str" cm="1">
        <f t="array" ref="D29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0" s="78" t="str" cm="1">
        <f t="array" ref="E29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0" s="77" t="str" cm="1">
        <f t="array" ref="F29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0" s="77" t="str" cm="1">
        <f t="array" ref="G29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0" s="79" t="str">
        <f>IF(COUNT(F290:G290)&lt;2,"",$N$16*UpgradeScores[[#This Row],[ROI Score]]+$O$16*UpgradeScores[[#This Row],[BE Score]])</f>
        <v/>
      </c>
      <c r="J290" s="79" t="str">
        <f t="shared" si="15"/>
        <v/>
      </c>
      <c r="K29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0" s="68" t="str">
        <f>IF(UpgradeScores[[#This Row],[Grade]]="", "",
   _xlfn.RANK.EQ(UpgradeScores[[#This Row],[Grade]], UpgradeScores[Grade], 1)
)</f>
        <v/>
      </c>
    </row>
    <row r="291" spans="1:12" x14ac:dyDescent="0.3">
      <c r="A291" s="16">
        <f t="shared" si="17"/>
        <v>73</v>
      </c>
      <c r="B291" s="68" t="str">
        <f>_xlfn.XLOOKUP(UpgradeScores[[#This Row],[Planet '#]],Hybridtable[Planet '#],Hybridtable[Name])</f>
        <v>Pegasi</v>
      </c>
      <c r="C291" s="68" t="s">
        <v>227</v>
      </c>
      <c r="D291" s="78" t="str" cm="1">
        <f t="array" ref="D29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1" s="78" t="str" cm="1">
        <f t="array" ref="E29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1" s="77" t="str" cm="1">
        <f t="array" ref="F29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1" s="77" t="str" cm="1">
        <f t="array" ref="G29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1" s="79" t="str">
        <f>IF(COUNT(F291:G291)&lt;2,"",$N$16*UpgradeScores[[#This Row],[ROI Score]]+$O$16*UpgradeScores[[#This Row],[BE Score]])</f>
        <v/>
      </c>
      <c r="J291" s="79" t="str">
        <f t="shared" si="15"/>
        <v/>
      </c>
      <c r="K29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1" s="68" t="str">
        <f>IF(UpgradeScores[[#This Row],[Grade]]="", "",
   _xlfn.RANK.EQ(UpgradeScores[[#This Row],[Grade]], UpgradeScores[Grade], 1)
)</f>
        <v/>
      </c>
    </row>
    <row r="292" spans="1:12" x14ac:dyDescent="0.3">
      <c r="A292" s="16">
        <f t="shared" si="17"/>
        <v>73</v>
      </c>
      <c r="B292" s="68" t="str">
        <f>_xlfn.XLOOKUP(UpgradeScores[[#This Row],[Planet '#]],Hybridtable[Planet '#],Hybridtable[Name])</f>
        <v>Pegasi</v>
      </c>
      <c r="C292" s="68" t="s">
        <v>159</v>
      </c>
      <c r="D292" s="78" t="str" cm="1">
        <f t="array" ref="D29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2" s="78" t="str" cm="1">
        <f t="array" ref="E29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2" s="77" t="str" cm="1">
        <f t="array" ref="F29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2" s="77" t="str" cm="1">
        <f t="array" ref="G29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2" s="79" t="str">
        <f>IF(COUNT(F292:G292)&lt;2,"",$N$16*UpgradeScores[[#This Row],[ROI Score]]+$O$16*UpgradeScores[[#This Row],[BE Score]])</f>
        <v/>
      </c>
      <c r="J292" s="79" t="str">
        <f t="shared" si="15"/>
        <v/>
      </c>
      <c r="K29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2" s="68" t="str">
        <f>IF(UpgradeScores[[#This Row],[Grade]]="", "",
   _xlfn.RANK.EQ(UpgradeScores[[#This Row],[Grade]], UpgradeScores[Grade], 1)
)</f>
        <v/>
      </c>
    </row>
    <row r="293" spans="1:12" x14ac:dyDescent="0.3">
      <c r="A293" s="16">
        <f t="shared" si="17"/>
        <v>73</v>
      </c>
      <c r="B293" s="68" t="str">
        <f>_xlfn.XLOOKUP(UpgradeScores[[#This Row],[Planet '#]],Hybridtable[Planet '#],Hybridtable[Name])</f>
        <v>Pegasi</v>
      </c>
      <c r="C293" s="68" t="s">
        <v>228</v>
      </c>
      <c r="D293" s="78" t="str" cm="1">
        <f t="array" ref="D29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3" s="78" t="str" cm="1">
        <f t="array" ref="E29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3" s="77" t="str" cm="1">
        <f t="array" ref="F29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3" s="77" t="str" cm="1">
        <f t="array" ref="G29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3" s="79" t="str">
        <f>IF(COUNT(F293:G293)&lt;2,"",$N$16*UpgradeScores[[#This Row],[ROI Score]]+$O$16*UpgradeScores[[#This Row],[BE Score]])</f>
        <v/>
      </c>
      <c r="J293" s="79" t="str">
        <f t="shared" si="15"/>
        <v/>
      </c>
      <c r="K29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3" s="68" t="str">
        <f>IF(UpgradeScores[[#This Row],[Grade]]="", "",
   _xlfn.RANK.EQ(UpgradeScores[[#This Row],[Grade]], UpgradeScores[Grade], 1)
)</f>
        <v/>
      </c>
    </row>
    <row r="294" spans="1:12" x14ac:dyDescent="0.3">
      <c r="A294" s="16">
        <f t="shared" si="17"/>
        <v>74</v>
      </c>
      <c r="B294" s="68" t="str">
        <f>_xlfn.XLOOKUP(UpgradeScores[[#This Row],[Planet '#]],Hybridtable[Planet '#],Hybridtable[Name])</f>
        <v>Typhon</v>
      </c>
      <c r="C294" s="68" t="s">
        <v>226</v>
      </c>
      <c r="D294" s="78" t="str" cm="1">
        <f t="array" ref="D29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4" s="78" t="str" cm="1">
        <f t="array" ref="E29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4" s="77" t="str" cm="1">
        <f t="array" ref="F29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4" s="77" t="str" cm="1">
        <f t="array" ref="G29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4" s="79" t="str">
        <f>IF(COUNT(F294:G294)&lt;2,"",$N$16*UpgradeScores[[#This Row],[ROI Score]]+$O$16*UpgradeScores[[#This Row],[BE Score]])</f>
        <v/>
      </c>
      <c r="J294" s="79" t="str">
        <f t="shared" si="15"/>
        <v/>
      </c>
      <c r="K29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4" s="68" t="str">
        <f>IF(UpgradeScores[[#This Row],[Grade]]="", "",
   _xlfn.RANK.EQ(UpgradeScores[[#This Row],[Grade]], UpgradeScores[Grade], 1)
)</f>
        <v/>
      </c>
    </row>
    <row r="295" spans="1:12" x14ac:dyDescent="0.3">
      <c r="A295" s="16">
        <f t="shared" si="17"/>
        <v>74</v>
      </c>
      <c r="B295" s="68" t="str">
        <f>_xlfn.XLOOKUP(UpgradeScores[[#This Row],[Planet '#]],Hybridtable[Planet '#],Hybridtable[Name])</f>
        <v>Typhon</v>
      </c>
      <c r="C295" s="68" t="s">
        <v>227</v>
      </c>
      <c r="D295" s="78" t="str" cm="1">
        <f t="array" ref="D29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5" s="78" t="str" cm="1">
        <f t="array" ref="E29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5" s="77" t="str" cm="1">
        <f t="array" ref="F29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5" s="77" t="str" cm="1">
        <f t="array" ref="G29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5" s="79" t="str">
        <f>IF(COUNT(F295:G295)&lt;2,"",$N$16*UpgradeScores[[#This Row],[ROI Score]]+$O$16*UpgradeScores[[#This Row],[BE Score]])</f>
        <v/>
      </c>
      <c r="J295" s="79" t="str">
        <f t="shared" si="15"/>
        <v/>
      </c>
      <c r="K29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5" s="68" t="str">
        <f>IF(UpgradeScores[[#This Row],[Grade]]="", "",
   _xlfn.RANK.EQ(UpgradeScores[[#This Row],[Grade]], UpgradeScores[Grade], 1)
)</f>
        <v/>
      </c>
    </row>
    <row r="296" spans="1:12" x14ac:dyDescent="0.3">
      <c r="A296" s="16">
        <f t="shared" si="17"/>
        <v>74</v>
      </c>
      <c r="B296" s="68" t="str">
        <f>_xlfn.XLOOKUP(UpgradeScores[[#This Row],[Planet '#]],Hybridtable[Planet '#],Hybridtable[Name])</f>
        <v>Typhon</v>
      </c>
      <c r="C296" s="68" t="s">
        <v>159</v>
      </c>
      <c r="D296" s="78" t="str" cm="1">
        <f t="array" ref="D296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6" s="78" t="str" cm="1">
        <f t="array" ref="E296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6" s="77" t="str" cm="1">
        <f t="array" ref="F296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6" s="77" t="str" cm="1">
        <f t="array" ref="G296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6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6" s="79" t="str">
        <f>IF(COUNT(F296:G296)&lt;2,"",$N$16*UpgradeScores[[#This Row],[ROI Score]]+$O$16*UpgradeScores[[#This Row],[BE Score]])</f>
        <v/>
      </c>
      <c r="J296" s="79" t="str">
        <f t="shared" si="15"/>
        <v/>
      </c>
      <c r="K296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6" s="68" t="str">
        <f>IF(UpgradeScores[[#This Row],[Grade]]="", "",
   _xlfn.RANK.EQ(UpgradeScores[[#This Row],[Grade]], UpgradeScores[Grade], 1)
)</f>
        <v/>
      </c>
    </row>
    <row r="297" spans="1:12" x14ac:dyDescent="0.3">
      <c r="A297" s="16">
        <f t="shared" si="17"/>
        <v>74</v>
      </c>
      <c r="B297" s="68" t="str">
        <f>_xlfn.XLOOKUP(UpgradeScores[[#This Row],[Planet '#]],Hybridtable[Planet '#],Hybridtable[Name])</f>
        <v>Typhon</v>
      </c>
      <c r="C297" s="68" t="s">
        <v>228</v>
      </c>
      <c r="D297" s="78" t="str" cm="1">
        <f t="array" ref="D297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7" s="78" t="str" cm="1">
        <f t="array" ref="E297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7" s="77" t="str" cm="1">
        <f t="array" ref="F297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7" s="77" t="str" cm="1">
        <f t="array" ref="G297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7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7" s="79" t="str">
        <f>IF(COUNT(F297:G297)&lt;2,"",$N$16*UpgradeScores[[#This Row],[ROI Score]]+$O$16*UpgradeScores[[#This Row],[BE Score]])</f>
        <v/>
      </c>
      <c r="J297" s="79" t="str">
        <f t="shared" si="15"/>
        <v/>
      </c>
      <c r="K297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7" s="68" t="str">
        <f>IF(UpgradeScores[[#This Row],[Grade]]="", "",
   _xlfn.RANK.EQ(UpgradeScores[[#This Row],[Grade]], UpgradeScores[Grade], 1)
)</f>
        <v/>
      </c>
    </row>
    <row r="298" spans="1:12" x14ac:dyDescent="0.3">
      <c r="A298" s="16">
        <f t="shared" ref="A298:A300" si="18">INT((ROW()-ROW($A$2))/4)+1</f>
        <v>75</v>
      </c>
      <c r="B298" s="68" t="str">
        <f>_xlfn.XLOOKUP(UpgradeScores[[#This Row],[Planet '#]],Hybridtable[Planet '#],Hybridtable[Name])</f>
        <v>Surtur</v>
      </c>
      <c r="C298" s="68" t="s">
        <v>226</v>
      </c>
      <c r="D298" s="78" t="str" cm="1">
        <f t="array" ref="D298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8" s="78" t="str" cm="1">
        <f t="array" ref="E298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8" s="77" t="str" cm="1">
        <f t="array" ref="F298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8" s="77" t="str" cm="1">
        <f t="array" ref="G298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8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8" s="79" t="str">
        <f>IF(COUNT(F298:G298)&lt;2,"",$N$16*UpgradeScores[[#This Row],[ROI Score]]+$O$16*UpgradeScores[[#This Row],[BE Score]])</f>
        <v/>
      </c>
      <c r="J298" s="79" t="str">
        <f t="shared" si="15"/>
        <v/>
      </c>
      <c r="K298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8" s="68" t="str">
        <f>IF(UpgradeScores[[#This Row],[Grade]]="", "",
   _xlfn.RANK.EQ(UpgradeScores[[#This Row],[Grade]], UpgradeScores[Grade], 1)
)</f>
        <v/>
      </c>
    </row>
    <row r="299" spans="1:12" x14ac:dyDescent="0.3">
      <c r="A299" s="16">
        <f t="shared" si="18"/>
        <v>75</v>
      </c>
      <c r="B299" s="68" t="str">
        <f>_xlfn.XLOOKUP(UpgradeScores[[#This Row],[Planet '#]],Hybridtable[Planet '#],Hybridtable[Name])</f>
        <v>Surtur</v>
      </c>
      <c r="C299" s="68" t="s">
        <v>227</v>
      </c>
      <c r="D299" s="78" t="str" cm="1">
        <f t="array" ref="D299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299" s="78" t="str" cm="1">
        <f t="array" ref="E299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299" s="77" t="str" cm="1">
        <f t="array" ref="F299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299" s="77" t="str" cm="1">
        <f t="array" ref="G299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299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299" s="79" t="str">
        <f>IF(COUNT(F299:G299)&lt;2,"",$N$16*UpgradeScores[[#This Row],[ROI Score]]+$O$16*UpgradeScores[[#This Row],[BE Score]])</f>
        <v/>
      </c>
      <c r="J299" s="79" t="str">
        <f t="shared" si="15"/>
        <v/>
      </c>
      <c r="K299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299" s="68" t="str">
        <f>IF(UpgradeScores[[#This Row],[Grade]]="", "",
   _xlfn.RANK.EQ(UpgradeScores[[#This Row],[Grade]], UpgradeScores[Grade], 1)
)</f>
        <v/>
      </c>
    </row>
    <row r="300" spans="1:12" x14ac:dyDescent="0.3">
      <c r="A300" s="16">
        <f t="shared" si="18"/>
        <v>75</v>
      </c>
      <c r="B300" s="68" t="str">
        <f>_xlfn.XLOOKUP(UpgradeScores[[#This Row],[Planet '#]],Hybridtable[Planet '#],Hybridtable[Name])</f>
        <v>Surtur</v>
      </c>
      <c r="C300" s="68" t="s">
        <v>159</v>
      </c>
      <c r="D300" s="78" t="str" cm="1">
        <f t="array" ref="D300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00" s="78" t="str" cm="1">
        <f t="array" ref="E300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00" s="77" t="str" cm="1">
        <f t="array" ref="F300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00" s="77" t="str" cm="1">
        <f t="array" ref="G300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00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00" s="79" t="str">
        <f>IF(COUNT(F300:G300)&lt;2,"",$N$16*UpgradeScores[[#This Row],[ROI Score]]+$O$16*UpgradeScores[[#This Row],[BE Score]])</f>
        <v/>
      </c>
      <c r="J300" s="79" t="str">
        <f t="shared" si="15"/>
        <v/>
      </c>
      <c r="K300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00" s="68" t="str">
        <f>IF(UpgradeScores[[#This Row],[Grade]]="", "",
   _xlfn.RANK.EQ(UpgradeScores[[#This Row],[Grade]], UpgradeScores[Grade], 1)
)</f>
        <v/>
      </c>
    </row>
    <row r="301" spans="1:12" x14ac:dyDescent="0.3">
      <c r="A301" s="16">
        <f t="shared" ref="A301:A305" si="19">INT((ROW()-ROW($A$2))/4)+1</f>
        <v>75</v>
      </c>
      <c r="B301" s="68" t="str">
        <f>_xlfn.XLOOKUP(UpgradeScores[[#This Row],[Planet '#]],Hybridtable[Planet '#],Hybridtable[Name])</f>
        <v>Surtur</v>
      </c>
      <c r="C301" s="68" t="s">
        <v>228</v>
      </c>
      <c r="D301" s="78" t="str" cm="1">
        <f t="array" ref="D301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01" s="78" t="str" cm="1">
        <f t="array" ref="E301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01" s="77" t="str" cm="1">
        <f t="array" ref="F301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01" s="77" t="str" cm="1">
        <f t="array" ref="G301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01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01" s="79" t="str">
        <f>IF(COUNT(F301:G301)&lt;2,"",$N$16*UpgradeScores[[#This Row],[ROI Score]]+$O$16*UpgradeScores[[#This Row],[BE Score]])</f>
        <v/>
      </c>
      <c r="J301" s="79" t="str">
        <f t="shared" si="15"/>
        <v/>
      </c>
      <c r="K301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01" s="68" t="str">
        <f>IF(UpgradeScores[[#This Row],[Grade]]="", "",
   _xlfn.RANK.EQ(UpgradeScores[[#This Row],[Grade]], UpgradeScores[Grade], 1)
)</f>
        <v/>
      </c>
    </row>
    <row r="302" spans="1:12" x14ac:dyDescent="0.3">
      <c r="A302" s="16">
        <f t="shared" si="19"/>
        <v>76</v>
      </c>
      <c r="B302" s="68" t="str">
        <f>_xlfn.XLOOKUP(UpgradeScores[[#This Row],[Planet '#]],Hybridtable[Planet '#],Hybridtable[Name])</f>
        <v>Vesta</v>
      </c>
      <c r="C302" s="68" t="s">
        <v>226</v>
      </c>
      <c r="D302" s="78" t="str" cm="1">
        <f t="array" ref="D302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02" s="78" t="str" cm="1">
        <f t="array" ref="E302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02" s="77" t="str" cm="1">
        <f t="array" ref="F302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02" s="77" t="str" cm="1">
        <f t="array" ref="G302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02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02" s="79" t="str">
        <f>IF(COUNT(F302:G302)&lt;2,"",$N$16*UpgradeScores[[#This Row],[ROI Score]]+$O$16*UpgradeScores[[#This Row],[BE Score]])</f>
        <v/>
      </c>
      <c r="J302" s="79" t="str">
        <f t="shared" si="15"/>
        <v/>
      </c>
      <c r="K302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02" s="68" t="str">
        <f>IF(UpgradeScores[[#This Row],[Grade]]="", "",
   _xlfn.RANK.EQ(UpgradeScores[[#This Row],[Grade]], UpgradeScores[Grade], 1)
)</f>
        <v/>
      </c>
    </row>
    <row r="303" spans="1:12" x14ac:dyDescent="0.3">
      <c r="A303" s="16">
        <f t="shared" si="19"/>
        <v>76</v>
      </c>
      <c r="B303" s="68" t="str">
        <f>_xlfn.XLOOKUP(UpgradeScores[[#This Row],[Planet '#]],Hybridtable[Planet '#],Hybridtable[Name])</f>
        <v>Vesta</v>
      </c>
      <c r="C303" s="68" t="s">
        <v>227</v>
      </c>
      <c r="D303" s="78" t="str" cm="1">
        <f t="array" ref="D303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03" s="78" t="str" cm="1">
        <f t="array" ref="E303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03" s="77" t="str" cm="1">
        <f t="array" ref="F303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03" s="77" t="str" cm="1">
        <f t="array" ref="G303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03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03" s="79" t="str">
        <f>IF(COUNT(F303:G303)&lt;2,"",$N$16*UpgradeScores[[#This Row],[ROI Score]]+$O$16*UpgradeScores[[#This Row],[BE Score]])</f>
        <v/>
      </c>
      <c r="J303" s="79" t="str">
        <f t="shared" si="15"/>
        <v/>
      </c>
      <c r="K303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03" s="68" t="str">
        <f>IF(UpgradeScores[[#This Row],[Grade]]="", "",
   _xlfn.RANK.EQ(UpgradeScores[[#This Row],[Grade]], UpgradeScores[Grade], 1)
)</f>
        <v/>
      </c>
    </row>
    <row r="304" spans="1:12" x14ac:dyDescent="0.3">
      <c r="A304" s="16">
        <f t="shared" si="19"/>
        <v>76</v>
      </c>
      <c r="B304" s="68" t="str">
        <f>_xlfn.XLOOKUP(UpgradeScores[[#This Row],[Planet '#]],Hybridtable[Planet '#],Hybridtable[Name])</f>
        <v>Vesta</v>
      </c>
      <c r="C304" s="68" t="s">
        <v>159</v>
      </c>
      <c r="D304" s="78" t="str" cm="1">
        <f t="array" ref="D304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04" s="78" t="str" cm="1">
        <f t="array" ref="E304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04" s="77" t="str" cm="1">
        <f t="array" ref="F304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04" s="77" t="str" cm="1">
        <f t="array" ref="G304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04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04" s="79" t="str">
        <f>IF(COUNT(F304:G304)&lt;2,"",$N$16*UpgradeScores[[#This Row],[ROI Score]]+$O$16*UpgradeScores[[#This Row],[BE Score]])</f>
        <v/>
      </c>
      <c r="J304" s="79" t="str">
        <f t="shared" si="15"/>
        <v/>
      </c>
      <c r="K304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04" s="68" t="str">
        <f>IF(UpgradeScores[[#This Row],[Grade]]="", "",
   _xlfn.RANK.EQ(UpgradeScores[[#This Row],[Grade]], UpgradeScores[Grade], 1)
)</f>
        <v/>
      </c>
    </row>
    <row r="305" spans="1:12" x14ac:dyDescent="0.3">
      <c r="A305" s="16">
        <f t="shared" si="19"/>
        <v>76</v>
      </c>
      <c r="B305" s="68" t="str">
        <f>_xlfn.XLOOKUP(UpgradeScores[[#This Row],[Planet '#]],Hybridtable[Planet '#],Hybridtable[Name])</f>
        <v>Vesta</v>
      </c>
      <c r="C305" s="68" t="s">
        <v>228</v>
      </c>
      <c r="D305" s="78" t="str" cm="1">
        <f t="array" ref="D305">_xlfn.SWITCH(UpgradeScores[[#This Row],[Upgrade Type]],
   "Mining", _xlfn.XLOOKUP(UpgradeScores[[#This Row],[Planet '#]], Hybridtable[Planet '#], Hybridtable[Mining ROI/hr]),
   "Speed",  _xlfn.XLOOKUP(UpgradeScores[[#This Row],[Planet '#]], Hybridtable[Planet '#], Hybridtable[Speed ROI/hr]),
   "Cargo",  _xlfn.XLOOKUP(UpgradeScores[[#This Row],[Planet '#]], Hybridtable[Planet '#], Hybridtable[Cargo ROI/hr]),
   "Unlock", _xlfn.XLOOKUP(UpgradeScores[[#This Row],[Planet '#]], Hybridtable[Planet '#], Hybridtable[Unlock ROI/hr])
)</f>
        <v/>
      </c>
      <c r="E305" s="78" t="str" cm="1">
        <f t="array" ref="E305">_xlfn.SWITCH(UpgradeScores[[#This Row],[Upgrade Type]],
   "Mining", _xlfn.XLOOKUP(UpgradeScores[[#This Row],[Planet '#]], Hybridtable[Planet '#], Hybridtable[Mining Breakeven (sec)]),
   "Speed",  _xlfn.XLOOKUP(UpgradeScores[[#This Row],[Planet '#]], Hybridtable[Planet '#], Hybridtable[Speed Breakeven (sec)]),
   "Cargo",  _xlfn.XLOOKUP(UpgradeScores[[#This Row],[Planet '#]], Hybridtable[Planet '#], Hybridtable[Cargo Breakeven (sec)]),
   "Unlock", _xlfn.XLOOKUP(UpgradeScores[[#This Row],[Planet '#]], Hybridtable[Planet '#], Hybridtable[Unlock Breakeven (sec)])
)</f>
        <v/>
      </c>
      <c r="F305" s="77" t="str" cm="1">
        <f t="array" ref="F305">_xlfn.SWITCH(UpgradeScores[[#This Row],[Upgrade Type]],
   "Mining", _xlfn.XLOOKUP(UpgradeScores[[#This Row],[Planet '#]], Hybridtable[Planet '#], Hybridtable[Mining ROI Score]),
   "Speed",  _xlfn.XLOOKUP(UpgradeScores[[#This Row],[Planet '#]], Hybridtable[Planet '#], Hybridtable[Speed ROI Score]),
   "Cargo",  _xlfn.XLOOKUP(UpgradeScores[[#This Row],[Planet '#]], Hybridtable[Planet '#], Hybridtable[Cargo ROI Score]),
   "Unlock", _xlfn.XLOOKUP(UpgradeScores[[#This Row],[Planet '#]], Hybridtable[Planet '#], Hybridtable[Unlock ROI Score])
)</f>
        <v/>
      </c>
      <c r="G305" s="77" t="str" cm="1">
        <f t="array" ref="G305">_xlfn.SWITCH(UpgradeScores[[#This Row],[Upgrade Type]],
   "Mining", _xlfn.XLOOKUP(UpgradeScores[[#This Row],[Planet '#]], Hybridtable[Planet '#], Hybridtable[Mining BE Score]),
   "Speed",  _xlfn.XLOOKUP(UpgradeScores[[#This Row],[Planet '#]], Hybridtable[Planet '#], Hybridtable[Speed BE Score]),
   "Cargo",  _xlfn.XLOOKUP(UpgradeScores[[#This Row],[Planet '#]], Hybridtable[Planet '#], Hybridtable[Cargo BE Score]),
   "Unlock", _xlfn.XLOOKUP(UpgradeScores[[#This Row],[Planet '#]], Hybridtable[Planet '#], Hybridtable[Unlock BE Score])
)</f>
        <v/>
      </c>
      <c r="H305" s="82" t="str">
        <f>IF(OR(UpgradeScores[[#This Row],[ROI/hr.]]="",UpgradeScores[[#This Row],[Breakeven (sec)]]=""),"",MAX(0,MIN(1,_xlfn.SWITCH(UpgradeScores[[#This Row],[Upgrade Type]],"Mining",1-_xlfn.XLOOKUP(UpgradeScores[[#This Row],[Planet '#]],MiningROItable[Planet '#],MiningROItable[Future Efficiency]),"Cargo",1-_xlfn.XLOOKUP(UpgradeScores[[#This Row],[Planet '#]],CargoROI[Planet '#],CargoROI[Future Efficiency]),"Speed",1-_xlfn.XLOOKUP(UpgradeScores[[#This Row],[Planet '#]],SpeedROI[Planet '#],SpeedROI[Future Efficiency]),"Unlock",1-_xlfn.XLOOKUP(UpgradeScores[[#This Row],[Planet '#]],UnlockROI[Planet '#],UnlockROI[Base Efficiency])))))</f>
        <v/>
      </c>
      <c r="I305" s="79" t="str">
        <f>IF(COUNT(F305:G305)&lt;2,"",$N$16*UpgradeScores[[#This Row],[ROI Score]]+$O$16*UpgradeScores[[#This Row],[BE Score]])</f>
        <v/>
      </c>
      <c r="J305" s="79" t="str">
        <f t="shared" si="15"/>
        <v/>
      </c>
      <c r="K305" s="68" t="str">
        <f>IF(UpgradeScores[[#This Row],[Hybrid Score]]="", "",
   _xlfn.RANK.EQ(UpgradeScores[[#This Row],[Hybrid Score]], UpgradeScores[Hybrid Score])
   + _xlfn.RANK.EQ(UpgradeScores[[#This Row],[Tie Breaker]], UpgradeScores[Tie Breaker])/1000
   + _xlfn.RANK.EQ(UpgradeScores[[#This Row],[Longevity Score]], UpgradeScores[Longevity Score])/1000000
)</f>
        <v/>
      </c>
      <c r="L305" s="68" t="str">
        <f>IF(UpgradeScores[[#This Row],[Grade]]="", "",
   _xlfn.RANK.EQ(UpgradeScores[[#This Row],[Grade]], UpgradeScores[Grade], 1)
)</f>
        <v/>
      </c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2066-0729-488F-9C78-2BDE121D7E21}">
  <sheetPr codeName="Sheet3"/>
  <dimension ref="A1:Q77"/>
  <sheetViews>
    <sheetView workbookViewId="0">
      <selection activeCell="L7" sqref="L7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15.88671875" bestFit="1" customWidth="1"/>
    <col min="4" max="4" width="13.88671875" bestFit="1" customWidth="1"/>
    <col min="5" max="5" width="14.88671875" bestFit="1" customWidth="1"/>
    <col min="6" max="6" width="19.44140625" customWidth="1"/>
    <col min="7" max="7" width="15" bestFit="1" customWidth="1"/>
    <col min="8" max="8" width="14.88671875" bestFit="1" customWidth="1"/>
    <col min="9" max="9" width="10.21875" bestFit="1" customWidth="1"/>
    <col min="10" max="10" width="13.5546875" bestFit="1" customWidth="1"/>
    <col min="11" max="11" width="13.5546875" style="37" bestFit="1" customWidth="1"/>
    <col min="12" max="12" width="13.5546875" style="40" customWidth="1"/>
    <col min="13" max="13" width="20.77734375" style="40" bestFit="1" customWidth="1"/>
    <col min="14" max="14" width="19.44140625" style="53" hidden="1" customWidth="1"/>
    <col min="15" max="15" width="16.21875" style="40" hidden="1" customWidth="1"/>
    <col min="16" max="16" width="13.88671875" hidden="1" customWidth="1"/>
    <col min="17" max="17" width="10.44140625" hidden="1" customWidth="1"/>
  </cols>
  <sheetData>
    <row r="1" spans="1:17" x14ac:dyDescent="0.3">
      <c r="A1" s="14" t="s">
        <v>0</v>
      </c>
      <c r="B1" s="14" t="s">
        <v>155</v>
      </c>
      <c r="C1" s="14" t="s">
        <v>164</v>
      </c>
      <c r="D1" s="14" t="s">
        <v>156</v>
      </c>
      <c r="E1" s="14" t="s">
        <v>157</v>
      </c>
      <c r="F1" s="14" t="s">
        <v>158</v>
      </c>
      <c r="G1" s="14" t="s">
        <v>151</v>
      </c>
      <c r="H1" s="14" t="s">
        <v>159</v>
      </c>
      <c r="I1" s="14" t="s">
        <v>163</v>
      </c>
      <c r="J1" s="30" t="s">
        <v>166</v>
      </c>
      <c r="K1" s="15" t="s">
        <v>168</v>
      </c>
      <c r="L1" s="52" t="s">
        <v>169</v>
      </c>
      <c r="M1" s="52" t="s">
        <v>197</v>
      </c>
      <c r="N1" s="14" t="s">
        <v>173</v>
      </c>
      <c r="O1" s="30" t="s">
        <v>165</v>
      </c>
      <c r="P1" s="14" t="s">
        <v>154</v>
      </c>
      <c r="Q1" s="14" t="s">
        <v>174</v>
      </c>
    </row>
    <row r="2" spans="1:17" x14ac:dyDescent="0.3">
      <c r="A2" s="14">
        <v>1</v>
      </c>
      <c r="B2" s="14" t="str">
        <f>_xlfn.XLOOKUP(tblprogress[[#This Row],[Planet '#]],tblPlanets[Planet '#],tblPlanets[Name])</f>
        <v>Balor</v>
      </c>
      <c r="C2" s="70">
        <v>30</v>
      </c>
      <c r="D2" s="70">
        <v>15</v>
      </c>
      <c r="E2" s="70">
        <v>20</v>
      </c>
      <c r="F2" s="30">
        <f>_xlfn.XLOOKUP(tblprogress[[#This Row],[Mining Level]],tblUpgradeStats[Level],tblUpgradeStats[Mining Speed],0)</f>
        <v>17.447000000000003</v>
      </c>
      <c r="G2" s="30">
        <f>_xlfn.XLOOKUP(tblprogress[[#This Row],[Ship Level]],tblUpgradeStats[Level],tblUpgradeStats[Ship Speed],0)</f>
        <v>6.413333333333334</v>
      </c>
      <c r="H2" s="14">
        <f>_xlfn.XLOOKUP(tblprogress[[#This Row],[Cargo Level]],tblUpgradeStats[Level],tblUpgradeStats[Cargo Amount],0)</f>
        <v>79</v>
      </c>
      <c r="I2" s="31">
        <f>IFERROR(tblprogress[[#This Row],[Mining Rate]]*(2*tblprogress[[#This Row],[Planets Distance]]/tblprogress[[#This Row],[Ship Speed]])/tblprogress[[#This Row],[Cargo]],0)</f>
        <v>0.45455222505855425</v>
      </c>
      <c r="J2" s="49">
        <f>IF(tblprogress[[#This Row],[Efficiency]]&lt;1,tblprogress[[#This Row],[Mining Rate]]*60,tblprogress[[#This Row],[Cargo]]/(2*tblprogress[[#This Row],[Planets Distance]]/tblprogress[[#This Row],[Ship Speed]])*60)</f>
        <v>1046.8200000000002</v>
      </c>
      <c r="K2" s="15">
        <f>IFERROR(_xlfn.XLOOKUP(tblprogress[[#This Row],[Planet '#]],tblplanetvalue[Planet '#],tblplanetvalue[Total Worth])*tblprogress[[#This Row],[Deposit]]/60,0)</f>
        <v>17.447000000000003</v>
      </c>
      <c r="L2" s="54">
        <f>IF(tblprogress[[#This Row],[Deposit]]&gt;0,1,0)</f>
        <v>1</v>
      </c>
      <c r="M2" s="54">
        <f>IF(tblprogress[[#This Row],[Telescope]]&lt;=CurrentTelescope,1,0)</f>
        <v>1</v>
      </c>
      <c r="N2" s="14">
        <f>_xlfn.XLOOKUP(tblprogress[[#This Row],[Planet '#]],tblPlanets[Planet '#],tblPlanets[Distance])</f>
        <v>6.6</v>
      </c>
      <c r="O2" s="30">
        <f>IF(tblprogress[[#This Row],[Ship Speed]]=0,"",2*tblprogress[[#This Row],[Planets Distance]]/tblprogress[[#This Row],[Ship Speed]])</f>
        <v>2.058212058212058</v>
      </c>
      <c r="P2" s="14">
        <f>_xlfn.XLOOKUP(tblprogress[[#This Row],[Planet '#]],tblPlanets[Planet '#],tblPlanets[Telescope])</f>
        <v>0</v>
      </c>
      <c r="Q2" s="14" t="str">
        <f>IF(
   _xlfn.XLOOKUP(tblprogress[[#This Row],[Planet '#]], tblPlanets[Planet '#], tblPlanets[Name])=tblprogress[[#This Row],[Name]],
   "Match",
   "Mismatch"
)</f>
        <v>Match</v>
      </c>
    </row>
    <row r="3" spans="1:17" x14ac:dyDescent="0.3">
      <c r="A3" s="14">
        <v>2</v>
      </c>
      <c r="B3" s="14" t="str">
        <f>_xlfn.XLOOKUP(tblprogress[[#This Row],[Planet '#]],tblPlanets[Planet '#],tblPlanets[Name])</f>
        <v>Drasta</v>
      </c>
      <c r="C3" s="70">
        <v>28</v>
      </c>
      <c r="D3" s="70">
        <v>13</v>
      </c>
      <c r="E3" s="70">
        <v>17</v>
      </c>
      <c r="F3" s="30">
        <f>_xlfn.XLOOKUP(tblprogress[[#This Row],[Mining Level]],tblUpgradeStats[Level],tblUpgradeStats[Mining Speed],0)</f>
        <v>15.343</v>
      </c>
      <c r="G3" s="30">
        <f>_xlfn.XLOOKUP(tblprogress[[#This Row],[Ship Level]],tblUpgradeStats[Level],tblUpgradeStats[Ship Speed],0)</f>
        <v>5.32</v>
      </c>
      <c r="H3" s="14">
        <f>_xlfn.XLOOKUP(tblprogress[[#This Row],[Cargo Level]],tblUpgradeStats[Level],tblUpgradeStats[Cargo Amount],0)</f>
        <v>63</v>
      </c>
      <c r="I3" s="31">
        <f>IFERROR(tblprogress[[#This Row],[Mining Rate]]*(2*tblprogress[[#This Row],[Planets Distance]]/tblprogress[[#This Row],[Ship Speed]])/tblprogress[[#This Row],[Cargo]],0)</f>
        <v>0.61342701993077942</v>
      </c>
      <c r="J3" s="49">
        <f>IF(tblprogress[[#This Row],[Efficiency]]&lt;1,tblprogress[[#This Row],[Mining Rate]]*60,tblprogress[[#This Row],[Cargo]]/(2*tblprogress[[#This Row],[Planets Distance]]/tblprogress[[#This Row],[Ship Speed]])*60)</f>
        <v>920.58</v>
      </c>
      <c r="K3" s="15">
        <f>IFERROR(_xlfn.XLOOKUP(tblprogress[[#This Row],[Planet '#]],tblplanetvalue[Planet '#],tblplanetvalue[Total Worth])*tblprogress[[#This Row],[Deposit]]/60,0)</f>
        <v>18.411600000000004</v>
      </c>
      <c r="L3" s="54">
        <f>IF(tblprogress[[#This Row],[Deposit]]&gt;0,1,0)</f>
        <v>1</v>
      </c>
      <c r="M3" s="54">
        <f>IF(tblprogress[[#This Row],[Telescope]]&lt;=CurrentTelescope,1,0)</f>
        <v>1</v>
      </c>
      <c r="N3" s="14">
        <f>_xlfn.XLOOKUP(tblprogress[[#This Row],[Planet '#]],tblPlanets[Planet '#],tblPlanets[Distance])</f>
        <v>6.7</v>
      </c>
      <c r="O3" s="30">
        <f>IF(tblprogress[[#This Row],[Ship Speed]]=0,"",2*tblprogress[[#This Row],[Planets Distance]]/tblprogress[[#This Row],[Ship Speed]])</f>
        <v>2.518796992481203</v>
      </c>
      <c r="P3" s="14">
        <f>_xlfn.XLOOKUP(tblprogress[[#This Row],[Planet '#]],tblPlanets[Planet '#],tblPlanets[Telescope])</f>
        <v>0</v>
      </c>
      <c r="Q3" s="14" t="str">
        <f>IF(
   _xlfn.XLOOKUP(tblprogress[[#This Row],[Planet '#]], tblPlanets[Planet '#], tblPlanets[Name])=tblprogress[[#This Row],[Name]],
   "Match",
   "Mismatch"
)</f>
        <v>Match</v>
      </c>
    </row>
    <row r="4" spans="1:17" x14ac:dyDescent="0.3">
      <c r="A4" s="14">
        <v>3</v>
      </c>
      <c r="B4" s="14" t="str">
        <f>_xlfn.XLOOKUP(tblprogress[[#This Row],[Planet '#]],tblPlanets[Planet '#],tblPlanets[Name])</f>
        <v>Anadius</v>
      </c>
      <c r="C4" s="70">
        <v>24</v>
      </c>
      <c r="D4" s="70">
        <v>10</v>
      </c>
      <c r="E4" s="70">
        <v>16</v>
      </c>
      <c r="F4" s="30">
        <f>_xlfn.XLOOKUP(tblprogress[[#This Row],[Mining Level]],tblUpgradeStats[Level],tblUpgradeStats[Mining Speed],0)</f>
        <v>11.543000000000001</v>
      </c>
      <c r="G4" s="30">
        <f>_xlfn.XLOOKUP(tblprogress[[#This Row],[Ship Level]],tblUpgradeStats[Level],tblUpgradeStats[Ship Speed],0)</f>
        <v>3.88</v>
      </c>
      <c r="H4" s="14">
        <f>_xlfn.XLOOKUP(tblprogress[[#This Row],[Cargo Level]],tblUpgradeStats[Level],tblUpgradeStats[Cargo Amount],0)</f>
        <v>58</v>
      </c>
      <c r="I4" s="31">
        <f>IFERROR(tblprogress[[#This Row],[Mining Rate]]*(2*tblprogress[[#This Row],[Planets Distance]]/tblprogress[[#This Row],[Ship Speed]])/tblprogress[[#This Row],[Cargo]],0)</f>
        <v>0.70271551724137926</v>
      </c>
      <c r="J4" s="49">
        <f>IF(tblprogress[[#This Row],[Efficiency]]&lt;1,tblprogress[[#This Row],[Mining Rate]]*60,tblprogress[[#This Row],[Cargo]]/(2*tblprogress[[#This Row],[Planets Distance]]/tblprogress[[#This Row],[Ship Speed]])*60)</f>
        <v>692.58</v>
      </c>
      <c r="K4" s="15">
        <f>IFERROR(_xlfn.XLOOKUP(tblprogress[[#This Row],[Planet '#]],tblplanetvalue[Planet '#],tblplanetvalue[Total Worth])*tblprogress[[#This Row],[Deposit]]/60,0)</f>
        <v>17.314500000000002</v>
      </c>
      <c r="L4" s="54">
        <f>IF(tblprogress[[#This Row],[Deposit]]&gt;0,1,0)</f>
        <v>1</v>
      </c>
      <c r="M4" s="54">
        <f>IF(tblprogress[[#This Row],[Telescope]]&lt;=CurrentTelescope,1,0)</f>
        <v>1</v>
      </c>
      <c r="N4" s="14">
        <f>_xlfn.XLOOKUP(tblprogress[[#This Row],[Planet '#]],tblPlanets[Planet '#],tblPlanets[Distance])</f>
        <v>6.85</v>
      </c>
      <c r="O4" s="30">
        <f>IF(tblprogress[[#This Row],[Ship Speed]]=0,"",2*tblprogress[[#This Row],[Planets Distance]]/tblprogress[[#This Row],[Ship Speed]])</f>
        <v>3.5309278350515463</v>
      </c>
      <c r="P4" s="14">
        <f>_xlfn.XLOOKUP(tblprogress[[#This Row],[Planet '#]],tblPlanets[Planet '#],tblPlanets[Telescope])</f>
        <v>0</v>
      </c>
      <c r="Q4" s="14" t="str">
        <f>IF(
   _xlfn.XLOOKUP(tblprogress[[#This Row],[Planet '#]], tblPlanets[Planet '#], tblPlanets[Name])=tblprogress[[#This Row],[Name]],
   "Match",
   "Mismatch"
)</f>
        <v>Match</v>
      </c>
    </row>
    <row r="5" spans="1:17" x14ac:dyDescent="0.3">
      <c r="A5" s="14">
        <v>4</v>
      </c>
      <c r="B5" s="14" t="str">
        <f>_xlfn.XLOOKUP(tblprogress[[#This Row],[Planet '#]],tblPlanets[Planet '#],tblPlanets[Name])</f>
        <v>Dholen</v>
      </c>
      <c r="C5" s="70">
        <v>22</v>
      </c>
      <c r="D5" s="70">
        <v>14</v>
      </c>
      <c r="E5" s="70">
        <v>28</v>
      </c>
      <c r="F5" s="30">
        <f>_xlfn.XLOOKUP(tblprogress[[#This Row],[Mining Level]],tblUpgradeStats[Level],tblUpgradeStats[Mining Speed],0)</f>
        <v>9.8470000000000013</v>
      </c>
      <c r="G5" s="30">
        <f>_xlfn.XLOOKUP(tblprogress[[#This Row],[Ship Level]],tblUpgradeStats[Level],tblUpgradeStats[Ship Speed],0)</f>
        <v>5.8533333333333335</v>
      </c>
      <c r="H5" s="14">
        <f>_xlfn.XLOOKUP(tblprogress[[#This Row],[Cargo Level]],tblUpgradeStats[Level],tblUpgradeStats[Cargo Amount],0)</f>
        <v>132</v>
      </c>
      <c r="I5" s="31">
        <f>IFERROR(tblprogress[[#This Row],[Mining Rate]]*(2*tblprogress[[#This Row],[Planets Distance]]/tblprogress[[#This Row],[Ship Speed]])/tblprogress[[#This Row],[Cargo]],0)</f>
        <v>0.17842462207496379</v>
      </c>
      <c r="J5" s="49">
        <f>IF(tblprogress[[#This Row],[Efficiency]]&lt;1,tblprogress[[#This Row],[Mining Rate]]*60,tblprogress[[#This Row],[Cargo]]/(2*tblprogress[[#This Row],[Planets Distance]]/tblprogress[[#This Row],[Ship Speed]])*60)</f>
        <v>590.82000000000005</v>
      </c>
      <c r="K5" s="15">
        <f>IFERROR(_xlfn.XLOOKUP(tblprogress[[#This Row],[Planet '#]],tblplanetvalue[Planet '#],tblplanetvalue[Total Worth])*tblprogress[[#This Row],[Deposit]]/60,0)</f>
        <v>23.632800000000007</v>
      </c>
      <c r="L5" s="54">
        <f>IF(tblprogress[[#This Row],[Deposit]]&gt;0,1,0)</f>
        <v>1</v>
      </c>
      <c r="M5" s="54">
        <f>IF(tblprogress[[#This Row],[Telescope]]&lt;=CurrentTelescope,1,0)</f>
        <v>1</v>
      </c>
      <c r="N5" s="14">
        <f>_xlfn.XLOOKUP(tblprogress[[#This Row],[Planet '#]],tblPlanets[Planet '#],tblPlanets[Distance])</f>
        <v>7</v>
      </c>
      <c r="O5" s="30">
        <f>IF(tblprogress[[#This Row],[Ship Speed]]=0,"",2*tblprogress[[#This Row],[Planets Distance]]/tblprogress[[#This Row],[Ship Speed]])</f>
        <v>2.3917995444191344</v>
      </c>
      <c r="P5" s="14">
        <f>_xlfn.XLOOKUP(tblprogress[[#This Row],[Planet '#]],tblPlanets[Planet '#],tblPlanets[Telescope])</f>
        <v>0</v>
      </c>
      <c r="Q5" s="14" t="str">
        <f>IF(
   _xlfn.XLOOKUP(tblprogress[[#This Row],[Planet '#]], tblPlanets[Planet '#], tblPlanets[Name])=tblprogress[[#This Row],[Name]],
   "Match",
   "Mismatch"
)</f>
        <v>Match</v>
      </c>
    </row>
    <row r="6" spans="1:17" x14ac:dyDescent="0.3">
      <c r="A6" s="14">
        <v>5</v>
      </c>
      <c r="B6" s="14" t="str">
        <f>_xlfn.XLOOKUP(tblprogress[[#This Row],[Planet '#]],tblPlanets[Planet '#],tblPlanets[Name])</f>
        <v>Verr</v>
      </c>
      <c r="C6" s="70">
        <v>4</v>
      </c>
      <c r="D6" s="70">
        <v>3</v>
      </c>
      <c r="E6" s="70">
        <v>2</v>
      </c>
      <c r="F6" s="30">
        <f>_xlfn.XLOOKUP(tblprogress[[#This Row],[Mining Level]],tblUpgradeStats[Level],tblUpgradeStats[Mining Speed],0)</f>
        <v>0.70300000000000007</v>
      </c>
      <c r="G6" s="30">
        <f>_xlfn.XLOOKUP(tblprogress[[#This Row],[Ship Level]],tblUpgradeStats[Level],tblUpgradeStats[Ship Speed],0)</f>
        <v>1.4533333333333331</v>
      </c>
      <c r="H6" s="14">
        <f>_xlfn.XLOOKUP(tblprogress[[#This Row],[Cargo Level]],tblUpgradeStats[Level],tblUpgradeStats[Cargo Amount],0)</f>
        <v>7</v>
      </c>
      <c r="I6" s="31">
        <f>IFERROR(tblprogress[[#This Row],[Mining Rate]]*(2*tblprogress[[#This Row],[Planets Distance]]/tblprogress[[#This Row],[Ship Speed]])/tblprogress[[#This Row],[Cargo]],0)</f>
        <v>0.98816186107470549</v>
      </c>
      <c r="J6" s="49">
        <f>IF(tblprogress[[#This Row],[Efficiency]]&lt;1,tblprogress[[#This Row],[Mining Rate]]*60,tblprogress[[#This Row],[Cargo]]/(2*tblprogress[[#This Row],[Planets Distance]]/tblprogress[[#This Row],[Ship Speed]])*60)</f>
        <v>42.180000000000007</v>
      </c>
      <c r="K6" s="15">
        <f>IFERROR(_xlfn.XLOOKUP(tblprogress[[#This Row],[Planet '#]],tblplanetvalue[Planet '#],tblplanetvalue[Total Worth])*tblprogress[[#This Row],[Deposit]]/60,0)</f>
        <v>1.9684000000000004</v>
      </c>
      <c r="L6" s="54">
        <f>IF(tblprogress[[#This Row],[Deposit]]&gt;0,1,0)</f>
        <v>1</v>
      </c>
      <c r="M6" s="54">
        <f>IF(tblprogress[[#This Row],[Telescope]]&lt;=CurrentTelescope,1,0)</f>
        <v>1</v>
      </c>
      <c r="N6" s="14">
        <f>_xlfn.XLOOKUP(tblprogress[[#This Row],[Planet '#]],tblPlanets[Planet '#],tblPlanets[Distance])</f>
        <v>7.15</v>
      </c>
      <c r="O6" s="30">
        <f>IF(tblprogress[[#This Row],[Ship Speed]]=0,"",2*tblprogress[[#This Row],[Planets Distance]]/tblprogress[[#This Row],[Ship Speed]])</f>
        <v>9.8394495412844059</v>
      </c>
      <c r="P6" s="14">
        <f>_xlfn.XLOOKUP(tblprogress[[#This Row],[Planet '#]],tblPlanets[Planet '#],tblPlanets[Telescope])</f>
        <v>1</v>
      </c>
      <c r="Q6" s="14" t="str">
        <f>IF(
   _xlfn.XLOOKUP(tblprogress[[#This Row],[Planet '#]], tblPlanets[Planet '#], tblPlanets[Name])=tblprogress[[#This Row],[Name]],
   "Match",
   "Mismatch"
)</f>
        <v>Match</v>
      </c>
    </row>
    <row r="7" spans="1:17" x14ac:dyDescent="0.3">
      <c r="A7" s="14">
        <v>6</v>
      </c>
      <c r="B7" s="14" t="str">
        <f>_xlfn.XLOOKUP(tblprogress[[#This Row],[Planet '#]],tblPlanets[Planet '#],tblPlanets[Name])</f>
        <v>Newton</v>
      </c>
      <c r="C7" s="70">
        <v>6</v>
      </c>
      <c r="D7" s="70">
        <v>4</v>
      </c>
      <c r="E7" s="70">
        <v>4</v>
      </c>
      <c r="F7" s="30">
        <f>_xlfn.XLOOKUP(tblprogress[[#This Row],[Mining Level]],tblUpgradeStats[Level],tblUpgradeStats[Mining Speed],0)</f>
        <v>1.175</v>
      </c>
      <c r="G7" s="30">
        <f>_xlfn.XLOOKUP(tblprogress[[#This Row],[Ship Level]],tblUpgradeStats[Level],tblUpgradeStats[Ship Speed],0)</f>
        <v>1.7200000000000002</v>
      </c>
      <c r="H7" s="14">
        <f>_xlfn.XLOOKUP(tblprogress[[#This Row],[Cargo Level]],tblUpgradeStats[Level],tblUpgradeStats[Cargo Amount],0)</f>
        <v>12</v>
      </c>
      <c r="I7" s="31">
        <f>IFERROR(tblprogress[[#This Row],[Mining Rate]]*(2*tblprogress[[#This Row],[Planets Distance]]/tblprogress[[#This Row],[Ship Speed]])/tblprogress[[#This Row],[Cargo]],0)</f>
        <v>0.83115310077519367</v>
      </c>
      <c r="J7" s="49">
        <f>IF(tblprogress[[#This Row],[Efficiency]]&lt;1,tblprogress[[#This Row],[Mining Rate]]*60,tblprogress[[#This Row],[Cargo]]/(2*tblprogress[[#This Row],[Planets Distance]]/tblprogress[[#This Row],[Ship Speed]])*60)</f>
        <v>70.5</v>
      </c>
      <c r="K7" s="15">
        <f>IFERROR(_xlfn.XLOOKUP(tblprogress[[#This Row],[Planet '#]],tblplanetvalue[Planet '#],tblplanetvalue[Total Worth])*tblprogress[[#This Row],[Deposit]]/60,0)</f>
        <v>4.7</v>
      </c>
      <c r="L7" s="54">
        <f>IF(tblprogress[[#This Row],[Deposit]]&gt;0,1,0)</f>
        <v>1</v>
      </c>
      <c r="M7" s="54">
        <f>IF(tblprogress[[#This Row],[Telescope]]&lt;=CurrentTelescope,1,0)</f>
        <v>1</v>
      </c>
      <c r="N7" s="14">
        <f>_xlfn.XLOOKUP(tblprogress[[#This Row],[Planet '#]],tblPlanets[Planet '#],tblPlanets[Distance])</f>
        <v>7.3</v>
      </c>
      <c r="O7" s="30">
        <f>IF(tblprogress[[#This Row],[Ship Speed]]=0,"",2*tblprogress[[#This Row],[Planets Distance]]/tblprogress[[#This Row],[Ship Speed]])</f>
        <v>8.4883720930232549</v>
      </c>
      <c r="P7" s="14">
        <f>_xlfn.XLOOKUP(tblprogress[[#This Row],[Planet '#]],tblPlanets[Planet '#],tblPlanets[Telescope])</f>
        <v>1</v>
      </c>
      <c r="Q7" s="14" t="str">
        <f>IF(
   _xlfn.XLOOKUP(tblprogress[[#This Row],[Planet '#]], tblPlanets[Planet '#], tblPlanets[Name])=tblprogress[[#This Row],[Name]],
   "Match",
   "Mismatch"
)</f>
        <v>Match</v>
      </c>
    </row>
    <row r="8" spans="1:17" x14ac:dyDescent="0.3">
      <c r="A8" s="14">
        <v>7</v>
      </c>
      <c r="B8" s="14" t="str">
        <f>_xlfn.XLOOKUP(tblprogress[[#This Row],[Planet '#]],tblPlanets[Planet '#],tblPlanets[Name])</f>
        <v>Widow</v>
      </c>
      <c r="C8" s="70">
        <v>2</v>
      </c>
      <c r="D8" s="70">
        <v>1</v>
      </c>
      <c r="E8" s="70">
        <v>1</v>
      </c>
      <c r="F8" s="30">
        <f>_xlfn.XLOOKUP(tblprogress[[#This Row],[Mining Level]],tblUpgradeStats[Level],tblUpgradeStats[Mining Speed],0)</f>
        <v>0.36699999999999999</v>
      </c>
      <c r="G8" s="30">
        <f>_xlfn.XLOOKUP(tblprogress[[#This Row],[Ship Level]],tblUpgradeStats[Level],tblUpgradeStats[Ship Speed],0)</f>
        <v>1</v>
      </c>
      <c r="H8" s="14">
        <f>_xlfn.XLOOKUP(tblprogress[[#This Row],[Cargo Level]],tblUpgradeStats[Level],tblUpgradeStats[Cargo Amount],0)</f>
        <v>5</v>
      </c>
      <c r="I8" s="31">
        <f>IFERROR(tblprogress[[#This Row],[Mining Rate]]*(2*tblprogress[[#This Row],[Planets Distance]]/tblprogress[[#This Row],[Ship Speed]])/tblprogress[[#This Row],[Cargo]],0)</f>
        <v>1.0936600000000001</v>
      </c>
      <c r="J8" s="49">
        <f>IF(tblprogress[[#This Row],[Efficiency]]&lt;1,tblprogress[[#This Row],[Mining Rate]]*60,tblprogress[[#This Row],[Cargo]]/(2*tblprogress[[#This Row],[Planets Distance]]/tblprogress[[#This Row],[Ship Speed]])*60)</f>
        <v>20.134228187919465</v>
      </c>
      <c r="K8" s="15">
        <f>IFERROR(_xlfn.XLOOKUP(tblprogress[[#This Row],[Planet '#]],tblplanetvalue[Planet '#],tblplanetvalue[Total Worth])*tblprogress[[#This Row],[Deposit]]/60,0)</f>
        <v>0.93959731543624181</v>
      </c>
      <c r="L8" s="54">
        <f>IF(tblprogress[[#This Row],[Deposit]]&gt;0,1,0)</f>
        <v>1</v>
      </c>
      <c r="M8" s="54">
        <f>IF(tblprogress[[#This Row],[Telescope]]&lt;=CurrentTelescope,1,0)</f>
        <v>1</v>
      </c>
      <c r="N8" s="14">
        <f>_xlfn.XLOOKUP(tblprogress[[#This Row],[Planet '#]],tblPlanets[Planet '#],tblPlanets[Distance])</f>
        <v>7.45</v>
      </c>
      <c r="O8" s="30">
        <f>IF(tblprogress[[#This Row],[Ship Speed]]=0,"",2*tblprogress[[#This Row],[Planets Distance]]/tblprogress[[#This Row],[Ship Speed]])</f>
        <v>14.9</v>
      </c>
      <c r="P8" s="14">
        <f>_xlfn.XLOOKUP(tblprogress[[#This Row],[Planet '#]],tblPlanets[Planet '#],tblPlanets[Telescope])</f>
        <v>1</v>
      </c>
      <c r="Q8" s="14" t="str">
        <f>IF(
   _xlfn.XLOOKUP(tblprogress[[#This Row],[Planet '#]], tblPlanets[Planet '#], tblPlanets[Name])=tblprogress[[#This Row],[Name]],
   "Match",
   "Mismatch"
)</f>
        <v>Match</v>
      </c>
    </row>
    <row r="9" spans="1:17" x14ac:dyDescent="0.3">
      <c r="A9" s="14">
        <v>8</v>
      </c>
      <c r="B9" s="14" t="str">
        <f>_xlfn.XLOOKUP(tblprogress[[#This Row],[Planet '#]],tblPlanets[Planet '#],tblPlanets[Name])</f>
        <v>Acheron</v>
      </c>
      <c r="C9" s="70">
        <v>0</v>
      </c>
      <c r="D9" s="70">
        <v>0</v>
      </c>
      <c r="E9" s="70">
        <v>0</v>
      </c>
      <c r="F9" s="30">
        <f>_xlfn.XLOOKUP(tblprogress[[#This Row],[Mining Level]],tblUpgradeStats[Level],tblUpgradeStats[Mining Speed],0)</f>
        <v>0</v>
      </c>
      <c r="G9" s="30">
        <f>_xlfn.XLOOKUP(tblprogress[[#This Row],[Ship Level]],tblUpgradeStats[Level],tblUpgradeStats[Ship Speed],0)</f>
        <v>0</v>
      </c>
      <c r="H9" s="14">
        <f>_xlfn.XLOOKUP(tblprogress[[#This Row],[Cargo Level]],tblUpgradeStats[Level],tblUpgradeStats[Cargo Amount],0)</f>
        <v>0</v>
      </c>
      <c r="I9" s="31">
        <f>IFERROR(tblprogress[[#This Row],[Mining Rate]]*(2*tblprogress[[#This Row],[Planets Distance]]/tblprogress[[#This Row],[Ship Speed]])/tblprogress[[#This Row],[Cargo]],0)</f>
        <v>0</v>
      </c>
      <c r="J9" s="49">
        <f>IF(tblprogress[[#This Row],[Efficiency]]&lt;1,tblprogress[[#This Row],[Mining Rate]]*60,tblprogress[[#This Row],[Cargo]]/(2*tblprogress[[#This Row],[Planets Distance]]/tblprogress[[#This Row],[Ship Speed]])*60)</f>
        <v>0</v>
      </c>
      <c r="K9" s="15">
        <f>IFERROR(_xlfn.XLOOKUP(tblprogress[[#This Row],[Planet '#]],tblplanetvalue[Planet '#],tblplanetvalue[Total Worth])*tblprogress[[#This Row],[Deposit]]/60,0)</f>
        <v>0</v>
      </c>
      <c r="L9" s="54">
        <f>IF(tblprogress[[#This Row],[Deposit]]&gt;0,1,0)</f>
        <v>0</v>
      </c>
      <c r="M9" s="54">
        <f>IF(tblprogress[[#This Row],[Telescope]]&lt;=CurrentTelescope,1,0)</f>
        <v>0</v>
      </c>
      <c r="N9" s="14">
        <f>_xlfn.XLOOKUP(tblprogress[[#This Row],[Planet '#]],tblPlanets[Planet '#],tblPlanets[Distance])</f>
        <v>7.6</v>
      </c>
      <c r="O9" s="30" t="str">
        <f>IF(tblprogress[[#This Row],[Ship Speed]]=0,"",2*tblprogress[[#This Row],[Planets Distance]]/tblprogress[[#This Row],[Ship Speed]])</f>
        <v/>
      </c>
      <c r="P9" s="14">
        <f>_xlfn.XLOOKUP(tblprogress[[#This Row],[Planet '#]],tblPlanets[Planet '#],tblPlanets[Telescope])</f>
        <v>2</v>
      </c>
      <c r="Q9" s="14" t="str">
        <f>IF(
   _xlfn.XLOOKUP(tblprogress[[#This Row],[Planet '#]], tblPlanets[Planet '#], tblPlanets[Name])=tblprogress[[#This Row],[Name]],
   "Match",
   "Mismatch"
)</f>
        <v>Match</v>
      </c>
    </row>
    <row r="10" spans="1:17" x14ac:dyDescent="0.3">
      <c r="A10" s="14">
        <v>9</v>
      </c>
      <c r="B10" s="14" t="str">
        <f>_xlfn.XLOOKUP(tblprogress[[#This Row],[Planet '#]],tblPlanets[Planet '#],tblPlanets[Name])</f>
        <v>Yangtze</v>
      </c>
      <c r="C10" s="70">
        <v>0</v>
      </c>
      <c r="D10" s="70">
        <v>0</v>
      </c>
      <c r="E10" s="70">
        <v>0</v>
      </c>
      <c r="F10" s="30">
        <f>_xlfn.XLOOKUP(tblprogress[[#This Row],[Mining Level]],tblUpgradeStats[Level],tblUpgradeStats[Mining Speed],0)</f>
        <v>0</v>
      </c>
      <c r="G10" s="30">
        <f>_xlfn.XLOOKUP(tblprogress[[#This Row],[Ship Level]],tblUpgradeStats[Level],tblUpgradeStats[Ship Speed],0)</f>
        <v>0</v>
      </c>
      <c r="H10" s="14">
        <f>_xlfn.XLOOKUP(tblprogress[[#This Row],[Cargo Level]],tblUpgradeStats[Level],tblUpgradeStats[Cargo Amount],0)</f>
        <v>0</v>
      </c>
      <c r="I10" s="31">
        <f>IFERROR(tblprogress[[#This Row],[Mining Rate]]*(2*tblprogress[[#This Row],[Planets Distance]]/tblprogress[[#This Row],[Ship Speed]])/tblprogress[[#This Row],[Cargo]],0)</f>
        <v>0</v>
      </c>
      <c r="J10" s="49">
        <f>IF(tblprogress[[#This Row],[Efficiency]]&lt;1,tblprogress[[#This Row],[Mining Rate]]*60,tblprogress[[#This Row],[Cargo]]/(2*tblprogress[[#This Row],[Planets Distance]]/tblprogress[[#This Row],[Ship Speed]])*60)</f>
        <v>0</v>
      </c>
      <c r="K10" s="15">
        <f>IFERROR(_xlfn.XLOOKUP(tblprogress[[#This Row],[Planet '#]],tblplanetvalue[Planet '#],tblplanetvalue[Total Worth])*tblprogress[[#This Row],[Deposit]]/60,0)</f>
        <v>0</v>
      </c>
      <c r="L10" s="54">
        <f>IF(tblprogress[[#This Row],[Deposit]]&gt;0,1,0)</f>
        <v>0</v>
      </c>
      <c r="M10" s="54">
        <f>IF(tblprogress[[#This Row],[Telescope]]&lt;=CurrentTelescope,1,0)</f>
        <v>0</v>
      </c>
      <c r="N10" s="14">
        <f>_xlfn.XLOOKUP(tblprogress[[#This Row],[Planet '#]],tblPlanets[Planet '#],tblPlanets[Distance])</f>
        <v>7.75</v>
      </c>
      <c r="O10" s="30" t="str">
        <f>IF(tblprogress[[#This Row],[Ship Speed]]=0,"",2*tblprogress[[#This Row],[Planets Distance]]/tblprogress[[#This Row],[Ship Speed]])</f>
        <v/>
      </c>
      <c r="P10" s="14">
        <f>_xlfn.XLOOKUP(tblprogress[[#This Row],[Planet '#]],tblPlanets[Planet '#],tblPlanets[Telescope])</f>
        <v>2</v>
      </c>
      <c r="Q10" s="14" t="str">
        <f>IF(
   _xlfn.XLOOKUP(tblprogress[[#This Row],[Planet '#]], tblPlanets[Planet '#], tblPlanets[Name])=tblprogress[[#This Row],[Name]],
   "Match",
   "Mismatch"
)</f>
        <v>Match</v>
      </c>
    </row>
    <row r="11" spans="1:17" x14ac:dyDescent="0.3">
      <c r="A11" s="14">
        <v>10</v>
      </c>
      <c r="B11" s="14" t="str">
        <f>_xlfn.XLOOKUP(tblprogress[[#This Row],[Planet '#]],tblPlanets[Planet '#],tblPlanets[Name])</f>
        <v>Solveig</v>
      </c>
      <c r="C11" s="70">
        <v>0</v>
      </c>
      <c r="D11" s="70">
        <v>0</v>
      </c>
      <c r="E11" s="70">
        <v>0</v>
      </c>
      <c r="F11" s="30">
        <f>_xlfn.XLOOKUP(tblprogress[[#This Row],[Mining Level]],tblUpgradeStats[Level],tblUpgradeStats[Mining Speed],0)</f>
        <v>0</v>
      </c>
      <c r="G11" s="30">
        <f>_xlfn.XLOOKUP(tblprogress[[#This Row],[Ship Level]],tblUpgradeStats[Level],tblUpgradeStats[Ship Speed],0)</f>
        <v>0</v>
      </c>
      <c r="H11" s="14">
        <f>_xlfn.XLOOKUP(tblprogress[[#This Row],[Cargo Level]],tblUpgradeStats[Level],tblUpgradeStats[Cargo Amount],0)</f>
        <v>0</v>
      </c>
      <c r="I11" s="31">
        <f>IFERROR(tblprogress[[#This Row],[Mining Rate]]*(2*tblprogress[[#This Row],[Planets Distance]]/tblprogress[[#This Row],[Ship Speed]])/tblprogress[[#This Row],[Cargo]],0)</f>
        <v>0</v>
      </c>
      <c r="J11" s="49">
        <f>IF(tblprogress[[#This Row],[Efficiency]]&lt;1,tblprogress[[#This Row],[Mining Rate]]*60,tblprogress[[#This Row],[Cargo]]/(2*tblprogress[[#This Row],[Planets Distance]]/tblprogress[[#This Row],[Ship Speed]])*60)</f>
        <v>0</v>
      </c>
      <c r="K11" s="15">
        <f>IFERROR(_xlfn.XLOOKUP(tblprogress[[#This Row],[Planet '#]],tblplanetvalue[Planet '#],tblplanetvalue[Total Worth])*tblprogress[[#This Row],[Deposit]]/60,0)</f>
        <v>0</v>
      </c>
      <c r="L11" s="54">
        <f>IF(tblprogress[[#This Row],[Deposit]]&gt;0,1,0)</f>
        <v>0</v>
      </c>
      <c r="M11" s="54">
        <f>IF(tblprogress[[#This Row],[Telescope]]&lt;=CurrentTelescope,1,0)</f>
        <v>0</v>
      </c>
      <c r="N11" s="14">
        <f>_xlfn.XLOOKUP(tblprogress[[#This Row],[Planet '#]],tblPlanets[Planet '#],tblPlanets[Distance])</f>
        <v>7.9</v>
      </c>
      <c r="O11" s="30" t="str">
        <f>IF(tblprogress[[#This Row],[Ship Speed]]=0,"",2*tblprogress[[#This Row],[Planets Distance]]/tblprogress[[#This Row],[Ship Speed]])</f>
        <v/>
      </c>
      <c r="P11" s="14">
        <f>_xlfn.XLOOKUP(tblprogress[[#This Row],[Planet '#]],tblPlanets[Planet '#],tblPlanets[Telescope])</f>
        <v>2</v>
      </c>
      <c r="Q11" s="14" t="str">
        <f>IF(
   _xlfn.XLOOKUP(tblprogress[[#This Row],[Planet '#]], tblPlanets[Planet '#], tblPlanets[Name])=tblprogress[[#This Row],[Name]],
   "Match",
   "Mismatch"
)</f>
        <v>Match</v>
      </c>
    </row>
    <row r="12" spans="1:17" x14ac:dyDescent="0.3">
      <c r="A12" s="14">
        <v>11</v>
      </c>
      <c r="B12" s="14" t="str">
        <f>_xlfn.XLOOKUP(tblprogress[[#This Row],[Planet '#]],tblPlanets[Planet '#],tblPlanets[Name])</f>
        <v>Imir</v>
      </c>
      <c r="C12" s="70">
        <v>0</v>
      </c>
      <c r="D12" s="70">
        <v>0</v>
      </c>
      <c r="E12" s="70">
        <v>0</v>
      </c>
      <c r="F12" s="30">
        <f>_xlfn.XLOOKUP(tblprogress[[#This Row],[Mining Level]],tblUpgradeStats[Level],tblUpgradeStats[Mining Speed],0)</f>
        <v>0</v>
      </c>
      <c r="G12" s="30">
        <f>_xlfn.XLOOKUP(tblprogress[[#This Row],[Ship Level]],tblUpgradeStats[Level],tblUpgradeStats[Ship Speed],0)</f>
        <v>0</v>
      </c>
      <c r="H12" s="14">
        <f>_xlfn.XLOOKUP(tblprogress[[#This Row],[Cargo Level]],tblUpgradeStats[Level],tblUpgradeStats[Cargo Amount],0)</f>
        <v>0</v>
      </c>
      <c r="I12" s="31">
        <f>IFERROR(tblprogress[[#This Row],[Mining Rate]]*(2*tblprogress[[#This Row],[Planets Distance]]/tblprogress[[#This Row],[Ship Speed]])/tblprogress[[#This Row],[Cargo]],0)</f>
        <v>0</v>
      </c>
      <c r="J12" s="49">
        <f>IF(tblprogress[[#This Row],[Efficiency]]&lt;1,tblprogress[[#This Row],[Mining Rate]]*60,tblprogress[[#This Row],[Cargo]]/(2*tblprogress[[#This Row],[Planets Distance]]/tblprogress[[#This Row],[Ship Speed]])*60)</f>
        <v>0</v>
      </c>
      <c r="K12" s="15">
        <f>IFERROR(_xlfn.XLOOKUP(tblprogress[[#This Row],[Planet '#]],tblplanetvalue[Planet '#],tblplanetvalue[Total Worth])*tblprogress[[#This Row],[Deposit]]/60,0)</f>
        <v>0</v>
      </c>
      <c r="L12" s="54">
        <f>IF(tblprogress[[#This Row],[Deposit]]&gt;0,1,0)</f>
        <v>0</v>
      </c>
      <c r="M12" s="54">
        <f>IF(tblprogress[[#This Row],[Telescope]]&lt;=CurrentTelescope,1,0)</f>
        <v>0</v>
      </c>
      <c r="N12" s="14">
        <f>_xlfn.XLOOKUP(tblprogress[[#This Row],[Planet '#]],tblPlanets[Planet '#],tblPlanets[Distance])</f>
        <v>8.0500000000000007</v>
      </c>
      <c r="O12" s="30" t="str">
        <f>IF(tblprogress[[#This Row],[Ship Speed]]=0,"",2*tblprogress[[#This Row],[Planets Distance]]/tblprogress[[#This Row],[Ship Speed]])</f>
        <v/>
      </c>
      <c r="P12" s="14">
        <f>_xlfn.XLOOKUP(tblprogress[[#This Row],[Planet '#]],tblPlanets[Planet '#],tblPlanets[Telescope])</f>
        <v>3</v>
      </c>
      <c r="Q12" s="14" t="str">
        <f>IF(
   _xlfn.XLOOKUP(tblprogress[[#This Row],[Planet '#]], tblPlanets[Planet '#], tblPlanets[Name])=tblprogress[[#This Row],[Name]],
   "Match",
   "Mismatch"
)</f>
        <v>Match</v>
      </c>
    </row>
    <row r="13" spans="1:17" x14ac:dyDescent="0.3">
      <c r="A13" s="14">
        <v>12</v>
      </c>
      <c r="B13" s="14" t="str">
        <f>_xlfn.XLOOKUP(tblprogress[[#This Row],[Planet '#]],tblPlanets[Planet '#],tblPlanets[Name])</f>
        <v>Relic</v>
      </c>
      <c r="C13" s="70">
        <v>0</v>
      </c>
      <c r="D13" s="70">
        <v>0</v>
      </c>
      <c r="E13" s="70">
        <v>0</v>
      </c>
      <c r="F13" s="30">
        <f>_xlfn.XLOOKUP(tblprogress[[#This Row],[Mining Level]],tblUpgradeStats[Level],tblUpgradeStats[Mining Speed],0)</f>
        <v>0</v>
      </c>
      <c r="G13" s="30">
        <f>_xlfn.XLOOKUP(tblprogress[[#This Row],[Ship Level]],tblUpgradeStats[Level],tblUpgradeStats[Ship Speed],0)</f>
        <v>0</v>
      </c>
      <c r="H13" s="14">
        <f>_xlfn.XLOOKUP(tblprogress[[#This Row],[Cargo Level]],tblUpgradeStats[Level],tblUpgradeStats[Cargo Amount],0)</f>
        <v>0</v>
      </c>
      <c r="I13" s="31">
        <f>IFERROR(tblprogress[[#This Row],[Mining Rate]]*(2*tblprogress[[#This Row],[Planets Distance]]/tblprogress[[#This Row],[Ship Speed]])/tblprogress[[#This Row],[Cargo]],0)</f>
        <v>0</v>
      </c>
      <c r="J13" s="49">
        <f>IF(tblprogress[[#This Row],[Efficiency]]&lt;1,tblprogress[[#This Row],[Mining Rate]]*60,tblprogress[[#This Row],[Cargo]]/(2*tblprogress[[#This Row],[Planets Distance]]/tblprogress[[#This Row],[Ship Speed]])*60)</f>
        <v>0</v>
      </c>
      <c r="K13" s="15">
        <f>IFERROR(_xlfn.XLOOKUP(tblprogress[[#This Row],[Planet '#]],tblplanetvalue[Planet '#],tblplanetvalue[Total Worth])*tblprogress[[#This Row],[Deposit]]/60,0)</f>
        <v>0</v>
      </c>
      <c r="L13" s="54">
        <f>IF(tblprogress[[#This Row],[Deposit]]&gt;0,1,0)</f>
        <v>0</v>
      </c>
      <c r="M13" s="54">
        <f>IF(tblprogress[[#This Row],[Telescope]]&lt;=CurrentTelescope,1,0)</f>
        <v>0</v>
      </c>
      <c r="N13" s="14">
        <f>_xlfn.XLOOKUP(tblprogress[[#This Row],[Planet '#]],tblPlanets[Planet '#],tblPlanets[Distance])</f>
        <v>8.1999999999999993</v>
      </c>
      <c r="O13" s="30" t="str">
        <f>IF(tblprogress[[#This Row],[Ship Speed]]=0,"",2*tblprogress[[#This Row],[Planets Distance]]/tblprogress[[#This Row],[Ship Speed]])</f>
        <v/>
      </c>
      <c r="P13" s="14">
        <f>_xlfn.XLOOKUP(tblprogress[[#This Row],[Planet '#]],tblPlanets[Planet '#],tblPlanets[Telescope])</f>
        <v>3</v>
      </c>
      <c r="Q13" s="14" t="str">
        <f>IF(
   _xlfn.XLOOKUP(tblprogress[[#This Row],[Planet '#]], tblPlanets[Planet '#], tblPlanets[Name])=tblprogress[[#This Row],[Name]],
   "Match",
   "Mismatch"
)</f>
        <v>Match</v>
      </c>
    </row>
    <row r="14" spans="1:17" x14ac:dyDescent="0.3">
      <c r="A14" s="14">
        <v>13</v>
      </c>
      <c r="B14" s="14" t="str">
        <f>_xlfn.XLOOKUP(tblprogress[[#This Row],[Planet '#]],tblPlanets[Planet '#],tblPlanets[Name])</f>
        <v>Nith</v>
      </c>
      <c r="C14" s="70">
        <v>0</v>
      </c>
      <c r="D14" s="70">
        <v>0</v>
      </c>
      <c r="E14" s="70">
        <v>0</v>
      </c>
      <c r="F14" s="30">
        <f>_xlfn.XLOOKUP(tblprogress[[#This Row],[Mining Level]],tblUpgradeStats[Level],tblUpgradeStats[Mining Speed],0)</f>
        <v>0</v>
      </c>
      <c r="G14" s="30">
        <f>_xlfn.XLOOKUP(tblprogress[[#This Row],[Ship Level]],tblUpgradeStats[Level],tblUpgradeStats[Ship Speed],0)</f>
        <v>0</v>
      </c>
      <c r="H14" s="14">
        <f>_xlfn.XLOOKUP(tblprogress[[#This Row],[Cargo Level]],tblUpgradeStats[Level],tblUpgradeStats[Cargo Amount],0)</f>
        <v>0</v>
      </c>
      <c r="I14" s="31">
        <f>IFERROR(tblprogress[[#This Row],[Mining Rate]]*(2*tblprogress[[#This Row],[Planets Distance]]/tblprogress[[#This Row],[Ship Speed]])/tblprogress[[#This Row],[Cargo]],0)</f>
        <v>0</v>
      </c>
      <c r="J14" s="49">
        <f>IF(tblprogress[[#This Row],[Efficiency]]&lt;1,tblprogress[[#This Row],[Mining Rate]]*60,tblprogress[[#This Row],[Cargo]]/(2*tblprogress[[#This Row],[Planets Distance]]/tblprogress[[#This Row],[Ship Speed]])*60)</f>
        <v>0</v>
      </c>
      <c r="K14" s="15">
        <f>IFERROR(_xlfn.XLOOKUP(tblprogress[[#This Row],[Planet '#]],tblplanetvalue[Planet '#],tblplanetvalue[Total Worth])*tblprogress[[#This Row],[Deposit]]/60,0)</f>
        <v>0</v>
      </c>
      <c r="L14" s="54">
        <f>IF(tblprogress[[#This Row],[Deposit]]&gt;0,1,0)</f>
        <v>0</v>
      </c>
      <c r="M14" s="54">
        <f>IF(tblprogress[[#This Row],[Telescope]]&lt;=CurrentTelescope,1,0)</f>
        <v>0</v>
      </c>
      <c r="N14" s="14">
        <f>_xlfn.XLOOKUP(tblprogress[[#This Row],[Planet '#]],tblPlanets[Planet '#],tblPlanets[Distance])</f>
        <v>8.35</v>
      </c>
      <c r="O14" s="30" t="str">
        <f>IF(tblprogress[[#This Row],[Ship Speed]]=0,"",2*tblprogress[[#This Row],[Planets Distance]]/tblprogress[[#This Row],[Ship Speed]])</f>
        <v/>
      </c>
      <c r="P14" s="14">
        <f>_xlfn.XLOOKUP(tblprogress[[#This Row],[Planet '#]],tblPlanets[Planet '#],tblPlanets[Telescope])</f>
        <v>3</v>
      </c>
      <c r="Q14" s="14" t="str">
        <f>IF(
   _xlfn.XLOOKUP(tblprogress[[#This Row],[Planet '#]], tblPlanets[Planet '#], tblPlanets[Name])=tblprogress[[#This Row],[Name]],
   "Match",
   "Mismatch"
)</f>
        <v>Match</v>
      </c>
    </row>
    <row r="15" spans="1:17" x14ac:dyDescent="0.3">
      <c r="A15" s="14">
        <v>14</v>
      </c>
      <c r="B15" s="14" t="str">
        <f>_xlfn.XLOOKUP(tblprogress[[#This Row],[Planet '#]],tblPlanets[Planet '#],tblPlanets[Name])</f>
        <v>Batalla</v>
      </c>
      <c r="C15" s="70">
        <v>0</v>
      </c>
      <c r="D15" s="70">
        <v>0</v>
      </c>
      <c r="E15" s="70">
        <v>0</v>
      </c>
      <c r="F15" s="30">
        <f>_xlfn.XLOOKUP(tblprogress[[#This Row],[Mining Level]],tblUpgradeStats[Level],tblUpgradeStats[Mining Speed],0)</f>
        <v>0</v>
      </c>
      <c r="G15" s="30">
        <f>_xlfn.XLOOKUP(tblprogress[[#This Row],[Ship Level]],tblUpgradeStats[Level],tblUpgradeStats[Ship Speed],0)</f>
        <v>0</v>
      </c>
      <c r="H15" s="14">
        <f>_xlfn.XLOOKUP(tblprogress[[#This Row],[Cargo Level]],tblUpgradeStats[Level],tblUpgradeStats[Cargo Amount],0)</f>
        <v>0</v>
      </c>
      <c r="I15" s="31">
        <f>IFERROR(tblprogress[[#This Row],[Mining Rate]]*(2*tblprogress[[#This Row],[Planets Distance]]/tblprogress[[#This Row],[Ship Speed]])/tblprogress[[#This Row],[Cargo]],0)</f>
        <v>0</v>
      </c>
      <c r="J15" s="49">
        <f>IF(tblprogress[[#This Row],[Efficiency]]&lt;1,tblprogress[[#This Row],[Mining Rate]]*60,tblprogress[[#This Row],[Cargo]]/(2*tblprogress[[#This Row],[Planets Distance]]/tblprogress[[#This Row],[Ship Speed]])*60)</f>
        <v>0</v>
      </c>
      <c r="K15" s="15">
        <f>IFERROR(_xlfn.XLOOKUP(tblprogress[[#This Row],[Planet '#]],tblplanetvalue[Planet '#],tblplanetvalue[Total Worth])*tblprogress[[#This Row],[Deposit]]/60,0)</f>
        <v>0</v>
      </c>
      <c r="L15" s="54">
        <f>IF(tblprogress[[#This Row],[Deposit]]&gt;0,1,0)</f>
        <v>0</v>
      </c>
      <c r="M15" s="54">
        <f>IF(tblprogress[[#This Row],[Telescope]]&lt;=CurrentTelescope,1,0)</f>
        <v>0</v>
      </c>
      <c r="N15" s="14">
        <f>_xlfn.XLOOKUP(tblprogress[[#This Row],[Planet '#]],tblPlanets[Planet '#],tblPlanets[Distance])</f>
        <v>8.5</v>
      </c>
      <c r="O15" s="30" t="str">
        <f>IF(tblprogress[[#This Row],[Ship Speed]]=0,"",2*tblprogress[[#This Row],[Planets Distance]]/tblprogress[[#This Row],[Ship Speed]])</f>
        <v/>
      </c>
      <c r="P15" s="14">
        <f>_xlfn.XLOOKUP(tblprogress[[#This Row],[Planet '#]],tblPlanets[Planet '#],tblPlanets[Telescope])</f>
        <v>4</v>
      </c>
      <c r="Q15" s="14" t="str">
        <f>IF(
   _xlfn.XLOOKUP(tblprogress[[#This Row],[Planet '#]], tblPlanets[Planet '#], tblPlanets[Name])=tblprogress[[#This Row],[Name]],
   "Match",
   "Mismatch"
)</f>
        <v>Match</v>
      </c>
    </row>
    <row r="16" spans="1:17" x14ac:dyDescent="0.3">
      <c r="A16" s="14">
        <v>15</v>
      </c>
      <c r="B16" s="14" t="str">
        <f>_xlfn.XLOOKUP(tblprogress[[#This Row],[Planet '#]],tblPlanets[Planet '#],tblPlanets[Name])</f>
        <v>Micah</v>
      </c>
      <c r="C16" s="70">
        <v>0</v>
      </c>
      <c r="D16" s="70">
        <v>0</v>
      </c>
      <c r="E16" s="70">
        <v>0</v>
      </c>
      <c r="F16" s="30">
        <f>_xlfn.XLOOKUP(tblprogress[[#This Row],[Mining Level]],tblUpgradeStats[Level],tblUpgradeStats[Mining Speed],0)</f>
        <v>0</v>
      </c>
      <c r="G16" s="30">
        <f>_xlfn.XLOOKUP(tblprogress[[#This Row],[Ship Level]],tblUpgradeStats[Level],tblUpgradeStats[Ship Speed],0)</f>
        <v>0</v>
      </c>
      <c r="H16" s="14">
        <f>_xlfn.XLOOKUP(tblprogress[[#This Row],[Cargo Level]],tblUpgradeStats[Level],tblUpgradeStats[Cargo Amount],0)</f>
        <v>0</v>
      </c>
      <c r="I16" s="31">
        <f>IFERROR(tblprogress[[#This Row],[Mining Rate]]*(2*tblprogress[[#This Row],[Planets Distance]]/tblprogress[[#This Row],[Ship Speed]])/tblprogress[[#This Row],[Cargo]],0)</f>
        <v>0</v>
      </c>
      <c r="J16" s="49">
        <f>IF(tblprogress[[#This Row],[Efficiency]]&lt;1,tblprogress[[#This Row],[Mining Rate]]*60,tblprogress[[#This Row],[Cargo]]/(2*tblprogress[[#This Row],[Planets Distance]]/tblprogress[[#This Row],[Ship Speed]])*60)</f>
        <v>0</v>
      </c>
      <c r="K16" s="15">
        <f>IFERROR(_xlfn.XLOOKUP(tblprogress[[#This Row],[Planet '#]],tblplanetvalue[Planet '#],tblplanetvalue[Total Worth])*tblprogress[[#This Row],[Deposit]]/60,0)</f>
        <v>0</v>
      </c>
      <c r="L16" s="54">
        <f>IF(tblprogress[[#This Row],[Deposit]]&gt;0,1,0)</f>
        <v>0</v>
      </c>
      <c r="M16" s="54">
        <f>IF(tblprogress[[#This Row],[Telescope]]&lt;=CurrentTelescope,1,0)</f>
        <v>0</v>
      </c>
      <c r="N16" s="14">
        <f>_xlfn.XLOOKUP(tblprogress[[#This Row],[Planet '#]],tblPlanets[Planet '#],tblPlanets[Distance])</f>
        <v>8.65</v>
      </c>
      <c r="O16" s="30" t="str">
        <f>IF(tblprogress[[#This Row],[Ship Speed]]=0,"",2*tblprogress[[#This Row],[Planets Distance]]/tblprogress[[#This Row],[Ship Speed]])</f>
        <v/>
      </c>
      <c r="P16" s="14">
        <f>_xlfn.XLOOKUP(tblprogress[[#This Row],[Planet '#]],tblPlanets[Planet '#],tblPlanets[Telescope])</f>
        <v>4</v>
      </c>
      <c r="Q16" s="14" t="str">
        <f>IF(
   _xlfn.XLOOKUP(tblprogress[[#This Row],[Planet '#]], tblPlanets[Planet '#], tblPlanets[Name])=tblprogress[[#This Row],[Name]],
   "Match",
   "Mismatch"
)</f>
        <v>Match</v>
      </c>
    </row>
    <row r="17" spans="1:17" x14ac:dyDescent="0.3">
      <c r="A17" s="14">
        <v>16</v>
      </c>
      <c r="B17" s="14" t="str">
        <f>_xlfn.XLOOKUP(tblprogress[[#This Row],[Planet '#]],tblPlanets[Planet '#],tblPlanets[Name])</f>
        <v>Pranas</v>
      </c>
      <c r="C17" s="70">
        <v>0</v>
      </c>
      <c r="D17" s="70">
        <v>0</v>
      </c>
      <c r="E17" s="70">
        <v>0</v>
      </c>
      <c r="F17" s="30">
        <f>_xlfn.XLOOKUP(tblprogress[[#This Row],[Mining Level]],tblUpgradeStats[Level],tblUpgradeStats[Mining Speed],0)</f>
        <v>0</v>
      </c>
      <c r="G17" s="30">
        <f>_xlfn.XLOOKUP(tblprogress[[#This Row],[Ship Level]],tblUpgradeStats[Level],tblUpgradeStats[Ship Speed],0)</f>
        <v>0</v>
      </c>
      <c r="H17" s="14">
        <f>_xlfn.XLOOKUP(tblprogress[[#This Row],[Cargo Level]],tblUpgradeStats[Level],tblUpgradeStats[Cargo Amount],0)</f>
        <v>0</v>
      </c>
      <c r="I17" s="31">
        <f>IFERROR(tblprogress[[#This Row],[Mining Rate]]*(2*tblprogress[[#This Row],[Planets Distance]]/tblprogress[[#This Row],[Ship Speed]])/tblprogress[[#This Row],[Cargo]],0)</f>
        <v>0</v>
      </c>
      <c r="J17" s="49">
        <f>IF(tblprogress[[#This Row],[Efficiency]]&lt;1,tblprogress[[#This Row],[Mining Rate]]*60,tblprogress[[#This Row],[Cargo]]/(2*tblprogress[[#This Row],[Planets Distance]]/tblprogress[[#This Row],[Ship Speed]])*60)</f>
        <v>0</v>
      </c>
      <c r="K17" s="15">
        <f>IFERROR(_xlfn.XLOOKUP(tblprogress[[#This Row],[Planet '#]],tblplanetvalue[Planet '#],tblplanetvalue[Total Worth])*tblprogress[[#This Row],[Deposit]]/60,0)</f>
        <v>0</v>
      </c>
      <c r="L17" s="54">
        <f>IF(tblprogress[[#This Row],[Deposit]]&gt;0,1,0)</f>
        <v>0</v>
      </c>
      <c r="M17" s="54">
        <f>IF(tblprogress[[#This Row],[Telescope]]&lt;=CurrentTelescope,1,0)</f>
        <v>0</v>
      </c>
      <c r="N17" s="14">
        <f>_xlfn.XLOOKUP(tblprogress[[#This Row],[Planet '#]],tblPlanets[Planet '#],tblPlanets[Distance])</f>
        <v>8.8000000000000096</v>
      </c>
      <c r="O17" s="30" t="str">
        <f>IF(tblprogress[[#This Row],[Ship Speed]]=0,"",2*tblprogress[[#This Row],[Planets Distance]]/tblprogress[[#This Row],[Ship Speed]])</f>
        <v/>
      </c>
      <c r="P17" s="14">
        <f>_xlfn.XLOOKUP(tblprogress[[#This Row],[Planet '#]],tblPlanets[Planet '#],tblPlanets[Telescope])</f>
        <v>4</v>
      </c>
      <c r="Q17" s="14" t="str">
        <f>IF(
   _xlfn.XLOOKUP(tblprogress[[#This Row],[Planet '#]], tblPlanets[Planet '#], tblPlanets[Name])=tblprogress[[#This Row],[Name]],
   "Match",
   "Mismatch"
)</f>
        <v>Match</v>
      </c>
    </row>
    <row r="18" spans="1:17" x14ac:dyDescent="0.3">
      <c r="A18" s="14">
        <v>17</v>
      </c>
      <c r="B18" s="14" t="str">
        <f>_xlfn.XLOOKUP(tblprogress[[#This Row],[Planet '#]],tblPlanets[Planet '#],tblPlanets[Name])</f>
        <v>Castellus</v>
      </c>
      <c r="C18" s="70">
        <v>0</v>
      </c>
      <c r="D18" s="70">
        <v>0</v>
      </c>
      <c r="E18" s="70">
        <v>0</v>
      </c>
      <c r="F18" s="30">
        <f>_xlfn.XLOOKUP(tblprogress[[#This Row],[Mining Level]],tblUpgradeStats[Level],tblUpgradeStats[Mining Speed],0)</f>
        <v>0</v>
      </c>
      <c r="G18" s="30">
        <f>_xlfn.XLOOKUP(tblprogress[[#This Row],[Ship Level]],tblUpgradeStats[Level],tblUpgradeStats[Ship Speed],0)</f>
        <v>0</v>
      </c>
      <c r="H18" s="14">
        <f>_xlfn.XLOOKUP(tblprogress[[#This Row],[Cargo Level]],tblUpgradeStats[Level],tblUpgradeStats[Cargo Amount],0)</f>
        <v>0</v>
      </c>
      <c r="I18" s="31">
        <f>IFERROR(tblprogress[[#This Row],[Mining Rate]]*(2*tblprogress[[#This Row],[Planets Distance]]/tblprogress[[#This Row],[Ship Speed]])/tblprogress[[#This Row],[Cargo]],0)</f>
        <v>0</v>
      </c>
      <c r="J18" s="49">
        <f>IF(tblprogress[[#This Row],[Efficiency]]&lt;1,tblprogress[[#This Row],[Mining Rate]]*60,tblprogress[[#This Row],[Cargo]]/(2*tblprogress[[#This Row],[Planets Distance]]/tblprogress[[#This Row],[Ship Speed]])*60)</f>
        <v>0</v>
      </c>
      <c r="K18" s="15">
        <f>IFERROR(_xlfn.XLOOKUP(tblprogress[[#This Row],[Planet '#]],tblplanetvalue[Planet '#],tblplanetvalue[Total Worth])*tblprogress[[#This Row],[Deposit]]/60,0)</f>
        <v>0</v>
      </c>
      <c r="L18" s="54">
        <f>IF(tblprogress[[#This Row],[Deposit]]&gt;0,1,0)</f>
        <v>0</v>
      </c>
      <c r="M18" s="54">
        <f>IF(tblprogress[[#This Row],[Telescope]]&lt;=CurrentTelescope,1,0)</f>
        <v>0</v>
      </c>
      <c r="N18" s="14">
        <f>_xlfn.XLOOKUP(tblprogress[[#This Row],[Planet '#]],tblPlanets[Planet '#],tblPlanets[Distance])</f>
        <v>8.9500000000000099</v>
      </c>
      <c r="O18" s="30" t="str">
        <f>IF(tblprogress[[#This Row],[Ship Speed]]=0,"",2*tblprogress[[#This Row],[Planets Distance]]/tblprogress[[#This Row],[Ship Speed]])</f>
        <v/>
      </c>
      <c r="P18" s="14">
        <f>_xlfn.XLOOKUP(tblprogress[[#This Row],[Planet '#]],tblPlanets[Planet '#],tblPlanets[Telescope])</f>
        <v>5</v>
      </c>
      <c r="Q18" s="14" t="str">
        <f>IF(
   _xlfn.XLOOKUP(tblprogress[[#This Row],[Planet '#]], tblPlanets[Planet '#], tblPlanets[Name])=tblprogress[[#This Row],[Name]],
   "Match",
   "Mismatch"
)</f>
        <v>Match</v>
      </c>
    </row>
    <row r="19" spans="1:17" x14ac:dyDescent="0.3">
      <c r="A19" s="14">
        <v>18</v>
      </c>
      <c r="B19" s="14" t="str">
        <f>_xlfn.XLOOKUP(tblprogress[[#This Row],[Planet '#]],tblPlanets[Planet '#],tblPlanets[Name])</f>
        <v>Gorgon</v>
      </c>
      <c r="C19" s="70">
        <v>0</v>
      </c>
      <c r="D19" s="70">
        <v>0</v>
      </c>
      <c r="E19" s="70">
        <v>0</v>
      </c>
      <c r="F19" s="30">
        <f>_xlfn.XLOOKUP(tblprogress[[#This Row],[Mining Level]],tblUpgradeStats[Level],tblUpgradeStats[Mining Speed],0)</f>
        <v>0</v>
      </c>
      <c r="G19" s="30">
        <f>_xlfn.XLOOKUP(tblprogress[[#This Row],[Ship Level]],tblUpgradeStats[Level],tblUpgradeStats[Ship Speed],0)</f>
        <v>0</v>
      </c>
      <c r="H19" s="14">
        <f>_xlfn.XLOOKUP(tblprogress[[#This Row],[Cargo Level]],tblUpgradeStats[Level],tblUpgradeStats[Cargo Amount],0)</f>
        <v>0</v>
      </c>
      <c r="I19" s="31">
        <f>IFERROR(tblprogress[[#This Row],[Mining Rate]]*(2*tblprogress[[#This Row],[Planets Distance]]/tblprogress[[#This Row],[Ship Speed]])/tblprogress[[#This Row],[Cargo]],0)</f>
        <v>0</v>
      </c>
      <c r="J19" s="49">
        <f>IF(tblprogress[[#This Row],[Efficiency]]&lt;1,tblprogress[[#This Row],[Mining Rate]]*60,tblprogress[[#This Row],[Cargo]]/(2*tblprogress[[#This Row],[Planets Distance]]/tblprogress[[#This Row],[Ship Speed]])*60)</f>
        <v>0</v>
      </c>
      <c r="K19" s="15">
        <f>IFERROR(_xlfn.XLOOKUP(tblprogress[[#This Row],[Planet '#]],tblplanetvalue[Planet '#],tblplanetvalue[Total Worth])*tblprogress[[#This Row],[Deposit]]/60,0)</f>
        <v>0</v>
      </c>
      <c r="L19" s="54">
        <f>IF(tblprogress[[#This Row],[Deposit]]&gt;0,1,0)</f>
        <v>0</v>
      </c>
      <c r="M19" s="54">
        <f>IF(tblprogress[[#This Row],[Telescope]]&lt;=CurrentTelescope,1,0)</f>
        <v>0</v>
      </c>
      <c r="N19" s="14">
        <f>_xlfn.XLOOKUP(tblprogress[[#This Row],[Planet '#]],tblPlanets[Planet '#],tblPlanets[Distance])</f>
        <v>9.1000000000000103</v>
      </c>
      <c r="O19" s="30" t="str">
        <f>IF(tblprogress[[#This Row],[Ship Speed]]=0,"",2*tblprogress[[#This Row],[Planets Distance]]/tblprogress[[#This Row],[Ship Speed]])</f>
        <v/>
      </c>
      <c r="P19" s="14">
        <f>_xlfn.XLOOKUP(tblprogress[[#This Row],[Planet '#]],tblPlanets[Planet '#],tblPlanets[Telescope])</f>
        <v>5</v>
      </c>
      <c r="Q19" s="14" t="str">
        <f>IF(
   _xlfn.XLOOKUP(tblprogress[[#This Row],[Planet '#]], tblPlanets[Planet '#], tblPlanets[Name])=tblprogress[[#This Row],[Name]],
   "Match",
   "Mismatch"
)</f>
        <v>Match</v>
      </c>
    </row>
    <row r="20" spans="1:17" x14ac:dyDescent="0.3">
      <c r="A20" s="14">
        <v>19</v>
      </c>
      <c r="B20" s="14" t="str">
        <f>_xlfn.XLOOKUP(tblprogress[[#This Row],[Planet '#]],tblPlanets[Planet '#],tblPlanets[Name])</f>
        <v>Parnitha</v>
      </c>
      <c r="C20" s="70">
        <v>0</v>
      </c>
      <c r="D20" s="70">
        <v>0</v>
      </c>
      <c r="E20" s="70">
        <v>0</v>
      </c>
      <c r="F20" s="30">
        <f>_xlfn.XLOOKUP(tblprogress[[#This Row],[Mining Level]],tblUpgradeStats[Level],tblUpgradeStats[Mining Speed],0)</f>
        <v>0</v>
      </c>
      <c r="G20" s="30">
        <f>_xlfn.XLOOKUP(tblprogress[[#This Row],[Ship Level]],tblUpgradeStats[Level],tblUpgradeStats[Ship Speed],0)</f>
        <v>0</v>
      </c>
      <c r="H20" s="14">
        <f>_xlfn.XLOOKUP(tblprogress[[#This Row],[Cargo Level]],tblUpgradeStats[Level],tblUpgradeStats[Cargo Amount],0)</f>
        <v>0</v>
      </c>
      <c r="I20" s="31">
        <f>IFERROR(tblprogress[[#This Row],[Mining Rate]]*(2*tblprogress[[#This Row],[Planets Distance]]/tblprogress[[#This Row],[Ship Speed]])/tblprogress[[#This Row],[Cargo]],0)</f>
        <v>0</v>
      </c>
      <c r="J20" s="49">
        <f>IF(tblprogress[[#This Row],[Efficiency]]&lt;1,tblprogress[[#This Row],[Mining Rate]]*60,tblprogress[[#This Row],[Cargo]]/(2*tblprogress[[#This Row],[Planets Distance]]/tblprogress[[#This Row],[Ship Speed]])*60)</f>
        <v>0</v>
      </c>
      <c r="K20" s="15">
        <f>IFERROR(_xlfn.XLOOKUP(tblprogress[[#This Row],[Planet '#]],tblplanetvalue[Planet '#],tblplanetvalue[Total Worth])*tblprogress[[#This Row],[Deposit]]/60,0)</f>
        <v>0</v>
      </c>
      <c r="L20" s="54">
        <f>IF(tblprogress[[#This Row],[Deposit]]&gt;0,1,0)</f>
        <v>0</v>
      </c>
      <c r="M20" s="54">
        <f>IF(tblprogress[[#This Row],[Telescope]]&lt;=CurrentTelescope,1,0)</f>
        <v>0</v>
      </c>
      <c r="N20" s="14">
        <f>_xlfn.XLOOKUP(tblprogress[[#This Row],[Planet '#]],tblPlanets[Planet '#],tblPlanets[Distance])</f>
        <v>9.2500000000000107</v>
      </c>
      <c r="O20" s="30" t="str">
        <f>IF(tblprogress[[#This Row],[Ship Speed]]=0,"",2*tblprogress[[#This Row],[Planets Distance]]/tblprogress[[#This Row],[Ship Speed]])</f>
        <v/>
      </c>
      <c r="P20" s="14">
        <f>_xlfn.XLOOKUP(tblprogress[[#This Row],[Planet '#]],tblPlanets[Planet '#],tblPlanets[Telescope])</f>
        <v>5</v>
      </c>
      <c r="Q20" s="14" t="str">
        <f>IF(
   _xlfn.XLOOKUP(tblprogress[[#This Row],[Planet '#]], tblPlanets[Planet '#], tblPlanets[Name])=tblprogress[[#This Row],[Name]],
   "Match",
   "Mismatch"
)</f>
        <v>Match</v>
      </c>
    </row>
    <row r="21" spans="1:17" x14ac:dyDescent="0.3">
      <c r="A21" s="14">
        <v>20</v>
      </c>
      <c r="B21" s="14" t="str">
        <f>_xlfn.XLOOKUP(tblprogress[[#This Row],[Planet '#]],tblPlanets[Planet '#],tblPlanets[Name])</f>
        <v>Orisoni</v>
      </c>
      <c r="C21" s="70">
        <v>0</v>
      </c>
      <c r="D21" s="70">
        <v>0</v>
      </c>
      <c r="E21" s="70">
        <v>0</v>
      </c>
      <c r="F21" s="30">
        <f>_xlfn.XLOOKUP(tblprogress[[#This Row],[Mining Level]],tblUpgradeStats[Level],tblUpgradeStats[Mining Speed],0)</f>
        <v>0</v>
      </c>
      <c r="G21" s="30">
        <f>_xlfn.XLOOKUP(tblprogress[[#This Row],[Ship Level]],tblUpgradeStats[Level],tblUpgradeStats[Ship Speed],0)</f>
        <v>0</v>
      </c>
      <c r="H21" s="14">
        <f>_xlfn.XLOOKUP(tblprogress[[#This Row],[Cargo Level]],tblUpgradeStats[Level],tblUpgradeStats[Cargo Amount],0)</f>
        <v>0</v>
      </c>
      <c r="I21" s="31">
        <f>IFERROR(tblprogress[[#This Row],[Mining Rate]]*(2*tblprogress[[#This Row],[Planets Distance]]/tblprogress[[#This Row],[Ship Speed]])/tblprogress[[#This Row],[Cargo]],0)</f>
        <v>0</v>
      </c>
      <c r="J21" s="49">
        <f>IF(tblprogress[[#This Row],[Efficiency]]&lt;1,tblprogress[[#This Row],[Mining Rate]]*60,tblprogress[[#This Row],[Cargo]]/(2*tblprogress[[#This Row],[Planets Distance]]/tblprogress[[#This Row],[Ship Speed]])*60)</f>
        <v>0</v>
      </c>
      <c r="K21" s="15">
        <f>IFERROR(_xlfn.XLOOKUP(tblprogress[[#This Row],[Planet '#]],tblplanetvalue[Planet '#],tblplanetvalue[Total Worth])*tblprogress[[#This Row],[Deposit]]/60,0)</f>
        <v>0</v>
      </c>
      <c r="L21" s="54">
        <f>IF(tblprogress[[#This Row],[Deposit]]&gt;0,1,0)</f>
        <v>0</v>
      </c>
      <c r="M21" s="54">
        <f>IF(tblprogress[[#This Row],[Telescope]]&lt;=CurrentTelescope,1,0)</f>
        <v>0</v>
      </c>
      <c r="N21" s="14">
        <f>_xlfn.XLOOKUP(tblprogress[[#This Row],[Planet '#]],tblPlanets[Planet '#],tblPlanets[Distance])</f>
        <v>9.4000000000000092</v>
      </c>
      <c r="O21" s="30" t="str">
        <f>IF(tblprogress[[#This Row],[Ship Speed]]=0,"",2*tblprogress[[#This Row],[Planets Distance]]/tblprogress[[#This Row],[Ship Speed]])</f>
        <v/>
      </c>
      <c r="P21" s="14">
        <f>_xlfn.XLOOKUP(tblprogress[[#This Row],[Planet '#]],tblPlanets[Planet '#],tblPlanets[Telescope])</f>
        <v>6</v>
      </c>
      <c r="Q21" s="14" t="str">
        <f>IF(
   _xlfn.XLOOKUP(tblprogress[[#This Row],[Planet '#]], tblPlanets[Planet '#], tblPlanets[Name])=tblprogress[[#This Row],[Name]],
   "Match",
   "Mismatch"
)</f>
        <v>Match</v>
      </c>
    </row>
    <row r="22" spans="1:17" x14ac:dyDescent="0.3">
      <c r="A22" s="14">
        <v>21</v>
      </c>
      <c r="B22" s="14" t="str">
        <f>_xlfn.XLOOKUP(tblprogress[[#This Row],[Planet '#]],tblPlanets[Planet '#],tblPlanets[Name])</f>
        <v>Theseus</v>
      </c>
      <c r="C22" s="70">
        <v>0</v>
      </c>
      <c r="D22" s="70">
        <v>0</v>
      </c>
      <c r="E22" s="70">
        <v>0</v>
      </c>
      <c r="F22" s="30">
        <f>_xlfn.XLOOKUP(tblprogress[[#This Row],[Mining Level]],tblUpgradeStats[Level],tblUpgradeStats[Mining Speed],0)</f>
        <v>0</v>
      </c>
      <c r="G22" s="30">
        <f>_xlfn.XLOOKUP(tblprogress[[#This Row],[Ship Level]],tblUpgradeStats[Level],tblUpgradeStats[Ship Speed],0)</f>
        <v>0</v>
      </c>
      <c r="H22" s="14">
        <f>_xlfn.XLOOKUP(tblprogress[[#This Row],[Cargo Level]],tblUpgradeStats[Level],tblUpgradeStats[Cargo Amount],0)</f>
        <v>0</v>
      </c>
      <c r="I22" s="31">
        <f>IFERROR(tblprogress[[#This Row],[Mining Rate]]*(2*tblprogress[[#This Row],[Planets Distance]]/tblprogress[[#This Row],[Ship Speed]])/tblprogress[[#This Row],[Cargo]],0)</f>
        <v>0</v>
      </c>
      <c r="J22" s="49">
        <f>IF(tblprogress[[#This Row],[Efficiency]]&lt;1,tblprogress[[#This Row],[Mining Rate]]*60,tblprogress[[#This Row],[Cargo]]/(2*tblprogress[[#This Row],[Planets Distance]]/tblprogress[[#This Row],[Ship Speed]])*60)</f>
        <v>0</v>
      </c>
      <c r="K22" s="15">
        <f>IFERROR(_xlfn.XLOOKUP(tblprogress[[#This Row],[Planet '#]],tblplanetvalue[Planet '#],tblplanetvalue[Total Worth])*tblprogress[[#This Row],[Deposit]]/60,0)</f>
        <v>0</v>
      </c>
      <c r="L22" s="54">
        <f>IF(tblprogress[[#This Row],[Deposit]]&gt;0,1,0)</f>
        <v>0</v>
      </c>
      <c r="M22" s="54">
        <f>IF(tblprogress[[#This Row],[Telescope]]&lt;=CurrentTelescope,1,0)</f>
        <v>0</v>
      </c>
      <c r="N22" s="14">
        <f>_xlfn.XLOOKUP(tblprogress[[#This Row],[Planet '#]],tblPlanets[Planet '#],tblPlanets[Distance])</f>
        <v>9.5500000000000096</v>
      </c>
      <c r="O22" s="30" t="str">
        <f>IF(tblprogress[[#This Row],[Ship Speed]]=0,"",2*tblprogress[[#This Row],[Planets Distance]]/tblprogress[[#This Row],[Ship Speed]])</f>
        <v/>
      </c>
      <c r="P22" s="14">
        <f>_xlfn.XLOOKUP(tblprogress[[#This Row],[Planet '#]],tblPlanets[Planet '#],tblPlanets[Telescope])</f>
        <v>6</v>
      </c>
      <c r="Q22" s="14" t="str">
        <f>IF(
   _xlfn.XLOOKUP(tblprogress[[#This Row],[Planet '#]], tblPlanets[Planet '#], tblPlanets[Name])=tblprogress[[#This Row],[Name]],
   "Match",
   "Mismatch"
)</f>
        <v>Match</v>
      </c>
    </row>
    <row r="23" spans="1:17" x14ac:dyDescent="0.3">
      <c r="A23" s="14">
        <v>22</v>
      </c>
      <c r="B23" s="14" t="str">
        <f>_xlfn.XLOOKUP(tblprogress[[#This Row],[Planet '#]],tblPlanets[Planet '#],tblPlanets[Name])</f>
        <v>Zelene</v>
      </c>
      <c r="C23" s="70">
        <v>0</v>
      </c>
      <c r="D23" s="70">
        <v>0</v>
      </c>
      <c r="E23" s="70">
        <v>0</v>
      </c>
      <c r="F23" s="30">
        <f>_xlfn.XLOOKUP(tblprogress[[#This Row],[Mining Level]],tblUpgradeStats[Level],tblUpgradeStats[Mining Speed],0)</f>
        <v>0</v>
      </c>
      <c r="G23" s="30">
        <f>_xlfn.XLOOKUP(tblprogress[[#This Row],[Ship Level]],tblUpgradeStats[Level],tblUpgradeStats[Ship Speed],0)</f>
        <v>0</v>
      </c>
      <c r="H23" s="14">
        <f>_xlfn.XLOOKUP(tblprogress[[#This Row],[Cargo Level]],tblUpgradeStats[Level],tblUpgradeStats[Cargo Amount],0)</f>
        <v>0</v>
      </c>
      <c r="I23" s="31">
        <f>IFERROR(tblprogress[[#This Row],[Mining Rate]]*(2*tblprogress[[#This Row],[Planets Distance]]/tblprogress[[#This Row],[Ship Speed]])/tblprogress[[#This Row],[Cargo]],0)</f>
        <v>0</v>
      </c>
      <c r="J23" s="49">
        <f>IF(tblprogress[[#This Row],[Efficiency]]&lt;1,tblprogress[[#This Row],[Mining Rate]]*60,tblprogress[[#This Row],[Cargo]]/(2*tblprogress[[#This Row],[Planets Distance]]/tblprogress[[#This Row],[Ship Speed]])*60)</f>
        <v>0</v>
      </c>
      <c r="K23" s="15">
        <f>IFERROR(_xlfn.XLOOKUP(tblprogress[[#This Row],[Planet '#]],tblplanetvalue[Planet '#],tblplanetvalue[Total Worth])*tblprogress[[#This Row],[Deposit]]/60,0)</f>
        <v>0</v>
      </c>
      <c r="L23" s="54">
        <f>IF(tblprogress[[#This Row],[Deposit]]&gt;0,1,0)</f>
        <v>0</v>
      </c>
      <c r="M23" s="54">
        <f>IF(tblprogress[[#This Row],[Telescope]]&lt;=CurrentTelescope,1,0)</f>
        <v>0</v>
      </c>
      <c r="N23" s="14">
        <f>_xlfn.XLOOKUP(tblprogress[[#This Row],[Planet '#]],tblPlanets[Planet '#],tblPlanets[Distance])</f>
        <v>9.7000000000000099</v>
      </c>
      <c r="O23" s="30" t="str">
        <f>IF(tblprogress[[#This Row],[Ship Speed]]=0,"",2*tblprogress[[#This Row],[Planets Distance]]/tblprogress[[#This Row],[Ship Speed]])</f>
        <v/>
      </c>
      <c r="P23" s="14">
        <f>_xlfn.XLOOKUP(tblprogress[[#This Row],[Planet '#]],tblPlanets[Planet '#],tblPlanets[Telescope])</f>
        <v>6</v>
      </c>
      <c r="Q23" s="14" t="str">
        <f>IF(
   _xlfn.XLOOKUP(tblprogress[[#This Row],[Planet '#]], tblPlanets[Planet '#], tblPlanets[Name])=tblprogress[[#This Row],[Name]],
   "Match",
   "Mismatch"
)</f>
        <v>Match</v>
      </c>
    </row>
    <row r="24" spans="1:17" x14ac:dyDescent="0.3">
      <c r="A24" s="14">
        <v>23</v>
      </c>
      <c r="B24" s="14" t="str">
        <f>_xlfn.XLOOKUP(tblprogress[[#This Row],[Planet '#]],tblPlanets[Planet '#],tblPlanets[Name])</f>
        <v>Han</v>
      </c>
      <c r="C24" s="70">
        <v>0</v>
      </c>
      <c r="D24" s="70">
        <v>0</v>
      </c>
      <c r="E24" s="70">
        <v>0</v>
      </c>
      <c r="F24" s="30">
        <f>_xlfn.XLOOKUP(tblprogress[[#This Row],[Mining Level]],tblUpgradeStats[Level],tblUpgradeStats[Mining Speed],0)</f>
        <v>0</v>
      </c>
      <c r="G24" s="30">
        <f>_xlfn.XLOOKUP(tblprogress[[#This Row],[Ship Level]],tblUpgradeStats[Level],tblUpgradeStats[Ship Speed],0)</f>
        <v>0</v>
      </c>
      <c r="H24" s="14">
        <f>_xlfn.XLOOKUP(tblprogress[[#This Row],[Cargo Level]],tblUpgradeStats[Level],tblUpgradeStats[Cargo Amount],0)</f>
        <v>0</v>
      </c>
      <c r="I24" s="31">
        <f>IFERROR(tblprogress[[#This Row],[Mining Rate]]*(2*tblprogress[[#This Row],[Planets Distance]]/tblprogress[[#This Row],[Ship Speed]])/tblprogress[[#This Row],[Cargo]],0)</f>
        <v>0</v>
      </c>
      <c r="J24" s="49">
        <f>IF(tblprogress[[#This Row],[Efficiency]]&lt;1,tblprogress[[#This Row],[Mining Rate]]*60,tblprogress[[#This Row],[Cargo]]/(2*tblprogress[[#This Row],[Planets Distance]]/tblprogress[[#This Row],[Ship Speed]])*60)</f>
        <v>0</v>
      </c>
      <c r="K24" s="15">
        <f>IFERROR(_xlfn.XLOOKUP(tblprogress[[#This Row],[Planet '#]],tblplanetvalue[Planet '#],tblplanetvalue[Total Worth])*tblprogress[[#This Row],[Deposit]]/60,0)</f>
        <v>0</v>
      </c>
      <c r="L24" s="54">
        <f>IF(tblprogress[[#This Row],[Deposit]]&gt;0,1,0)</f>
        <v>0</v>
      </c>
      <c r="M24" s="54">
        <f>IF(tblprogress[[#This Row],[Telescope]]&lt;=CurrentTelescope,1,0)</f>
        <v>0</v>
      </c>
      <c r="N24" s="14">
        <f>_xlfn.XLOOKUP(tblprogress[[#This Row],[Planet '#]],tblPlanets[Planet '#],tblPlanets[Distance])</f>
        <v>9.8500000000000103</v>
      </c>
      <c r="O24" s="30" t="str">
        <f>IF(tblprogress[[#This Row],[Ship Speed]]=0,"",2*tblprogress[[#This Row],[Planets Distance]]/tblprogress[[#This Row],[Ship Speed]])</f>
        <v/>
      </c>
      <c r="P24" s="14">
        <f>_xlfn.XLOOKUP(tblprogress[[#This Row],[Planet '#]],tblPlanets[Planet '#],tblPlanets[Telescope])</f>
        <v>7</v>
      </c>
      <c r="Q24" s="14" t="str">
        <f>IF(
   _xlfn.XLOOKUP(tblprogress[[#This Row],[Planet '#]], tblPlanets[Planet '#], tblPlanets[Name])=tblprogress[[#This Row],[Name]],
   "Match",
   "Mismatch"
)</f>
        <v>Match</v>
      </c>
    </row>
    <row r="25" spans="1:17" x14ac:dyDescent="0.3">
      <c r="A25" s="14">
        <v>24</v>
      </c>
      <c r="B25" s="14" t="str">
        <f>_xlfn.XLOOKUP(tblprogress[[#This Row],[Planet '#]],tblPlanets[Planet '#],tblPlanets[Name])</f>
        <v>Strennus</v>
      </c>
      <c r="C25" s="70">
        <v>0</v>
      </c>
      <c r="D25" s="70">
        <v>0</v>
      </c>
      <c r="E25" s="70">
        <v>0</v>
      </c>
      <c r="F25" s="30">
        <f>_xlfn.XLOOKUP(tblprogress[[#This Row],[Mining Level]],tblUpgradeStats[Level],tblUpgradeStats[Mining Speed],0)</f>
        <v>0</v>
      </c>
      <c r="G25" s="30">
        <f>_xlfn.XLOOKUP(tblprogress[[#This Row],[Ship Level]],tblUpgradeStats[Level],tblUpgradeStats[Ship Speed],0)</f>
        <v>0</v>
      </c>
      <c r="H25" s="14">
        <f>_xlfn.XLOOKUP(tblprogress[[#This Row],[Cargo Level]],tblUpgradeStats[Level],tblUpgradeStats[Cargo Amount],0)</f>
        <v>0</v>
      </c>
      <c r="I25" s="31">
        <f>IFERROR(tblprogress[[#This Row],[Mining Rate]]*(2*tblprogress[[#This Row],[Planets Distance]]/tblprogress[[#This Row],[Ship Speed]])/tblprogress[[#This Row],[Cargo]],0)</f>
        <v>0</v>
      </c>
      <c r="J25" s="49">
        <f>IF(tblprogress[[#This Row],[Efficiency]]&lt;1,tblprogress[[#This Row],[Mining Rate]]*60,tblprogress[[#This Row],[Cargo]]/(2*tblprogress[[#This Row],[Planets Distance]]/tblprogress[[#This Row],[Ship Speed]])*60)</f>
        <v>0</v>
      </c>
      <c r="K25" s="15">
        <f>IFERROR(_xlfn.XLOOKUP(tblprogress[[#This Row],[Planet '#]],tblplanetvalue[Planet '#],tblplanetvalue[Total Worth])*tblprogress[[#This Row],[Deposit]]/60,0)</f>
        <v>0</v>
      </c>
      <c r="L25" s="54">
        <f>IF(tblprogress[[#This Row],[Deposit]]&gt;0,1,0)</f>
        <v>0</v>
      </c>
      <c r="M25" s="54">
        <f>IF(tblprogress[[#This Row],[Telescope]]&lt;=CurrentTelescope,1,0)</f>
        <v>0</v>
      </c>
      <c r="N25" s="14">
        <f>_xlfn.XLOOKUP(tblprogress[[#This Row],[Planet '#]],tblPlanets[Planet '#],tblPlanets[Distance])</f>
        <v>10</v>
      </c>
      <c r="O25" s="30" t="str">
        <f>IF(tblprogress[[#This Row],[Ship Speed]]=0,"",2*tblprogress[[#This Row],[Planets Distance]]/tblprogress[[#This Row],[Ship Speed]])</f>
        <v/>
      </c>
      <c r="P25" s="14">
        <f>_xlfn.XLOOKUP(tblprogress[[#This Row],[Planet '#]],tblPlanets[Planet '#],tblPlanets[Telescope])</f>
        <v>7</v>
      </c>
      <c r="Q25" s="14" t="str">
        <f>IF(
   _xlfn.XLOOKUP(tblprogress[[#This Row],[Planet '#]], tblPlanets[Planet '#], tblPlanets[Name])=tblprogress[[#This Row],[Name]],
   "Match",
   "Mismatch"
)</f>
        <v>Match</v>
      </c>
    </row>
    <row r="26" spans="1:17" x14ac:dyDescent="0.3">
      <c r="A26" s="14">
        <v>25</v>
      </c>
      <c r="B26" s="14" t="str">
        <f>_xlfn.XLOOKUP(tblprogress[[#This Row],[Planet '#]],tblPlanets[Planet '#],tblPlanets[Name])</f>
        <v>Osun</v>
      </c>
      <c r="C26" s="70">
        <v>0</v>
      </c>
      <c r="D26" s="70">
        <v>0</v>
      </c>
      <c r="E26" s="70">
        <v>0</v>
      </c>
      <c r="F26" s="30">
        <f>_xlfn.XLOOKUP(tblprogress[[#This Row],[Mining Level]],tblUpgradeStats[Level],tblUpgradeStats[Mining Speed],0)</f>
        <v>0</v>
      </c>
      <c r="G26" s="30">
        <f>_xlfn.XLOOKUP(tblprogress[[#This Row],[Ship Level]],tblUpgradeStats[Level],tblUpgradeStats[Ship Speed],0)</f>
        <v>0</v>
      </c>
      <c r="H26" s="14">
        <f>_xlfn.XLOOKUP(tblprogress[[#This Row],[Cargo Level]],tblUpgradeStats[Level],tblUpgradeStats[Cargo Amount],0)</f>
        <v>0</v>
      </c>
      <c r="I26" s="31">
        <f>IFERROR(tblprogress[[#This Row],[Mining Rate]]*(2*tblprogress[[#This Row],[Planets Distance]]/tblprogress[[#This Row],[Ship Speed]])/tblprogress[[#This Row],[Cargo]],0)</f>
        <v>0</v>
      </c>
      <c r="J26" s="49">
        <f>IF(tblprogress[[#This Row],[Efficiency]]&lt;1,tblprogress[[#This Row],[Mining Rate]]*60,tblprogress[[#This Row],[Cargo]]/(2*tblprogress[[#This Row],[Planets Distance]]/tblprogress[[#This Row],[Ship Speed]])*60)</f>
        <v>0</v>
      </c>
      <c r="K26" s="15">
        <f>IFERROR(_xlfn.XLOOKUP(tblprogress[[#This Row],[Planet '#]],tblplanetvalue[Planet '#],tblplanetvalue[Total Worth])*tblprogress[[#This Row],[Deposit]]/60,0)</f>
        <v>0</v>
      </c>
      <c r="L26" s="54">
        <f>IF(tblprogress[[#This Row],[Deposit]]&gt;0,1,0)</f>
        <v>0</v>
      </c>
      <c r="M26" s="54">
        <f>IF(tblprogress[[#This Row],[Telescope]]&lt;=CurrentTelescope,1,0)</f>
        <v>0</v>
      </c>
      <c r="N26" s="14">
        <f>_xlfn.XLOOKUP(tblprogress[[#This Row],[Planet '#]],tblPlanets[Planet '#],tblPlanets[Distance])</f>
        <v>10.15</v>
      </c>
      <c r="O26" s="30" t="str">
        <f>IF(tblprogress[[#This Row],[Ship Speed]]=0,"",2*tblprogress[[#This Row],[Planets Distance]]/tblprogress[[#This Row],[Ship Speed]])</f>
        <v/>
      </c>
      <c r="P26" s="14">
        <f>_xlfn.XLOOKUP(tblprogress[[#This Row],[Planet '#]],tblPlanets[Planet '#],tblPlanets[Telescope])</f>
        <v>7</v>
      </c>
      <c r="Q26" s="14" t="str">
        <f>IF(
   _xlfn.XLOOKUP(tblprogress[[#This Row],[Planet '#]], tblPlanets[Planet '#], tblPlanets[Name])=tblprogress[[#This Row],[Name]],
   "Match",
   "Mismatch"
)</f>
        <v>Match</v>
      </c>
    </row>
    <row r="27" spans="1:17" x14ac:dyDescent="0.3">
      <c r="A27" s="14">
        <v>26</v>
      </c>
      <c r="B27" s="14" t="str">
        <f>_xlfn.XLOOKUP(tblprogress[[#This Row],[Planet '#]],tblPlanets[Planet '#],tblPlanets[Name])</f>
        <v>Ploitari</v>
      </c>
      <c r="C27" s="70">
        <v>0</v>
      </c>
      <c r="D27" s="70">
        <v>0</v>
      </c>
      <c r="E27" s="70">
        <v>0</v>
      </c>
      <c r="F27" s="30">
        <f>_xlfn.XLOOKUP(tblprogress[[#This Row],[Mining Level]],tblUpgradeStats[Level],tblUpgradeStats[Mining Speed],0)</f>
        <v>0</v>
      </c>
      <c r="G27" s="30">
        <f>_xlfn.XLOOKUP(tblprogress[[#This Row],[Ship Level]],tblUpgradeStats[Level],tblUpgradeStats[Ship Speed],0)</f>
        <v>0</v>
      </c>
      <c r="H27" s="14">
        <f>_xlfn.XLOOKUP(tblprogress[[#This Row],[Cargo Level]],tblUpgradeStats[Level],tblUpgradeStats[Cargo Amount],0)</f>
        <v>0</v>
      </c>
      <c r="I27" s="31">
        <f>IFERROR(tblprogress[[#This Row],[Mining Rate]]*(2*tblprogress[[#This Row],[Planets Distance]]/tblprogress[[#This Row],[Ship Speed]])/tblprogress[[#This Row],[Cargo]],0)</f>
        <v>0</v>
      </c>
      <c r="J27" s="49">
        <f>IF(tblprogress[[#This Row],[Efficiency]]&lt;1,tblprogress[[#This Row],[Mining Rate]]*60,tblprogress[[#This Row],[Cargo]]/(2*tblprogress[[#This Row],[Planets Distance]]/tblprogress[[#This Row],[Ship Speed]])*60)</f>
        <v>0</v>
      </c>
      <c r="K27" s="15">
        <f>IFERROR(_xlfn.XLOOKUP(tblprogress[[#This Row],[Planet '#]],tblplanetvalue[Planet '#],tblplanetvalue[Total Worth])*tblprogress[[#This Row],[Deposit]]/60,0)</f>
        <v>0</v>
      </c>
      <c r="L27" s="54">
        <f>IF(tblprogress[[#This Row],[Deposit]]&gt;0,1,0)</f>
        <v>0</v>
      </c>
      <c r="M27" s="54">
        <f>IF(tblprogress[[#This Row],[Telescope]]&lt;=CurrentTelescope,1,0)</f>
        <v>0</v>
      </c>
      <c r="N27" s="14">
        <f>_xlfn.XLOOKUP(tblprogress[[#This Row],[Planet '#]],tblPlanets[Planet '#],tblPlanets[Distance])</f>
        <v>10.3</v>
      </c>
      <c r="O27" s="30" t="str">
        <f>IF(tblprogress[[#This Row],[Ship Speed]]=0,"",2*tblprogress[[#This Row],[Planets Distance]]/tblprogress[[#This Row],[Ship Speed]])</f>
        <v/>
      </c>
      <c r="P27" s="14">
        <f>_xlfn.XLOOKUP(tblprogress[[#This Row],[Planet '#]],tblPlanets[Planet '#],tblPlanets[Telescope])</f>
        <v>8</v>
      </c>
      <c r="Q27" s="14" t="str">
        <f>IF(
   _xlfn.XLOOKUP(tblprogress[[#This Row],[Planet '#]], tblPlanets[Planet '#], tblPlanets[Name])=tblprogress[[#This Row],[Name]],
   "Match",
   "Mismatch"
)</f>
        <v>Match</v>
      </c>
    </row>
    <row r="28" spans="1:17" x14ac:dyDescent="0.3">
      <c r="A28" s="14">
        <v>27</v>
      </c>
      <c r="B28" s="14" t="str">
        <f>_xlfn.XLOOKUP(tblprogress[[#This Row],[Planet '#]],tblPlanets[Planet '#],tblPlanets[Name])</f>
        <v>Elysta</v>
      </c>
      <c r="C28" s="70">
        <v>0</v>
      </c>
      <c r="D28" s="70">
        <v>0</v>
      </c>
      <c r="E28" s="70">
        <v>0</v>
      </c>
      <c r="F28" s="30">
        <f>_xlfn.XLOOKUP(tblprogress[[#This Row],[Mining Level]],tblUpgradeStats[Level],tblUpgradeStats[Mining Speed],0)</f>
        <v>0</v>
      </c>
      <c r="G28" s="30">
        <f>_xlfn.XLOOKUP(tblprogress[[#This Row],[Ship Level]],tblUpgradeStats[Level],tblUpgradeStats[Ship Speed],0)</f>
        <v>0</v>
      </c>
      <c r="H28" s="14">
        <f>_xlfn.XLOOKUP(tblprogress[[#This Row],[Cargo Level]],tblUpgradeStats[Level],tblUpgradeStats[Cargo Amount],0)</f>
        <v>0</v>
      </c>
      <c r="I28" s="31">
        <f>IFERROR(tblprogress[[#This Row],[Mining Rate]]*(2*tblprogress[[#This Row],[Planets Distance]]/tblprogress[[#This Row],[Ship Speed]])/tblprogress[[#This Row],[Cargo]],0)</f>
        <v>0</v>
      </c>
      <c r="J28" s="49">
        <f>IF(tblprogress[[#This Row],[Efficiency]]&lt;1,tblprogress[[#This Row],[Mining Rate]]*60,tblprogress[[#This Row],[Cargo]]/(2*tblprogress[[#This Row],[Planets Distance]]/tblprogress[[#This Row],[Ship Speed]])*60)</f>
        <v>0</v>
      </c>
      <c r="K28" s="15">
        <f>IFERROR(_xlfn.XLOOKUP(tblprogress[[#This Row],[Planet '#]],tblplanetvalue[Planet '#],tblplanetvalue[Total Worth])*tblprogress[[#This Row],[Deposit]]/60,0)</f>
        <v>0</v>
      </c>
      <c r="L28" s="54">
        <f>IF(tblprogress[[#This Row],[Deposit]]&gt;0,1,0)</f>
        <v>0</v>
      </c>
      <c r="M28" s="54">
        <f>IF(tblprogress[[#This Row],[Telescope]]&lt;=CurrentTelescope,1,0)</f>
        <v>0</v>
      </c>
      <c r="N28" s="14">
        <f>_xlfn.XLOOKUP(tblprogress[[#This Row],[Planet '#]],tblPlanets[Planet '#],tblPlanets[Distance])</f>
        <v>10.45</v>
      </c>
      <c r="O28" s="30" t="str">
        <f>IF(tblprogress[[#This Row],[Ship Speed]]=0,"",2*tblprogress[[#This Row],[Planets Distance]]/tblprogress[[#This Row],[Ship Speed]])</f>
        <v/>
      </c>
      <c r="P28" s="14">
        <f>_xlfn.XLOOKUP(tblprogress[[#This Row],[Planet '#]],tblPlanets[Planet '#],tblPlanets[Telescope])</f>
        <v>8</v>
      </c>
      <c r="Q28" s="14" t="str">
        <f>IF(
   _xlfn.XLOOKUP(tblprogress[[#This Row],[Planet '#]], tblPlanets[Planet '#], tblPlanets[Name])=tblprogress[[#This Row],[Name]],
   "Match",
   "Mismatch"
)</f>
        <v>Match</v>
      </c>
    </row>
    <row r="29" spans="1:17" x14ac:dyDescent="0.3">
      <c r="A29" s="14">
        <v>28</v>
      </c>
      <c r="B29" s="14" t="str">
        <f>_xlfn.XLOOKUP(tblprogress[[#This Row],[Planet '#]],tblPlanets[Planet '#],tblPlanets[Name])</f>
        <v>Tikkun</v>
      </c>
      <c r="C29" s="70">
        <v>0</v>
      </c>
      <c r="D29" s="70">
        <v>0</v>
      </c>
      <c r="E29" s="70">
        <v>0</v>
      </c>
      <c r="F29" s="30">
        <f>_xlfn.XLOOKUP(tblprogress[[#This Row],[Mining Level]],tblUpgradeStats[Level],tblUpgradeStats[Mining Speed],0)</f>
        <v>0</v>
      </c>
      <c r="G29" s="30">
        <f>_xlfn.XLOOKUP(tblprogress[[#This Row],[Ship Level]],tblUpgradeStats[Level],tblUpgradeStats[Ship Speed],0)</f>
        <v>0</v>
      </c>
      <c r="H29" s="14">
        <f>_xlfn.XLOOKUP(tblprogress[[#This Row],[Cargo Level]],tblUpgradeStats[Level],tblUpgradeStats[Cargo Amount],0)</f>
        <v>0</v>
      </c>
      <c r="I29" s="31">
        <f>IFERROR(tblprogress[[#This Row],[Mining Rate]]*(2*tblprogress[[#This Row],[Planets Distance]]/tblprogress[[#This Row],[Ship Speed]])/tblprogress[[#This Row],[Cargo]],0)</f>
        <v>0</v>
      </c>
      <c r="J29" s="49">
        <f>IF(tblprogress[[#This Row],[Efficiency]]&lt;1,tblprogress[[#This Row],[Mining Rate]]*60,tblprogress[[#This Row],[Cargo]]/(2*tblprogress[[#This Row],[Planets Distance]]/tblprogress[[#This Row],[Ship Speed]])*60)</f>
        <v>0</v>
      </c>
      <c r="K29" s="15">
        <f>IFERROR(_xlfn.XLOOKUP(tblprogress[[#This Row],[Planet '#]],tblplanetvalue[Planet '#],tblplanetvalue[Total Worth])*tblprogress[[#This Row],[Deposit]]/60,0)</f>
        <v>0</v>
      </c>
      <c r="L29" s="54">
        <f>IF(tblprogress[[#This Row],[Deposit]]&gt;0,1,0)</f>
        <v>0</v>
      </c>
      <c r="M29" s="54">
        <f>IF(tblprogress[[#This Row],[Telescope]]&lt;=CurrentTelescope,1,0)</f>
        <v>0</v>
      </c>
      <c r="N29" s="14">
        <f>_xlfn.XLOOKUP(tblprogress[[#This Row],[Planet '#]],tblPlanets[Planet '#],tblPlanets[Distance])</f>
        <v>10.6</v>
      </c>
      <c r="O29" s="30" t="str">
        <f>IF(tblprogress[[#This Row],[Ship Speed]]=0,"",2*tblprogress[[#This Row],[Planets Distance]]/tblprogress[[#This Row],[Ship Speed]])</f>
        <v/>
      </c>
      <c r="P29" s="14">
        <f>_xlfn.XLOOKUP(tblprogress[[#This Row],[Planet '#]],tblPlanets[Planet '#],tblPlanets[Telescope])</f>
        <v>8</v>
      </c>
      <c r="Q29" s="14" t="str">
        <f>IF(
   _xlfn.XLOOKUP(tblprogress[[#This Row],[Planet '#]], tblPlanets[Planet '#], tblPlanets[Name])=tblprogress[[#This Row],[Name]],
   "Match",
   "Mismatch"
)</f>
        <v>Match</v>
      </c>
    </row>
    <row r="30" spans="1:17" x14ac:dyDescent="0.3">
      <c r="A30" s="14">
        <v>29</v>
      </c>
      <c r="B30" s="14" t="str">
        <f>_xlfn.XLOOKUP(tblprogress[[#This Row],[Planet '#]],tblPlanets[Planet '#],tblPlanets[Name])</f>
        <v>Satent</v>
      </c>
      <c r="C30" s="70">
        <v>0</v>
      </c>
      <c r="D30" s="70">
        <v>0</v>
      </c>
      <c r="E30" s="70">
        <v>0</v>
      </c>
      <c r="F30" s="30">
        <f>_xlfn.XLOOKUP(tblprogress[[#This Row],[Mining Level]],tblUpgradeStats[Level],tblUpgradeStats[Mining Speed],0)</f>
        <v>0</v>
      </c>
      <c r="G30" s="30">
        <f>_xlfn.XLOOKUP(tblprogress[[#This Row],[Ship Level]],tblUpgradeStats[Level],tblUpgradeStats[Ship Speed],0)</f>
        <v>0</v>
      </c>
      <c r="H30" s="14">
        <f>_xlfn.XLOOKUP(tblprogress[[#This Row],[Cargo Level]],tblUpgradeStats[Level],tblUpgradeStats[Cargo Amount],0)</f>
        <v>0</v>
      </c>
      <c r="I30" s="31">
        <f>IFERROR(tblprogress[[#This Row],[Mining Rate]]*(2*tblprogress[[#This Row],[Planets Distance]]/tblprogress[[#This Row],[Ship Speed]])/tblprogress[[#This Row],[Cargo]],0)</f>
        <v>0</v>
      </c>
      <c r="J30" s="49">
        <f>IF(tblprogress[[#This Row],[Efficiency]]&lt;1,tblprogress[[#This Row],[Mining Rate]]*60,tblprogress[[#This Row],[Cargo]]/(2*tblprogress[[#This Row],[Planets Distance]]/tblprogress[[#This Row],[Ship Speed]])*60)</f>
        <v>0</v>
      </c>
      <c r="K30" s="15">
        <f>IFERROR(_xlfn.XLOOKUP(tblprogress[[#This Row],[Planet '#]],tblplanetvalue[Planet '#],tblplanetvalue[Total Worth])*tblprogress[[#This Row],[Deposit]]/60,0)</f>
        <v>0</v>
      </c>
      <c r="L30" s="54">
        <f>IF(tblprogress[[#This Row],[Deposit]]&gt;0,1,0)</f>
        <v>0</v>
      </c>
      <c r="M30" s="54">
        <f>IF(tblprogress[[#This Row],[Telescope]]&lt;=CurrentTelescope,1,0)</f>
        <v>0</v>
      </c>
      <c r="N30" s="14">
        <f>_xlfn.XLOOKUP(tblprogress[[#This Row],[Planet '#]],tblPlanets[Planet '#],tblPlanets[Distance])</f>
        <v>10.75</v>
      </c>
      <c r="O30" s="30" t="str">
        <f>IF(tblprogress[[#This Row],[Ship Speed]]=0,"",2*tblprogress[[#This Row],[Planets Distance]]/tblprogress[[#This Row],[Ship Speed]])</f>
        <v/>
      </c>
      <c r="P30" s="14">
        <f>_xlfn.XLOOKUP(tblprogress[[#This Row],[Planet '#]],tblPlanets[Planet '#],tblPlanets[Telescope])</f>
        <v>9</v>
      </c>
      <c r="Q30" s="14" t="str">
        <f>IF(
   _xlfn.XLOOKUP(tblprogress[[#This Row],[Planet '#]], tblPlanets[Planet '#], tblPlanets[Name])=tblprogress[[#This Row],[Name]],
   "Match",
   "Mismatch"
)</f>
        <v>Match</v>
      </c>
    </row>
    <row r="31" spans="1:17" x14ac:dyDescent="0.3">
      <c r="A31" s="14">
        <v>30</v>
      </c>
      <c r="B31" s="14" t="str">
        <f>_xlfn.XLOOKUP(tblprogress[[#This Row],[Planet '#]],tblPlanets[Planet '#],tblPlanets[Name])</f>
        <v>Urla Rast</v>
      </c>
      <c r="C31" s="70">
        <v>0</v>
      </c>
      <c r="D31" s="70">
        <v>0</v>
      </c>
      <c r="E31" s="70">
        <v>0</v>
      </c>
      <c r="F31" s="30">
        <f>_xlfn.XLOOKUP(tblprogress[[#This Row],[Mining Level]],tblUpgradeStats[Level],tblUpgradeStats[Mining Speed],0)</f>
        <v>0</v>
      </c>
      <c r="G31" s="30">
        <f>_xlfn.XLOOKUP(tblprogress[[#This Row],[Ship Level]],tblUpgradeStats[Level],tblUpgradeStats[Ship Speed],0)</f>
        <v>0</v>
      </c>
      <c r="H31" s="14">
        <f>_xlfn.XLOOKUP(tblprogress[[#This Row],[Cargo Level]],tblUpgradeStats[Level],tblUpgradeStats[Cargo Amount],0)</f>
        <v>0</v>
      </c>
      <c r="I31" s="31">
        <f>IFERROR(tblprogress[[#This Row],[Mining Rate]]*(2*tblprogress[[#This Row],[Planets Distance]]/tblprogress[[#This Row],[Ship Speed]])/tblprogress[[#This Row],[Cargo]],0)</f>
        <v>0</v>
      </c>
      <c r="J31" s="49">
        <f>IF(tblprogress[[#This Row],[Efficiency]]&lt;1,tblprogress[[#This Row],[Mining Rate]]*60,tblprogress[[#This Row],[Cargo]]/(2*tblprogress[[#This Row],[Planets Distance]]/tblprogress[[#This Row],[Ship Speed]])*60)</f>
        <v>0</v>
      </c>
      <c r="K31" s="15">
        <f>IFERROR(_xlfn.XLOOKUP(tblprogress[[#This Row],[Planet '#]],tblplanetvalue[Planet '#],tblplanetvalue[Total Worth])*tblprogress[[#This Row],[Deposit]]/60,0)</f>
        <v>0</v>
      </c>
      <c r="L31" s="54">
        <f>IF(tblprogress[[#This Row],[Deposit]]&gt;0,1,0)</f>
        <v>0</v>
      </c>
      <c r="M31" s="54">
        <f>IF(tblprogress[[#This Row],[Telescope]]&lt;=CurrentTelescope,1,0)</f>
        <v>0</v>
      </c>
      <c r="N31" s="14">
        <f>_xlfn.XLOOKUP(tblprogress[[#This Row],[Planet '#]],tblPlanets[Planet '#],tblPlanets[Distance])</f>
        <v>10.9</v>
      </c>
      <c r="O31" s="30" t="str">
        <f>IF(tblprogress[[#This Row],[Ship Speed]]=0,"",2*tblprogress[[#This Row],[Planets Distance]]/tblprogress[[#This Row],[Ship Speed]])</f>
        <v/>
      </c>
      <c r="P31" s="14">
        <f>_xlfn.XLOOKUP(tblprogress[[#This Row],[Planet '#]],tblPlanets[Planet '#],tblPlanets[Telescope])</f>
        <v>9</v>
      </c>
      <c r="Q31" s="14" t="str">
        <f>IF(
   _xlfn.XLOOKUP(tblprogress[[#This Row],[Planet '#]], tblPlanets[Planet '#], tblPlanets[Name])=tblprogress[[#This Row],[Name]],
   "Match",
   "Mismatch"
)</f>
        <v>Match</v>
      </c>
    </row>
    <row r="32" spans="1:17" x14ac:dyDescent="0.3">
      <c r="A32" s="14">
        <v>31</v>
      </c>
      <c r="B32" s="14" t="str">
        <f>_xlfn.XLOOKUP(tblprogress[[#This Row],[Planet '#]],tblPlanets[Planet '#],tblPlanets[Name])</f>
        <v>Vular</v>
      </c>
      <c r="C32" s="70">
        <v>0</v>
      </c>
      <c r="D32" s="70">
        <v>0</v>
      </c>
      <c r="E32" s="70">
        <v>0</v>
      </c>
      <c r="F32" s="30">
        <f>_xlfn.XLOOKUP(tblprogress[[#This Row],[Mining Level]],tblUpgradeStats[Level],tblUpgradeStats[Mining Speed],0)</f>
        <v>0</v>
      </c>
      <c r="G32" s="30">
        <f>_xlfn.XLOOKUP(tblprogress[[#This Row],[Ship Level]],tblUpgradeStats[Level],tblUpgradeStats[Ship Speed],0)</f>
        <v>0</v>
      </c>
      <c r="H32" s="14">
        <f>_xlfn.XLOOKUP(tblprogress[[#This Row],[Cargo Level]],tblUpgradeStats[Level],tblUpgradeStats[Cargo Amount],0)</f>
        <v>0</v>
      </c>
      <c r="I32" s="31">
        <f>IFERROR(tblprogress[[#This Row],[Mining Rate]]*(2*tblprogress[[#This Row],[Planets Distance]]/tblprogress[[#This Row],[Ship Speed]])/tblprogress[[#This Row],[Cargo]],0)</f>
        <v>0</v>
      </c>
      <c r="J32" s="49">
        <f>IF(tblprogress[[#This Row],[Efficiency]]&lt;1,tblprogress[[#This Row],[Mining Rate]]*60,tblprogress[[#This Row],[Cargo]]/(2*tblprogress[[#This Row],[Planets Distance]]/tblprogress[[#This Row],[Ship Speed]])*60)</f>
        <v>0</v>
      </c>
      <c r="K32" s="15">
        <f>IFERROR(_xlfn.XLOOKUP(tblprogress[[#This Row],[Planet '#]],tblplanetvalue[Planet '#],tblplanetvalue[Total Worth])*tblprogress[[#This Row],[Deposit]]/60,0)</f>
        <v>0</v>
      </c>
      <c r="L32" s="54">
        <f>IF(tblprogress[[#This Row],[Deposit]]&gt;0,1,0)</f>
        <v>0</v>
      </c>
      <c r="M32" s="54">
        <f>IF(tblprogress[[#This Row],[Telescope]]&lt;=CurrentTelescope,1,0)</f>
        <v>0</v>
      </c>
      <c r="N32" s="14">
        <f>_xlfn.XLOOKUP(tblprogress[[#This Row],[Planet '#]],tblPlanets[Planet '#],tblPlanets[Distance])</f>
        <v>11.05</v>
      </c>
      <c r="O32" s="30" t="str">
        <f>IF(tblprogress[[#This Row],[Ship Speed]]=0,"",2*tblprogress[[#This Row],[Planets Distance]]/tblprogress[[#This Row],[Ship Speed]])</f>
        <v/>
      </c>
      <c r="P32" s="14">
        <f>_xlfn.XLOOKUP(tblprogress[[#This Row],[Planet '#]],tblPlanets[Planet '#],tblPlanets[Telescope])</f>
        <v>9</v>
      </c>
      <c r="Q32" s="14" t="str">
        <f>IF(
   _xlfn.XLOOKUP(tblprogress[[#This Row],[Planet '#]], tblPlanets[Planet '#], tblPlanets[Name])=tblprogress[[#This Row],[Name]],
   "Match",
   "Mismatch"
)</f>
        <v>Match</v>
      </c>
    </row>
    <row r="33" spans="1:17" x14ac:dyDescent="0.3">
      <c r="A33" s="14">
        <v>32</v>
      </c>
      <c r="B33" s="14" t="str">
        <f>_xlfn.XLOOKUP(tblprogress[[#This Row],[Planet '#]],tblPlanets[Planet '#],tblPlanets[Name])</f>
        <v>Nibiru</v>
      </c>
      <c r="C33" s="70">
        <v>0</v>
      </c>
      <c r="D33" s="70">
        <v>0</v>
      </c>
      <c r="E33" s="70">
        <v>0</v>
      </c>
      <c r="F33" s="30">
        <f>_xlfn.XLOOKUP(tblprogress[[#This Row],[Mining Level]],tblUpgradeStats[Level],tblUpgradeStats[Mining Speed],0)</f>
        <v>0</v>
      </c>
      <c r="G33" s="30">
        <f>_xlfn.XLOOKUP(tblprogress[[#This Row],[Ship Level]],tblUpgradeStats[Level],tblUpgradeStats[Ship Speed],0)</f>
        <v>0</v>
      </c>
      <c r="H33" s="14">
        <f>_xlfn.XLOOKUP(tblprogress[[#This Row],[Cargo Level]],tblUpgradeStats[Level],tblUpgradeStats[Cargo Amount],0)</f>
        <v>0</v>
      </c>
      <c r="I33" s="31">
        <f>IFERROR(tblprogress[[#This Row],[Mining Rate]]*(2*tblprogress[[#This Row],[Planets Distance]]/tblprogress[[#This Row],[Ship Speed]])/tblprogress[[#This Row],[Cargo]],0)</f>
        <v>0</v>
      </c>
      <c r="J33" s="49">
        <f>IF(tblprogress[[#This Row],[Efficiency]]&lt;1,tblprogress[[#This Row],[Mining Rate]]*60,tblprogress[[#This Row],[Cargo]]/(2*tblprogress[[#This Row],[Planets Distance]]/tblprogress[[#This Row],[Ship Speed]])*60)</f>
        <v>0</v>
      </c>
      <c r="K33" s="15">
        <f>IFERROR(_xlfn.XLOOKUP(tblprogress[[#This Row],[Planet '#]],tblplanetvalue[Planet '#],tblplanetvalue[Total Worth])*tblprogress[[#This Row],[Deposit]]/60,0)</f>
        <v>0</v>
      </c>
      <c r="L33" s="54">
        <f>IF(tblprogress[[#This Row],[Deposit]]&gt;0,1,0)</f>
        <v>0</v>
      </c>
      <c r="M33" s="54">
        <f>IF(tblprogress[[#This Row],[Telescope]]&lt;=CurrentTelescope,1,0)</f>
        <v>0</v>
      </c>
      <c r="N33" s="14">
        <f>_xlfn.XLOOKUP(tblprogress[[#This Row],[Planet '#]],tblPlanets[Planet '#],tblPlanets[Distance])</f>
        <v>11.2</v>
      </c>
      <c r="O33" s="30" t="str">
        <f>IF(tblprogress[[#This Row],[Ship Speed]]=0,"",2*tblprogress[[#This Row],[Planets Distance]]/tblprogress[[#This Row],[Ship Speed]])</f>
        <v/>
      </c>
      <c r="P33" s="14">
        <f>_xlfn.XLOOKUP(tblprogress[[#This Row],[Planet '#]],tblPlanets[Planet '#],tblPlanets[Telescope])</f>
        <v>10</v>
      </c>
      <c r="Q33" s="14" t="str">
        <f>IF(
   _xlfn.XLOOKUP(tblprogress[[#This Row],[Planet '#]], tblPlanets[Planet '#], tblPlanets[Name])=tblprogress[[#This Row],[Name]],
   "Match",
   "Mismatch"
)</f>
        <v>Match</v>
      </c>
    </row>
    <row r="34" spans="1:17" x14ac:dyDescent="0.3">
      <c r="A34" s="14">
        <v>33</v>
      </c>
      <c r="B34" s="14" t="str">
        <f>_xlfn.XLOOKUP(tblprogress[[#This Row],[Planet '#]],tblPlanets[Planet '#],tblPlanets[Name])</f>
        <v>Xena</v>
      </c>
      <c r="C34" s="70">
        <v>0</v>
      </c>
      <c r="D34" s="70">
        <v>0</v>
      </c>
      <c r="E34" s="70">
        <v>0</v>
      </c>
      <c r="F34" s="30">
        <f>_xlfn.XLOOKUP(tblprogress[[#This Row],[Mining Level]],tblUpgradeStats[Level],tblUpgradeStats[Mining Speed],0)</f>
        <v>0</v>
      </c>
      <c r="G34" s="30">
        <f>_xlfn.XLOOKUP(tblprogress[[#This Row],[Ship Level]],tblUpgradeStats[Level],tblUpgradeStats[Ship Speed],0)</f>
        <v>0</v>
      </c>
      <c r="H34" s="14">
        <f>_xlfn.XLOOKUP(tblprogress[[#This Row],[Cargo Level]],tblUpgradeStats[Level],tblUpgradeStats[Cargo Amount],0)</f>
        <v>0</v>
      </c>
      <c r="I34" s="31">
        <f>IFERROR(tblprogress[[#This Row],[Mining Rate]]*(2*tblprogress[[#This Row],[Planets Distance]]/tblprogress[[#This Row],[Ship Speed]])/tblprogress[[#This Row],[Cargo]],0)</f>
        <v>0</v>
      </c>
      <c r="J34" s="49">
        <f>IF(tblprogress[[#This Row],[Efficiency]]&lt;1,tblprogress[[#This Row],[Mining Rate]]*60,tblprogress[[#This Row],[Cargo]]/(2*tblprogress[[#This Row],[Planets Distance]]/tblprogress[[#This Row],[Ship Speed]])*60)</f>
        <v>0</v>
      </c>
      <c r="K34" s="15">
        <f>IFERROR(_xlfn.XLOOKUP(tblprogress[[#This Row],[Planet '#]],tblplanetvalue[Planet '#],tblplanetvalue[Total Worth])*tblprogress[[#This Row],[Deposit]]/60,0)</f>
        <v>0</v>
      </c>
      <c r="L34" s="54">
        <f>IF(tblprogress[[#This Row],[Deposit]]&gt;0,1,0)</f>
        <v>0</v>
      </c>
      <c r="M34" s="54">
        <f>IF(tblprogress[[#This Row],[Telescope]]&lt;=CurrentTelescope,1,0)</f>
        <v>0</v>
      </c>
      <c r="N34" s="14">
        <f>_xlfn.XLOOKUP(tblprogress[[#This Row],[Planet '#]],tblPlanets[Planet '#],tblPlanets[Distance])</f>
        <v>11.35</v>
      </c>
      <c r="O34" s="30" t="str">
        <f>IF(tblprogress[[#This Row],[Ship Speed]]=0,"",2*tblprogress[[#This Row],[Planets Distance]]/tblprogress[[#This Row],[Ship Speed]])</f>
        <v/>
      </c>
      <c r="P34" s="14">
        <f>_xlfn.XLOOKUP(tblprogress[[#This Row],[Planet '#]],tblPlanets[Planet '#],tblPlanets[Telescope])</f>
        <v>10</v>
      </c>
      <c r="Q34" s="14" t="str">
        <f>IF(
   _xlfn.XLOOKUP(tblprogress[[#This Row],[Planet '#]], tblPlanets[Planet '#], tblPlanets[Name])=tblprogress[[#This Row],[Name]],
   "Match",
   "Mismatch"
)</f>
        <v>Match</v>
      </c>
    </row>
    <row r="35" spans="1:17" x14ac:dyDescent="0.3">
      <c r="A35" s="14">
        <v>34</v>
      </c>
      <c r="B35" s="14" t="str">
        <f>_xlfn.XLOOKUP(tblprogress[[#This Row],[Planet '#]],tblPlanets[Planet '#],tblPlanets[Name])</f>
        <v>Rupert</v>
      </c>
      <c r="C35" s="70">
        <v>0</v>
      </c>
      <c r="D35" s="70">
        <v>0</v>
      </c>
      <c r="E35" s="70">
        <v>0</v>
      </c>
      <c r="F35" s="30">
        <f>_xlfn.XLOOKUP(tblprogress[[#This Row],[Mining Level]],tblUpgradeStats[Level],tblUpgradeStats[Mining Speed],0)</f>
        <v>0</v>
      </c>
      <c r="G35" s="30">
        <f>_xlfn.XLOOKUP(tblprogress[[#This Row],[Ship Level]],tblUpgradeStats[Level],tblUpgradeStats[Ship Speed],0)</f>
        <v>0</v>
      </c>
      <c r="H35" s="14">
        <f>_xlfn.XLOOKUP(tblprogress[[#This Row],[Cargo Level]],tblUpgradeStats[Level],tblUpgradeStats[Cargo Amount],0)</f>
        <v>0</v>
      </c>
      <c r="I35" s="31">
        <f>IFERROR(tblprogress[[#This Row],[Mining Rate]]*(2*tblprogress[[#This Row],[Planets Distance]]/tblprogress[[#This Row],[Ship Speed]])/tblprogress[[#This Row],[Cargo]],0)</f>
        <v>0</v>
      </c>
      <c r="J35" s="49">
        <f>IF(tblprogress[[#This Row],[Efficiency]]&lt;1,tblprogress[[#This Row],[Mining Rate]]*60,tblprogress[[#This Row],[Cargo]]/(2*tblprogress[[#This Row],[Planets Distance]]/tblprogress[[#This Row],[Ship Speed]])*60)</f>
        <v>0</v>
      </c>
      <c r="K35" s="15">
        <f>IFERROR(_xlfn.XLOOKUP(tblprogress[[#This Row],[Planet '#]],tblplanetvalue[Planet '#],tblplanetvalue[Total Worth])*tblprogress[[#This Row],[Deposit]]/60,0)</f>
        <v>0</v>
      </c>
      <c r="L35" s="54">
        <f>IF(tblprogress[[#This Row],[Deposit]]&gt;0,1,0)</f>
        <v>0</v>
      </c>
      <c r="M35" s="54">
        <f>IF(tblprogress[[#This Row],[Telescope]]&lt;=CurrentTelescope,1,0)</f>
        <v>0</v>
      </c>
      <c r="N35" s="14">
        <f>_xlfn.XLOOKUP(tblprogress[[#This Row],[Planet '#]],tblPlanets[Planet '#],tblPlanets[Distance])</f>
        <v>11.5</v>
      </c>
      <c r="O35" s="30" t="str">
        <f>IF(tblprogress[[#This Row],[Ship Speed]]=0,"",2*tblprogress[[#This Row],[Planets Distance]]/tblprogress[[#This Row],[Ship Speed]])</f>
        <v/>
      </c>
      <c r="P35" s="14">
        <f>_xlfn.XLOOKUP(tblprogress[[#This Row],[Planet '#]],tblPlanets[Planet '#],tblPlanets[Telescope])</f>
        <v>10</v>
      </c>
      <c r="Q35" s="14" t="str">
        <f>IF(
   _xlfn.XLOOKUP(tblprogress[[#This Row],[Planet '#]], tblPlanets[Planet '#], tblPlanets[Name])=tblprogress[[#This Row],[Name]],
   "Match",
   "Mismatch"
)</f>
        <v>Match</v>
      </c>
    </row>
    <row r="36" spans="1:17" x14ac:dyDescent="0.3">
      <c r="A36" s="14">
        <v>35</v>
      </c>
      <c r="B36" s="14" t="str">
        <f>_xlfn.XLOOKUP(tblprogress[[#This Row],[Planet '#]],tblPlanets[Planet '#],tblPlanets[Name])</f>
        <v>Pax</v>
      </c>
      <c r="C36" s="70">
        <v>0</v>
      </c>
      <c r="D36" s="70">
        <v>0</v>
      </c>
      <c r="E36" s="70">
        <v>0</v>
      </c>
      <c r="F36" s="30">
        <f>_xlfn.XLOOKUP(tblprogress[[#This Row],[Mining Level]],tblUpgradeStats[Level],tblUpgradeStats[Mining Speed],0)</f>
        <v>0</v>
      </c>
      <c r="G36" s="30">
        <f>_xlfn.XLOOKUP(tblprogress[[#This Row],[Ship Level]],tblUpgradeStats[Level],tblUpgradeStats[Ship Speed],0)</f>
        <v>0</v>
      </c>
      <c r="H36" s="14">
        <f>_xlfn.XLOOKUP(tblprogress[[#This Row],[Cargo Level]],tblUpgradeStats[Level],tblUpgradeStats[Cargo Amount],0)</f>
        <v>0</v>
      </c>
      <c r="I36" s="31">
        <f>IFERROR(tblprogress[[#This Row],[Mining Rate]]*(2*tblprogress[[#This Row],[Planets Distance]]/tblprogress[[#This Row],[Ship Speed]])/tblprogress[[#This Row],[Cargo]],0)</f>
        <v>0</v>
      </c>
      <c r="J36" s="49">
        <f>IF(tblprogress[[#This Row],[Efficiency]]&lt;1,tblprogress[[#This Row],[Mining Rate]]*60,tblprogress[[#This Row],[Cargo]]/(2*tblprogress[[#This Row],[Planets Distance]]/tblprogress[[#This Row],[Ship Speed]])*60)</f>
        <v>0</v>
      </c>
      <c r="K36" s="15">
        <f>IFERROR(_xlfn.XLOOKUP(tblprogress[[#This Row],[Planet '#]],tblplanetvalue[Planet '#],tblplanetvalue[Total Worth])*tblprogress[[#This Row],[Deposit]]/60,0)</f>
        <v>0</v>
      </c>
      <c r="L36" s="54">
        <f>IF(tblprogress[[#This Row],[Deposit]]&gt;0,1,0)</f>
        <v>0</v>
      </c>
      <c r="M36" s="54">
        <f>IF(tblprogress[[#This Row],[Telescope]]&lt;=CurrentTelescope,1,0)</f>
        <v>0</v>
      </c>
      <c r="N36" s="14">
        <f>_xlfn.XLOOKUP(tblprogress[[#This Row],[Planet '#]],tblPlanets[Planet '#],tblPlanets[Distance])</f>
        <v>11.65</v>
      </c>
      <c r="O36" s="30" t="str">
        <f>IF(tblprogress[[#This Row],[Ship Speed]]=0,"",2*tblprogress[[#This Row],[Planets Distance]]/tblprogress[[#This Row],[Ship Speed]])</f>
        <v/>
      </c>
      <c r="P36" s="14">
        <f>_xlfn.XLOOKUP(tblprogress[[#This Row],[Planet '#]],tblPlanets[Planet '#],tblPlanets[Telescope])</f>
        <v>11</v>
      </c>
      <c r="Q36" s="14" t="str">
        <f>IF(
   _xlfn.XLOOKUP(tblprogress[[#This Row],[Planet '#]], tblPlanets[Planet '#], tblPlanets[Name])=tblprogress[[#This Row],[Name]],
   "Match",
   "Mismatch"
)</f>
        <v>Match</v>
      </c>
    </row>
    <row r="37" spans="1:17" x14ac:dyDescent="0.3">
      <c r="A37" s="14">
        <v>36</v>
      </c>
      <c r="B37" s="14" t="str">
        <f>_xlfn.XLOOKUP(tblprogress[[#This Row],[Planet '#]],tblPlanets[Planet '#],tblPlanets[Name])</f>
        <v>Ivyra</v>
      </c>
      <c r="C37" s="70">
        <v>0</v>
      </c>
      <c r="D37" s="70">
        <v>0</v>
      </c>
      <c r="E37" s="70">
        <v>0</v>
      </c>
      <c r="F37" s="30">
        <f>_xlfn.XLOOKUP(tblprogress[[#This Row],[Mining Level]],tblUpgradeStats[Level],tblUpgradeStats[Mining Speed],0)</f>
        <v>0</v>
      </c>
      <c r="G37" s="30">
        <f>_xlfn.XLOOKUP(tblprogress[[#This Row],[Ship Level]],tblUpgradeStats[Level],tblUpgradeStats[Ship Speed],0)</f>
        <v>0</v>
      </c>
      <c r="H37" s="14">
        <f>_xlfn.XLOOKUP(tblprogress[[#This Row],[Cargo Level]],tblUpgradeStats[Level],tblUpgradeStats[Cargo Amount],0)</f>
        <v>0</v>
      </c>
      <c r="I37" s="31">
        <f>IFERROR(tblprogress[[#This Row],[Mining Rate]]*(2*tblprogress[[#This Row],[Planets Distance]]/tblprogress[[#This Row],[Ship Speed]])/tblprogress[[#This Row],[Cargo]],0)</f>
        <v>0</v>
      </c>
      <c r="J37" s="49">
        <f>IF(tblprogress[[#This Row],[Efficiency]]&lt;1,tblprogress[[#This Row],[Mining Rate]]*60,tblprogress[[#This Row],[Cargo]]/(2*tblprogress[[#This Row],[Planets Distance]]/tblprogress[[#This Row],[Ship Speed]])*60)</f>
        <v>0</v>
      </c>
      <c r="K37" s="15">
        <f>IFERROR(_xlfn.XLOOKUP(tblprogress[[#This Row],[Planet '#]],tblplanetvalue[Planet '#],tblplanetvalue[Total Worth])*tblprogress[[#This Row],[Deposit]]/60,0)</f>
        <v>0</v>
      </c>
      <c r="L37" s="54">
        <f>IF(tblprogress[[#This Row],[Deposit]]&gt;0,1,0)</f>
        <v>0</v>
      </c>
      <c r="M37" s="54">
        <f>IF(tblprogress[[#This Row],[Telescope]]&lt;=CurrentTelescope,1,0)</f>
        <v>0</v>
      </c>
      <c r="N37" s="14">
        <f>_xlfn.XLOOKUP(tblprogress[[#This Row],[Planet '#]],tblPlanets[Planet '#],tblPlanets[Distance])</f>
        <v>11.8</v>
      </c>
      <c r="O37" s="30" t="str">
        <f>IF(tblprogress[[#This Row],[Ship Speed]]=0,"",2*tblprogress[[#This Row],[Planets Distance]]/tblprogress[[#This Row],[Ship Speed]])</f>
        <v/>
      </c>
      <c r="P37" s="14">
        <f>_xlfn.XLOOKUP(tblprogress[[#This Row],[Planet '#]],tblPlanets[Planet '#],tblPlanets[Telescope])</f>
        <v>11</v>
      </c>
      <c r="Q37" s="14" t="str">
        <f>IF(
   _xlfn.XLOOKUP(tblprogress[[#This Row],[Planet '#]], tblPlanets[Planet '#], tblPlanets[Name])=tblprogress[[#This Row],[Name]],
   "Match",
   "Mismatch"
)</f>
        <v>Match</v>
      </c>
    </row>
    <row r="38" spans="1:17" x14ac:dyDescent="0.3">
      <c r="A38" s="14">
        <v>37</v>
      </c>
      <c r="B38" s="14" t="str">
        <f>_xlfn.XLOOKUP(tblprogress[[#This Row],[Planet '#]],tblPlanets[Planet '#],tblPlanets[Name])</f>
        <v>Utritis</v>
      </c>
      <c r="C38" s="70">
        <v>0</v>
      </c>
      <c r="D38" s="70">
        <v>0</v>
      </c>
      <c r="E38" s="70">
        <v>0</v>
      </c>
      <c r="F38" s="30">
        <f>_xlfn.XLOOKUP(tblprogress[[#This Row],[Mining Level]],tblUpgradeStats[Level],tblUpgradeStats[Mining Speed],0)</f>
        <v>0</v>
      </c>
      <c r="G38" s="30">
        <f>_xlfn.XLOOKUP(tblprogress[[#This Row],[Ship Level]],tblUpgradeStats[Level],tblUpgradeStats[Ship Speed],0)</f>
        <v>0</v>
      </c>
      <c r="H38" s="14">
        <f>_xlfn.XLOOKUP(tblprogress[[#This Row],[Cargo Level]],tblUpgradeStats[Level],tblUpgradeStats[Cargo Amount],0)</f>
        <v>0</v>
      </c>
      <c r="I38" s="31">
        <f>IFERROR(tblprogress[[#This Row],[Mining Rate]]*(2*tblprogress[[#This Row],[Planets Distance]]/tblprogress[[#This Row],[Ship Speed]])/tblprogress[[#This Row],[Cargo]],0)</f>
        <v>0</v>
      </c>
      <c r="J38" s="49">
        <f>IF(tblprogress[[#This Row],[Efficiency]]&lt;1,tblprogress[[#This Row],[Mining Rate]]*60,tblprogress[[#This Row],[Cargo]]/(2*tblprogress[[#This Row],[Planets Distance]]/tblprogress[[#This Row],[Ship Speed]])*60)</f>
        <v>0</v>
      </c>
      <c r="K38" s="15">
        <f>IFERROR(_xlfn.XLOOKUP(tblprogress[[#This Row],[Planet '#]],tblplanetvalue[Planet '#],tblplanetvalue[Total Worth])*tblprogress[[#This Row],[Deposit]]/60,0)</f>
        <v>0</v>
      </c>
      <c r="L38" s="54">
        <f>IF(tblprogress[[#This Row],[Deposit]]&gt;0,1,0)</f>
        <v>0</v>
      </c>
      <c r="M38" s="54">
        <f>IF(tblprogress[[#This Row],[Telescope]]&lt;=CurrentTelescope,1,0)</f>
        <v>0</v>
      </c>
      <c r="N38" s="14">
        <f>_xlfn.XLOOKUP(tblprogress[[#This Row],[Planet '#]],tblPlanets[Planet '#],tblPlanets[Distance])</f>
        <v>11.95</v>
      </c>
      <c r="O38" s="30" t="str">
        <f>IF(tblprogress[[#This Row],[Ship Speed]]=0,"",2*tblprogress[[#This Row],[Planets Distance]]/tblprogress[[#This Row],[Ship Speed]])</f>
        <v/>
      </c>
      <c r="P38" s="14">
        <f>_xlfn.XLOOKUP(tblprogress[[#This Row],[Planet '#]],tblPlanets[Planet '#],tblPlanets[Telescope])</f>
        <v>11</v>
      </c>
      <c r="Q38" s="14" t="str">
        <f>IF(
   _xlfn.XLOOKUP(tblprogress[[#This Row],[Planet '#]], tblPlanets[Planet '#], tblPlanets[Name])=tblprogress[[#This Row],[Name]],
   "Match",
   "Mismatch"
)</f>
        <v>Match</v>
      </c>
    </row>
    <row r="39" spans="1:17" x14ac:dyDescent="0.3">
      <c r="A39" s="14">
        <v>38</v>
      </c>
      <c r="B39" s="14" t="str">
        <f>_xlfn.XLOOKUP(tblprogress[[#This Row],[Planet '#]],tblPlanets[Planet '#],tblPlanets[Name])</f>
        <v>Dosie</v>
      </c>
      <c r="C39" s="70">
        <v>0</v>
      </c>
      <c r="D39" s="70">
        <v>0</v>
      </c>
      <c r="E39" s="70">
        <v>0</v>
      </c>
      <c r="F39" s="30">
        <f>_xlfn.XLOOKUP(tblprogress[[#This Row],[Mining Level]],tblUpgradeStats[Level],tblUpgradeStats[Mining Speed],0)</f>
        <v>0</v>
      </c>
      <c r="G39" s="30">
        <f>_xlfn.XLOOKUP(tblprogress[[#This Row],[Ship Level]],tblUpgradeStats[Level],tblUpgradeStats[Ship Speed],0)</f>
        <v>0</v>
      </c>
      <c r="H39" s="14">
        <f>_xlfn.XLOOKUP(tblprogress[[#This Row],[Cargo Level]],tblUpgradeStats[Level],tblUpgradeStats[Cargo Amount],0)</f>
        <v>0</v>
      </c>
      <c r="I39" s="31">
        <f>IFERROR(tblprogress[[#This Row],[Mining Rate]]*(2*tblprogress[[#This Row],[Planets Distance]]/tblprogress[[#This Row],[Ship Speed]])/tblprogress[[#This Row],[Cargo]],0)</f>
        <v>0</v>
      </c>
      <c r="J39" s="49">
        <f>IF(tblprogress[[#This Row],[Efficiency]]&lt;1,tblprogress[[#This Row],[Mining Rate]]*60,tblprogress[[#This Row],[Cargo]]/(2*tblprogress[[#This Row],[Planets Distance]]/tblprogress[[#This Row],[Ship Speed]])*60)</f>
        <v>0</v>
      </c>
      <c r="K39" s="15">
        <f>IFERROR(_xlfn.XLOOKUP(tblprogress[[#This Row],[Planet '#]],tblplanetvalue[Planet '#],tblplanetvalue[Total Worth])*tblprogress[[#This Row],[Deposit]]/60,0)</f>
        <v>0</v>
      </c>
      <c r="L39" s="54">
        <f>IF(tblprogress[[#This Row],[Deposit]]&gt;0,1,0)</f>
        <v>0</v>
      </c>
      <c r="M39" s="54">
        <f>IF(tblprogress[[#This Row],[Telescope]]&lt;=CurrentTelescope,1,0)</f>
        <v>0</v>
      </c>
      <c r="N39" s="14">
        <f>_xlfn.XLOOKUP(tblprogress[[#This Row],[Planet '#]],tblPlanets[Planet '#],tblPlanets[Distance])</f>
        <v>12.1</v>
      </c>
      <c r="O39" s="30" t="str">
        <f>IF(tblprogress[[#This Row],[Ship Speed]]=0,"",2*tblprogress[[#This Row],[Planets Distance]]/tblprogress[[#This Row],[Ship Speed]])</f>
        <v/>
      </c>
      <c r="P39" s="14">
        <f>_xlfn.XLOOKUP(tblprogress[[#This Row],[Planet '#]],tblPlanets[Planet '#],tblPlanets[Telescope])</f>
        <v>12</v>
      </c>
      <c r="Q39" s="14" t="str">
        <f>IF(
   _xlfn.XLOOKUP(tblprogress[[#This Row],[Planet '#]], tblPlanets[Planet '#], tblPlanets[Name])=tblprogress[[#This Row],[Name]],
   "Match",
   "Mismatch"
)</f>
        <v>Match</v>
      </c>
    </row>
    <row r="40" spans="1:17" x14ac:dyDescent="0.3">
      <c r="A40" s="14">
        <v>39</v>
      </c>
      <c r="B40" s="14" t="str">
        <f>_xlfn.XLOOKUP(tblprogress[[#This Row],[Planet '#]],tblPlanets[Planet '#],tblPlanets[Name])</f>
        <v>Zulu</v>
      </c>
      <c r="C40" s="70">
        <v>0</v>
      </c>
      <c r="D40" s="70">
        <v>0</v>
      </c>
      <c r="E40" s="70">
        <v>0</v>
      </c>
      <c r="F40" s="30">
        <f>_xlfn.XLOOKUP(tblprogress[[#This Row],[Mining Level]],tblUpgradeStats[Level],tblUpgradeStats[Mining Speed],0)</f>
        <v>0</v>
      </c>
      <c r="G40" s="30">
        <f>_xlfn.XLOOKUP(tblprogress[[#This Row],[Ship Level]],tblUpgradeStats[Level],tblUpgradeStats[Ship Speed],0)</f>
        <v>0</v>
      </c>
      <c r="H40" s="14">
        <f>_xlfn.XLOOKUP(tblprogress[[#This Row],[Cargo Level]],tblUpgradeStats[Level],tblUpgradeStats[Cargo Amount],0)</f>
        <v>0</v>
      </c>
      <c r="I40" s="31">
        <f>IFERROR(tblprogress[[#This Row],[Mining Rate]]*(2*tblprogress[[#This Row],[Planets Distance]]/tblprogress[[#This Row],[Ship Speed]])/tblprogress[[#This Row],[Cargo]],0)</f>
        <v>0</v>
      </c>
      <c r="J40" s="49">
        <f>IF(tblprogress[[#This Row],[Efficiency]]&lt;1,tblprogress[[#This Row],[Mining Rate]]*60,tblprogress[[#This Row],[Cargo]]/(2*tblprogress[[#This Row],[Planets Distance]]/tblprogress[[#This Row],[Ship Speed]])*60)</f>
        <v>0</v>
      </c>
      <c r="K40" s="15">
        <f>IFERROR(_xlfn.XLOOKUP(tblprogress[[#This Row],[Planet '#]],tblplanetvalue[Planet '#],tblplanetvalue[Total Worth])*tblprogress[[#This Row],[Deposit]]/60,0)</f>
        <v>0</v>
      </c>
      <c r="L40" s="54">
        <f>IF(tblprogress[[#This Row],[Deposit]]&gt;0,1,0)</f>
        <v>0</v>
      </c>
      <c r="M40" s="54">
        <f>IF(tblprogress[[#This Row],[Telescope]]&lt;=CurrentTelescope,1,0)</f>
        <v>0</v>
      </c>
      <c r="N40" s="14">
        <f>_xlfn.XLOOKUP(tblprogress[[#This Row],[Planet '#]],tblPlanets[Planet '#],tblPlanets[Distance])</f>
        <v>12.25</v>
      </c>
      <c r="O40" s="30" t="str">
        <f>IF(tblprogress[[#This Row],[Ship Speed]]=0,"",2*tblprogress[[#This Row],[Planets Distance]]/tblprogress[[#This Row],[Ship Speed]])</f>
        <v/>
      </c>
      <c r="P40" s="14">
        <f>_xlfn.XLOOKUP(tblprogress[[#This Row],[Planet '#]],tblPlanets[Planet '#],tblPlanets[Telescope])</f>
        <v>12</v>
      </c>
      <c r="Q40" s="14" t="str">
        <f>IF(
   _xlfn.XLOOKUP(tblprogress[[#This Row],[Planet '#]], tblPlanets[Planet '#], tblPlanets[Name])=tblprogress[[#This Row],[Name]],
   "Match",
   "Mismatch"
)</f>
        <v>Match</v>
      </c>
    </row>
    <row r="41" spans="1:17" x14ac:dyDescent="0.3">
      <c r="A41" s="14">
        <v>40</v>
      </c>
      <c r="B41" s="14" t="str">
        <f>_xlfn.XLOOKUP(tblprogress[[#This Row],[Planet '#]],tblPlanets[Planet '#],tblPlanets[Name])</f>
        <v>Unicae</v>
      </c>
      <c r="C41" s="70">
        <v>0</v>
      </c>
      <c r="D41" s="70">
        <v>0</v>
      </c>
      <c r="E41" s="70">
        <v>0</v>
      </c>
      <c r="F41" s="30">
        <f>_xlfn.XLOOKUP(tblprogress[[#This Row],[Mining Level]],tblUpgradeStats[Level],tblUpgradeStats[Mining Speed],0)</f>
        <v>0</v>
      </c>
      <c r="G41" s="30">
        <f>_xlfn.XLOOKUP(tblprogress[[#This Row],[Ship Level]],tblUpgradeStats[Level],tblUpgradeStats[Ship Speed],0)</f>
        <v>0</v>
      </c>
      <c r="H41" s="14">
        <f>_xlfn.XLOOKUP(tblprogress[[#This Row],[Cargo Level]],tblUpgradeStats[Level],tblUpgradeStats[Cargo Amount],0)</f>
        <v>0</v>
      </c>
      <c r="I41" s="31">
        <f>IFERROR(tblprogress[[#This Row],[Mining Rate]]*(2*tblprogress[[#This Row],[Planets Distance]]/tblprogress[[#This Row],[Ship Speed]])/tblprogress[[#This Row],[Cargo]],0)</f>
        <v>0</v>
      </c>
      <c r="J41" s="49">
        <f>IF(tblprogress[[#This Row],[Efficiency]]&lt;1,tblprogress[[#This Row],[Mining Rate]]*60,tblprogress[[#This Row],[Cargo]]/(2*tblprogress[[#This Row],[Planets Distance]]/tblprogress[[#This Row],[Ship Speed]])*60)</f>
        <v>0</v>
      </c>
      <c r="K41" s="15">
        <f>IFERROR(_xlfn.XLOOKUP(tblprogress[[#This Row],[Planet '#]],tblplanetvalue[Planet '#],tblplanetvalue[Total Worth])*tblprogress[[#This Row],[Deposit]]/60,0)</f>
        <v>0</v>
      </c>
      <c r="L41" s="54">
        <f>IF(tblprogress[[#This Row],[Deposit]]&gt;0,1,0)</f>
        <v>0</v>
      </c>
      <c r="M41" s="54">
        <f>IF(tblprogress[[#This Row],[Telescope]]&lt;=CurrentTelescope,1,0)</f>
        <v>0</v>
      </c>
      <c r="N41" s="14">
        <f>_xlfn.XLOOKUP(tblprogress[[#This Row],[Planet '#]],tblPlanets[Planet '#],tblPlanets[Distance])</f>
        <v>12.4</v>
      </c>
      <c r="O41" s="30" t="str">
        <f>IF(tblprogress[[#This Row],[Ship Speed]]=0,"",2*tblprogress[[#This Row],[Planets Distance]]/tblprogress[[#This Row],[Ship Speed]])</f>
        <v/>
      </c>
      <c r="P41" s="14">
        <f>_xlfn.XLOOKUP(tblprogress[[#This Row],[Planet '#]],tblPlanets[Planet '#],tblPlanets[Telescope])</f>
        <v>12</v>
      </c>
      <c r="Q41" s="14" t="str">
        <f>IF(
   _xlfn.XLOOKUP(tblprogress[[#This Row],[Planet '#]], tblPlanets[Planet '#], tblPlanets[Name])=tblprogress[[#This Row],[Name]],
   "Match",
   "Mismatch"
)</f>
        <v>Match</v>
      </c>
    </row>
    <row r="42" spans="1:17" x14ac:dyDescent="0.3">
      <c r="A42" s="14">
        <v>41</v>
      </c>
      <c r="B42" s="14" t="str">
        <f>_xlfn.XLOOKUP(tblprogress[[#This Row],[Planet '#]],tblPlanets[Planet '#],tblPlanets[Name])</f>
        <v>Dune</v>
      </c>
      <c r="C42" s="70">
        <v>0</v>
      </c>
      <c r="D42" s="70">
        <v>0</v>
      </c>
      <c r="E42" s="70">
        <v>0</v>
      </c>
      <c r="F42" s="30">
        <f>_xlfn.XLOOKUP(tblprogress[[#This Row],[Mining Level]],tblUpgradeStats[Level],tblUpgradeStats[Mining Speed],0)</f>
        <v>0</v>
      </c>
      <c r="G42" s="30">
        <f>_xlfn.XLOOKUP(tblprogress[[#This Row],[Ship Level]],tblUpgradeStats[Level],tblUpgradeStats[Ship Speed],0)</f>
        <v>0</v>
      </c>
      <c r="H42" s="14">
        <f>_xlfn.XLOOKUP(tblprogress[[#This Row],[Cargo Level]],tblUpgradeStats[Level],tblUpgradeStats[Cargo Amount],0)</f>
        <v>0</v>
      </c>
      <c r="I42" s="31">
        <f>IFERROR(tblprogress[[#This Row],[Mining Rate]]*(2*tblprogress[[#This Row],[Planets Distance]]/tblprogress[[#This Row],[Ship Speed]])/tblprogress[[#This Row],[Cargo]],0)</f>
        <v>0</v>
      </c>
      <c r="J42" s="49">
        <f>IF(tblprogress[[#This Row],[Efficiency]]&lt;1,tblprogress[[#This Row],[Mining Rate]]*60,tblprogress[[#This Row],[Cargo]]/(2*tblprogress[[#This Row],[Planets Distance]]/tblprogress[[#This Row],[Ship Speed]])*60)</f>
        <v>0</v>
      </c>
      <c r="K42" s="15">
        <f>IFERROR(_xlfn.XLOOKUP(tblprogress[[#This Row],[Planet '#]],tblplanetvalue[Planet '#],tblplanetvalue[Total Worth])*tblprogress[[#This Row],[Deposit]]/60,0)</f>
        <v>0</v>
      </c>
      <c r="L42" s="54">
        <f>IF(tblprogress[[#This Row],[Deposit]]&gt;0,1,0)</f>
        <v>0</v>
      </c>
      <c r="M42" s="54">
        <f>IF(tblprogress[[#This Row],[Telescope]]&lt;=CurrentTelescope,1,0)</f>
        <v>0</v>
      </c>
      <c r="N42" s="14">
        <f>_xlfn.XLOOKUP(tblprogress[[#This Row],[Planet '#]],tblPlanets[Planet '#],tblPlanets[Distance])</f>
        <v>12.55</v>
      </c>
      <c r="O42" s="30" t="str">
        <f>IF(tblprogress[[#This Row],[Ship Speed]]=0,"",2*tblprogress[[#This Row],[Planets Distance]]/tblprogress[[#This Row],[Ship Speed]])</f>
        <v/>
      </c>
      <c r="P42" s="14">
        <f>_xlfn.XLOOKUP(tblprogress[[#This Row],[Planet '#]],tblPlanets[Planet '#],tblPlanets[Telescope])</f>
        <v>13</v>
      </c>
      <c r="Q42" s="14" t="str">
        <f>IF(
   _xlfn.XLOOKUP(tblprogress[[#This Row],[Planet '#]], tblPlanets[Planet '#], tblPlanets[Name])=tblprogress[[#This Row],[Name]],
   "Match",
   "Mismatch"
)</f>
        <v>Match</v>
      </c>
    </row>
    <row r="43" spans="1:17" x14ac:dyDescent="0.3">
      <c r="A43" s="14">
        <v>42</v>
      </c>
      <c r="B43" s="14" t="str">
        <f>_xlfn.XLOOKUP(tblprogress[[#This Row],[Planet '#]],tblPlanets[Planet '#],tblPlanets[Name])</f>
        <v>Naraka</v>
      </c>
      <c r="C43" s="70">
        <v>0</v>
      </c>
      <c r="D43" s="70">
        <v>0</v>
      </c>
      <c r="E43" s="70">
        <v>0</v>
      </c>
      <c r="F43" s="30">
        <f>_xlfn.XLOOKUP(tblprogress[[#This Row],[Mining Level]],tblUpgradeStats[Level],tblUpgradeStats[Mining Speed],0)</f>
        <v>0</v>
      </c>
      <c r="G43" s="30">
        <f>_xlfn.XLOOKUP(tblprogress[[#This Row],[Ship Level]],tblUpgradeStats[Level],tblUpgradeStats[Ship Speed],0)</f>
        <v>0</v>
      </c>
      <c r="H43" s="14">
        <f>_xlfn.XLOOKUP(tblprogress[[#This Row],[Cargo Level]],tblUpgradeStats[Level],tblUpgradeStats[Cargo Amount],0)</f>
        <v>0</v>
      </c>
      <c r="I43" s="31">
        <f>IFERROR(tblprogress[[#This Row],[Mining Rate]]*(2*tblprogress[[#This Row],[Planets Distance]]/tblprogress[[#This Row],[Ship Speed]])/tblprogress[[#This Row],[Cargo]],0)</f>
        <v>0</v>
      </c>
      <c r="J43" s="49">
        <f>IF(tblprogress[[#This Row],[Efficiency]]&lt;1,tblprogress[[#This Row],[Mining Rate]]*60,tblprogress[[#This Row],[Cargo]]/(2*tblprogress[[#This Row],[Planets Distance]]/tblprogress[[#This Row],[Ship Speed]])*60)</f>
        <v>0</v>
      </c>
      <c r="K43" s="15">
        <f>IFERROR(_xlfn.XLOOKUP(tblprogress[[#This Row],[Planet '#]],tblplanetvalue[Planet '#],tblplanetvalue[Total Worth])*tblprogress[[#This Row],[Deposit]]/60,0)</f>
        <v>0</v>
      </c>
      <c r="L43" s="54">
        <f>IF(tblprogress[[#This Row],[Deposit]]&gt;0,1,0)</f>
        <v>0</v>
      </c>
      <c r="M43" s="54">
        <f>IF(tblprogress[[#This Row],[Telescope]]&lt;=CurrentTelescope,1,0)</f>
        <v>0</v>
      </c>
      <c r="N43" s="14">
        <f>_xlfn.XLOOKUP(tblprogress[[#This Row],[Planet '#]],tblPlanets[Planet '#],tblPlanets[Distance])</f>
        <v>12.7</v>
      </c>
      <c r="O43" s="30" t="str">
        <f>IF(tblprogress[[#This Row],[Ship Speed]]=0,"",2*tblprogress[[#This Row],[Planets Distance]]/tblprogress[[#This Row],[Ship Speed]])</f>
        <v/>
      </c>
      <c r="P43" s="14">
        <f>_xlfn.XLOOKUP(tblprogress[[#This Row],[Planet '#]],tblPlanets[Planet '#],tblPlanets[Telescope])</f>
        <v>13</v>
      </c>
      <c r="Q43" s="14" t="str">
        <f>IF(
   _xlfn.XLOOKUP(tblprogress[[#This Row],[Planet '#]], tblPlanets[Planet '#], tblPlanets[Name])=tblprogress[[#This Row],[Name]],
   "Match",
   "Mismatch"
)</f>
        <v>Match</v>
      </c>
    </row>
    <row r="44" spans="1:17" x14ac:dyDescent="0.3">
      <c r="A44" s="14">
        <v>43</v>
      </c>
      <c r="B44" s="14" t="str">
        <f>_xlfn.XLOOKUP(tblprogress[[#This Row],[Planet '#]],tblPlanets[Planet '#],tblPlanets[Name])</f>
        <v>Daedalus</v>
      </c>
      <c r="C44" s="70">
        <v>0</v>
      </c>
      <c r="D44" s="70">
        <v>0</v>
      </c>
      <c r="E44" s="70">
        <v>0</v>
      </c>
      <c r="F44" s="30">
        <f>_xlfn.XLOOKUP(tblprogress[[#This Row],[Mining Level]],tblUpgradeStats[Level],tblUpgradeStats[Mining Speed],0)</f>
        <v>0</v>
      </c>
      <c r="G44" s="30">
        <f>_xlfn.XLOOKUP(tblprogress[[#This Row],[Ship Level]],tblUpgradeStats[Level],tblUpgradeStats[Ship Speed],0)</f>
        <v>0</v>
      </c>
      <c r="H44" s="14">
        <f>_xlfn.XLOOKUP(tblprogress[[#This Row],[Cargo Level]],tblUpgradeStats[Level],tblUpgradeStats[Cargo Amount],0)</f>
        <v>0</v>
      </c>
      <c r="I44" s="31">
        <f>IFERROR(tblprogress[[#This Row],[Mining Rate]]*(2*tblprogress[[#This Row],[Planets Distance]]/tblprogress[[#This Row],[Ship Speed]])/tblprogress[[#This Row],[Cargo]],0)</f>
        <v>0</v>
      </c>
      <c r="J44" s="49">
        <f>IF(tblprogress[[#This Row],[Efficiency]]&lt;1,tblprogress[[#This Row],[Mining Rate]]*60,tblprogress[[#This Row],[Cargo]]/(2*tblprogress[[#This Row],[Planets Distance]]/tblprogress[[#This Row],[Ship Speed]])*60)</f>
        <v>0</v>
      </c>
      <c r="K44" s="15">
        <f>IFERROR(_xlfn.XLOOKUP(tblprogress[[#This Row],[Planet '#]],tblplanetvalue[Planet '#],tblplanetvalue[Total Worth])*tblprogress[[#This Row],[Deposit]]/60,0)</f>
        <v>0</v>
      </c>
      <c r="L44" s="54">
        <f>IF(tblprogress[[#This Row],[Deposit]]&gt;0,1,0)</f>
        <v>0</v>
      </c>
      <c r="M44" s="54">
        <f>IF(tblprogress[[#This Row],[Telescope]]&lt;=CurrentTelescope,1,0)</f>
        <v>0</v>
      </c>
      <c r="N44" s="14">
        <f>_xlfn.XLOOKUP(tblprogress[[#This Row],[Planet '#]],tblPlanets[Planet '#],tblPlanets[Distance])</f>
        <v>12.85</v>
      </c>
      <c r="O44" s="30" t="str">
        <f>IF(tblprogress[[#This Row],[Ship Speed]]=0,"",2*tblprogress[[#This Row],[Planets Distance]]/tblprogress[[#This Row],[Ship Speed]])</f>
        <v/>
      </c>
      <c r="P44" s="14">
        <f>_xlfn.XLOOKUP(tblprogress[[#This Row],[Planet '#]],tblPlanets[Planet '#],tblPlanets[Telescope])</f>
        <v>13</v>
      </c>
      <c r="Q44" s="14" t="str">
        <f>IF(
   _xlfn.XLOOKUP(tblprogress[[#This Row],[Planet '#]], tblPlanets[Planet '#], tblPlanets[Name])=tblprogress[[#This Row],[Name]],
   "Match",
   "Mismatch"
)</f>
        <v>Match</v>
      </c>
    </row>
    <row r="45" spans="1:17" x14ac:dyDescent="0.3">
      <c r="A45" s="14">
        <v>44</v>
      </c>
      <c r="B45" s="14" t="str">
        <f>_xlfn.XLOOKUP(tblprogress[[#This Row],[Planet '#]],tblPlanets[Planet '#],tblPlanets[Name])</f>
        <v>Clovis</v>
      </c>
      <c r="C45" s="70">
        <v>0</v>
      </c>
      <c r="D45" s="70">
        <v>0</v>
      </c>
      <c r="E45" s="70">
        <v>0</v>
      </c>
      <c r="F45" s="30">
        <f>_xlfn.XLOOKUP(tblprogress[[#This Row],[Mining Level]],tblUpgradeStats[Level],tblUpgradeStats[Mining Speed],0)</f>
        <v>0</v>
      </c>
      <c r="G45" s="30">
        <f>_xlfn.XLOOKUP(tblprogress[[#This Row],[Ship Level]],tblUpgradeStats[Level],tblUpgradeStats[Ship Speed],0)</f>
        <v>0</v>
      </c>
      <c r="H45" s="14">
        <f>_xlfn.XLOOKUP(tblprogress[[#This Row],[Cargo Level]],tblUpgradeStats[Level],tblUpgradeStats[Cargo Amount],0)</f>
        <v>0</v>
      </c>
      <c r="I45" s="31">
        <f>IFERROR(tblprogress[[#This Row],[Mining Rate]]*(2*tblprogress[[#This Row],[Planets Distance]]/tblprogress[[#This Row],[Ship Speed]])/tblprogress[[#This Row],[Cargo]],0)</f>
        <v>0</v>
      </c>
      <c r="J45" s="49">
        <f>IF(tblprogress[[#This Row],[Efficiency]]&lt;1,tblprogress[[#This Row],[Mining Rate]]*60,tblprogress[[#This Row],[Cargo]]/(2*tblprogress[[#This Row],[Planets Distance]]/tblprogress[[#This Row],[Ship Speed]])*60)</f>
        <v>0</v>
      </c>
      <c r="K45" s="15">
        <f>IFERROR(_xlfn.XLOOKUP(tblprogress[[#This Row],[Planet '#]],tblplanetvalue[Planet '#],tblplanetvalue[Total Worth])*tblprogress[[#This Row],[Deposit]]/60,0)</f>
        <v>0</v>
      </c>
      <c r="L45" s="54">
        <f>IF(tblprogress[[#This Row],[Deposit]]&gt;0,1,0)</f>
        <v>0</v>
      </c>
      <c r="M45" s="54">
        <f>IF(tblprogress[[#This Row],[Telescope]]&lt;=CurrentTelescope,1,0)</f>
        <v>0</v>
      </c>
      <c r="N45" s="14">
        <f>_xlfn.XLOOKUP(tblprogress[[#This Row],[Planet '#]],tblPlanets[Planet '#],tblPlanets[Distance])</f>
        <v>13</v>
      </c>
      <c r="O45" s="30" t="str">
        <f>IF(tblprogress[[#This Row],[Ship Speed]]=0,"",2*tblprogress[[#This Row],[Planets Distance]]/tblprogress[[#This Row],[Ship Speed]])</f>
        <v/>
      </c>
      <c r="P45" s="14">
        <f>_xlfn.XLOOKUP(tblprogress[[#This Row],[Planet '#]],tblPlanets[Planet '#],tblPlanets[Telescope])</f>
        <v>14</v>
      </c>
      <c r="Q45" s="14" t="str">
        <f>IF(
   _xlfn.XLOOKUP(tblprogress[[#This Row],[Planet '#]], tblPlanets[Planet '#], tblPlanets[Name])=tblprogress[[#This Row],[Name]],
   "Match",
   "Mismatch"
)</f>
        <v>Match</v>
      </c>
    </row>
    <row r="46" spans="1:17" x14ac:dyDescent="0.3">
      <c r="A46" s="14">
        <v>45</v>
      </c>
      <c r="B46" s="14" t="str">
        <f>_xlfn.XLOOKUP(tblprogress[[#This Row],[Planet '#]],tblPlanets[Planet '#],tblPlanets[Name])</f>
        <v>Zero</v>
      </c>
      <c r="C46" s="70">
        <v>0</v>
      </c>
      <c r="D46" s="70">
        <v>0</v>
      </c>
      <c r="E46" s="70">
        <v>0</v>
      </c>
      <c r="F46" s="30">
        <f>_xlfn.XLOOKUP(tblprogress[[#This Row],[Mining Level]],tblUpgradeStats[Level],tblUpgradeStats[Mining Speed],0)</f>
        <v>0</v>
      </c>
      <c r="G46" s="30">
        <f>_xlfn.XLOOKUP(tblprogress[[#This Row],[Ship Level]],tblUpgradeStats[Level],tblUpgradeStats[Ship Speed],0)</f>
        <v>0</v>
      </c>
      <c r="H46" s="14">
        <f>_xlfn.XLOOKUP(tblprogress[[#This Row],[Cargo Level]],tblUpgradeStats[Level],tblUpgradeStats[Cargo Amount],0)</f>
        <v>0</v>
      </c>
      <c r="I46" s="31">
        <f>IFERROR(tblprogress[[#This Row],[Mining Rate]]*(2*tblprogress[[#This Row],[Planets Distance]]/tblprogress[[#This Row],[Ship Speed]])/tblprogress[[#This Row],[Cargo]],0)</f>
        <v>0</v>
      </c>
      <c r="J46" s="49">
        <f>IF(tblprogress[[#This Row],[Efficiency]]&lt;1,tblprogress[[#This Row],[Mining Rate]]*60,tblprogress[[#This Row],[Cargo]]/(2*tblprogress[[#This Row],[Planets Distance]]/tblprogress[[#This Row],[Ship Speed]])*60)</f>
        <v>0</v>
      </c>
      <c r="K46" s="15">
        <f>IFERROR(_xlfn.XLOOKUP(tblprogress[[#This Row],[Planet '#]],tblplanetvalue[Planet '#],tblplanetvalue[Total Worth])*tblprogress[[#This Row],[Deposit]]/60,0)</f>
        <v>0</v>
      </c>
      <c r="L46" s="54">
        <f>IF(tblprogress[[#This Row],[Deposit]]&gt;0,1,0)</f>
        <v>0</v>
      </c>
      <c r="M46" s="54">
        <f>IF(tblprogress[[#This Row],[Telescope]]&lt;=CurrentTelescope,1,0)</f>
        <v>0</v>
      </c>
      <c r="N46" s="14">
        <f>_xlfn.XLOOKUP(tblprogress[[#This Row],[Planet '#]],tblPlanets[Planet '#],tblPlanets[Distance])</f>
        <v>13.15</v>
      </c>
      <c r="O46" s="30" t="str">
        <f>IF(tblprogress[[#This Row],[Ship Speed]]=0,"",2*tblprogress[[#This Row],[Planets Distance]]/tblprogress[[#This Row],[Ship Speed]])</f>
        <v/>
      </c>
      <c r="P46" s="14">
        <f>_xlfn.XLOOKUP(tblprogress[[#This Row],[Planet '#]],tblPlanets[Planet '#],tblPlanets[Telescope])</f>
        <v>14</v>
      </c>
      <c r="Q46" s="14" t="str">
        <f>IF(
   _xlfn.XLOOKUP(tblprogress[[#This Row],[Planet '#]], tblPlanets[Planet '#], tblPlanets[Name])=tblprogress[[#This Row],[Name]],
   "Match",
   "Mismatch"
)</f>
        <v>Match</v>
      </c>
    </row>
    <row r="47" spans="1:17" x14ac:dyDescent="0.3">
      <c r="A47" s="14">
        <v>46</v>
      </c>
      <c r="B47" s="14" t="str">
        <f>_xlfn.XLOOKUP(tblprogress[[#This Row],[Planet '#]],tblPlanets[Planet '#],tblPlanets[Name])</f>
        <v>Sotomi</v>
      </c>
      <c r="C47" s="70">
        <v>0</v>
      </c>
      <c r="D47" s="70">
        <v>0</v>
      </c>
      <c r="E47" s="70">
        <v>0</v>
      </c>
      <c r="F47" s="30">
        <f>_xlfn.XLOOKUP(tblprogress[[#This Row],[Mining Level]],tblUpgradeStats[Level],tblUpgradeStats[Mining Speed],0)</f>
        <v>0</v>
      </c>
      <c r="G47" s="30">
        <f>_xlfn.XLOOKUP(tblprogress[[#This Row],[Ship Level]],tblUpgradeStats[Level],tblUpgradeStats[Ship Speed],0)</f>
        <v>0</v>
      </c>
      <c r="H47" s="14">
        <f>_xlfn.XLOOKUP(tblprogress[[#This Row],[Cargo Level]],tblUpgradeStats[Level],tblUpgradeStats[Cargo Amount],0)</f>
        <v>0</v>
      </c>
      <c r="I47" s="31">
        <f>IFERROR(tblprogress[[#This Row],[Mining Rate]]*(2*tblprogress[[#This Row],[Planets Distance]]/tblprogress[[#This Row],[Ship Speed]])/tblprogress[[#This Row],[Cargo]],0)</f>
        <v>0</v>
      </c>
      <c r="J47" s="49">
        <f>IF(tblprogress[[#This Row],[Efficiency]]&lt;1,tblprogress[[#This Row],[Mining Rate]]*60,tblprogress[[#This Row],[Cargo]]/(2*tblprogress[[#This Row],[Planets Distance]]/tblprogress[[#This Row],[Ship Speed]])*60)</f>
        <v>0</v>
      </c>
      <c r="K47" s="15">
        <f>IFERROR(_xlfn.XLOOKUP(tblprogress[[#This Row],[Planet '#]],tblplanetvalue[Planet '#],tblplanetvalue[Total Worth])*tblprogress[[#This Row],[Deposit]]/60,0)</f>
        <v>0</v>
      </c>
      <c r="L47" s="54">
        <f>IF(tblprogress[[#This Row],[Deposit]]&gt;0,1,0)</f>
        <v>0</v>
      </c>
      <c r="M47" s="54">
        <f>IF(tblprogress[[#This Row],[Telescope]]&lt;=CurrentTelescope,1,0)</f>
        <v>0</v>
      </c>
      <c r="N47" s="14">
        <f>_xlfn.XLOOKUP(tblprogress[[#This Row],[Planet '#]],tblPlanets[Planet '#],tblPlanets[Distance])</f>
        <v>13.3</v>
      </c>
      <c r="O47" s="30" t="str">
        <f>IF(tblprogress[[#This Row],[Ship Speed]]=0,"",2*tblprogress[[#This Row],[Planets Distance]]/tblprogress[[#This Row],[Ship Speed]])</f>
        <v/>
      </c>
      <c r="P47" s="14">
        <f>_xlfn.XLOOKUP(tblprogress[[#This Row],[Planet '#]],tblPlanets[Planet '#],tblPlanets[Telescope])</f>
        <v>14</v>
      </c>
      <c r="Q47" s="14" t="str">
        <f>IF(
   _xlfn.XLOOKUP(tblprogress[[#This Row],[Planet '#]], tblPlanets[Planet '#], tblPlanets[Name])=tblprogress[[#This Row],[Name]],
   "Match",
   "Mismatch"
)</f>
        <v>Match</v>
      </c>
    </row>
    <row r="48" spans="1:17" x14ac:dyDescent="0.3">
      <c r="A48" s="14">
        <v>47</v>
      </c>
      <c r="B48" s="14" t="str">
        <f>_xlfn.XLOOKUP(tblprogress[[#This Row],[Planet '#]],tblPlanets[Planet '#],tblPlanets[Name])</f>
        <v>Remidian</v>
      </c>
      <c r="C48" s="70">
        <v>0</v>
      </c>
      <c r="D48" s="70">
        <v>0</v>
      </c>
      <c r="E48" s="70">
        <v>0</v>
      </c>
      <c r="F48" s="30">
        <f>_xlfn.XLOOKUP(tblprogress[[#This Row],[Mining Level]],tblUpgradeStats[Level],tblUpgradeStats[Mining Speed],0)</f>
        <v>0</v>
      </c>
      <c r="G48" s="30">
        <f>_xlfn.XLOOKUP(tblprogress[[#This Row],[Ship Level]],tblUpgradeStats[Level],tblUpgradeStats[Ship Speed],0)</f>
        <v>0</v>
      </c>
      <c r="H48" s="14">
        <f>_xlfn.XLOOKUP(tblprogress[[#This Row],[Cargo Level]],tblUpgradeStats[Level],tblUpgradeStats[Cargo Amount],0)</f>
        <v>0</v>
      </c>
      <c r="I48" s="31">
        <f>IFERROR(tblprogress[[#This Row],[Mining Rate]]*(2*tblprogress[[#This Row],[Planets Distance]]/tblprogress[[#This Row],[Ship Speed]])/tblprogress[[#This Row],[Cargo]],0)</f>
        <v>0</v>
      </c>
      <c r="J48" s="49">
        <f>IF(tblprogress[[#This Row],[Efficiency]]&lt;1,tblprogress[[#This Row],[Mining Rate]]*60,tblprogress[[#This Row],[Cargo]]/(2*tblprogress[[#This Row],[Planets Distance]]/tblprogress[[#This Row],[Ship Speed]])*60)</f>
        <v>0</v>
      </c>
      <c r="K48" s="15">
        <f>IFERROR(_xlfn.XLOOKUP(tblprogress[[#This Row],[Planet '#]],tblplanetvalue[Planet '#],tblplanetvalue[Total Worth])*tblprogress[[#This Row],[Deposit]]/60,0)</f>
        <v>0</v>
      </c>
      <c r="L48" s="54">
        <f>IF(tblprogress[[#This Row],[Deposit]]&gt;0,1,0)</f>
        <v>0</v>
      </c>
      <c r="M48" s="54">
        <f>IF(tblprogress[[#This Row],[Telescope]]&lt;=CurrentTelescope,1,0)</f>
        <v>0</v>
      </c>
      <c r="N48" s="14">
        <f>_xlfn.XLOOKUP(tblprogress[[#This Row],[Planet '#]],tblPlanets[Planet '#],tblPlanets[Distance])</f>
        <v>13.45</v>
      </c>
      <c r="O48" s="30" t="str">
        <f>IF(tblprogress[[#This Row],[Ship Speed]]=0,"",2*tblprogress[[#This Row],[Planets Distance]]/tblprogress[[#This Row],[Ship Speed]])</f>
        <v/>
      </c>
      <c r="P48" s="14">
        <f>_xlfn.XLOOKUP(tblprogress[[#This Row],[Planet '#]],tblPlanets[Planet '#],tblPlanets[Telescope])</f>
        <v>15</v>
      </c>
      <c r="Q48" s="14" t="str">
        <f>IF(
   _xlfn.XLOOKUP(tblprogress[[#This Row],[Planet '#]], tblPlanets[Planet '#], tblPlanets[Name])=tblprogress[[#This Row],[Name]],
   "Match",
   "Mismatch"
)</f>
        <v>Match</v>
      </c>
    </row>
    <row r="49" spans="1:17" x14ac:dyDescent="0.3">
      <c r="A49" s="14">
        <v>48</v>
      </c>
      <c r="B49" s="14" t="str">
        <f>_xlfn.XLOOKUP(tblprogress[[#This Row],[Planet '#]],tblPlanets[Planet '#],tblPlanets[Name])</f>
        <v>Muse</v>
      </c>
      <c r="C49" s="70">
        <v>0</v>
      </c>
      <c r="D49" s="70">
        <v>0</v>
      </c>
      <c r="E49" s="70">
        <v>0</v>
      </c>
      <c r="F49" s="30">
        <f>_xlfn.XLOOKUP(tblprogress[[#This Row],[Mining Level]],tblUpgradeStats[Level],tblUpgradeStats[Mining Speed],0)</f>
        <v>0</v>
      </c>
      <c r="G49" s="30">
        <f>_xlfn.XLOOKUP(tblprogress[[#This Row],[Ship Level]],tblUpgradeStats[Level],tblUpgradeStats[Ship Speed],0)</f>
        <v>0</v>
      </c>
      <c r="H49" s="14">
        <f>_xlfn.XLOOKUP(tblprogress[[#This Row],[Cargo Level]],tblUpgradeStats[Level],tblUpgradeStats[Cargo Amount],0)</f>
        <v>0</v>
      </c>
      <c r="I49" s="31">
        <f>IFERROR(tblprogress[[#This Row],[Mining Rate]]*(2*tblprogress[[#This Row],[Planets Distance]]/tblprogress[[#This Row],[Ship Speed]])/tblprogress[[#This Row],[Cargo]],0)</f>
        <v>0</v>
      </c>
      <c r="J49" s="49">
        <f>IF(tblprogress[[#This Row],[Efficiency]]&lt;1,tblprogress[[#This Row],[Mining Rate]]*60,tblprogress[[#This Row],[Cargo]]/(2*tblprogress[[#This Row],[Planets Distance]]/tblprogress[[#This Row],[Ship Speed]])*60)</f>
        <v>0</v>
      </c>
      <c r="K49" s="15">
        <f>IFERROR(_xlfn.XLOOKUP(tblprogress[[#This Row],[Planet '#]],tblplanetvalue[Planet '#],tblplanetvalue[Total Worth])*tblprogress[[#This Row],[Deposit]]/60,0)</f>
        <v>0</v>
      </c>
      <c r="L49" s="54">
        <f>IF(tblprogress[[#This Row],[Deposit]]&gt;0,1,0)</f>
        <v>0</v>
      </c>
      <c r="M49" s="54">
        <f>IF(tblprogress[[#This Row],[Telescope]]&lt;=CurrentTelescope,1,0)</f>
        <v>0</v>
      </c>
      <c r="N49" s="14">
        <f>_xlfn.XLOOKUP(tblprogress[[#This Row],[Planet '#]],tblPlanets[Planet '#],tblPlanets[Distance])</f>
        <v>13.6</v>
      </c>
      <c r="O49" s="30" t="str">
        <f>IF(tblprogress[[#This Row],[Ship Speed]]=0,"",2*tblprogress[[#This Row],[Planets Distance]]/tblprogress[[#This Row],[Ship Speed]])</f>
        <v/>
      </c>
      <c r="P49" s="14">
        <f>_xlfn.XLOOKUP(tblprogress[[#This Row],[Planet '#]],tblPlanets[Planet '#],tblPlanets[Telescope])</f>
        <v>15</v>
      </c>
      <c r="Q49" s="14" t="str">
        <f>IF(
   _xlfn.XLOOKUP(tblprogress[[#This Row],[Planet '#]], tblPlanets[Planet '#], tblPlanets[Name])=tblprogress[[#This Row],[Name]],
   "Match",
   "Mismatch"
)</f>
        <v>Match</v>
      </c>
    </row>
    <row r="50" spans="1:17" x14ac:dyDescent="0.3">
      <c r="A50" s="14">
        <v>49</v>
      </c>
      <c r="B50" s="14" t="str">
        <f>_xlfn.XLOOKUP(tblprogress[[#This Row],[Planet '#]],tblPlanets[Planet '#],tblPlanets[Name])</f>
        <v>Arabis</v>
      </c>
      <c r="C50" s="70">
        <v>0</v>
      </c>
      <c r="D50" s="70">
        <v>0</v>
      </c>
      <c r="E50" s="70">
        <v>0</v>
      </c>
      <c r="F50" s="30">
        <f>_xlfn.XLOOKUP(tblprogress[[#This Row],[Mining Level]],tblUpgradeStats[Level],tblUpgradeStats[Mining Speed],0)</f>
        <v>0</v>
      </c>
      <c r="G50" s="30">
        <f>_xlfn.XLOOKUP(tblprogress[[#This Row],[Ship Level]],tblUpgradeStats[Level],tblUpgradeStats[Ship Speed],0)</f>
        <v>0</v>
      </c>
      <c r="H50" s="14">
        <f>_xlfn.XLOOKUP(tblprogress[[#This Row],[Cargo Level]],tblUpgradeStats[Level],tblUpgradeStats[Cargo Amount],0)</f>
        <v>0</v>
      </c>
      <c r="I50" s="31">
        <f>IFERROR(tblprogress[[#This Row],[Mining Rate]]*(2*tblprogress[[#This Row],[Planets Distance]]/tblprogress[[#This Row],[Ship Speed]])/tblprogress[[#This Row],[Cargo]],0)</f>
        <v>0</v>
      </c>
      <c r="J50" s="49">
        <f>IF(tblprogress[[#This Row],[Efficiency]]&lt;1,tblprogress[[#This Row],[Mining Rate]]*60,tblprogress[[#This Row],[Cargo]]/(2*tblprogress[[#This Row],[Planets Distance]]/tblprogress[[#This Row],[Ship Speed]])*60)</f>
        <v>0</v>
      </c>
      <c r="K50" s="15">
        <f>IFERROR(_xlfn.XLOOKUP(tblprogress[[#This Row],[Planet '#]],tblplanetvalue[Planet '#],tblplanetvalue[Total Worth])*tblprogress[[#This Row],[Deposit]]/60,0)</f>
        <v>0</v>
      </c>
      <c r="L50" s="54">
        <f>IF(tblprogress[[#This Row],[Deposit]]&gt;0,1,0)</f>
        <v>0</v>
      </c>
      <c r="M50" s="54">
        <f>IF(tblprogress[[#This Row],[Telescope]]&lt;=CurrentTelescope,1,0)</f>
        <v>0</v>
      </c>
      <c r="N50" s="14">
        <f>_xlfn.XLOOKUP(tblprogress[[#This Row],[Planet '#]],tblPlanets[Planet '#],tblPlanets[Distance])</f>
        <v>13.75</v>
      </c>
      <c r="O50" s="30" t="str">
        <f>IF(tblprogress[[#This Row],[Ship Speed]]=0,"",2*tblprogress[[#This Row],[Planets Distance]]/tblprogress[[#This Row],[Ship Speed]])</f>
        <v/>
      </c>
      <c r="P50" s="14">
        <f>_xlfn.XLOOKUP(tblprogress[[#This Row],[Planet '#]],tblPlanets[Planet '#],tblPlanets[Telescope])</f>
        <v>15</v>
      </c>
      <c r="Q50" s="14" t="str">
        <f>IF(
   _xlfn.XLOOKUP(tblprogress[[#This Row],[Planet '#]], tblPlanets[Planet '#], tblPlanets[Name])=tblprogress[[#This Row],[Name]],
   "Match",
   "Mismatch"
)</f>
        <v>Match</v>
      </c>
    </row>
    <row r="51" spans="1:17" x14ac:dyDescent="0.3">
      <c r="A51" s="14">
        <v>50</v>
      </c>
      <c r="B51" s="14" t="str">
        <f>_xlfn.XLOOKUP(tblprogress[[#This Row],[Planet '#]],tblPlanets[Planet '#],tblPlanets[Name])</f>
        <v>Vesna</v>
      </c>
      <c r="C51" s="70">
        <v>0</v>
      </c>
      <c r="D51" s="70">
        <v>0</v>
      </c>
      <c r="E51" s="70">
        <v>0</v>
      </c>
      <c r="F51" s="30">
        <f>_xlfn.XLOOKUP(tblprogress[[#This Row],[Mining Level]],tblUpgradeStats[Level],tblUpgradeStats[Mining Speed],0)</f>
        <v>0</v>
      </c>
      <c r="G51" s="30">
        <f>_xlfn.XLOOKUP(tblprogress[[#This Row],[Ship Level]],tblUpgradeStats[Level],tblUpgradeStats[Ship Speed],0)</f>
        <v>0</v>
      </c>
      <c r="H51" s="14">
        <f>_xlfn.XLOOKUP(tblprogress[[#This Row],[Cargo Level]],tblUpgradeStats[Level],tblUpgradeStats[Cargo Amount],0)</f>
        <v>0</v>
      </c>
      <c r="I51" s="31">
        <f>IFERROR(tblprogress[[#This Row],[Mining Rate]]*(2*tblprogress[[#This Row],[Planets Distance]]/tblprogress[[#This Row],[Ship Speed]])/tblprogress[[#This Row],[Cargo]],0)</f>
        <v>0</v>
      </c>
      <c r="J51" s="49">
        <f>IF(tblprogress[[#This Row],[Efficiency]]&lt;1,tblprogress[[#This Row],[Mining Rate]]*60,tblprogress[[#This Row],[Cargo]]/(2*tblprogress[[#This Row],[Planets Distance]]/tblprogress[[#This Row],[Ship Speed]])*60)</f>
        <v>0</v>
      </c>
      <c r="K51" s="15">
        <f>IFERROR(_xlfn.XLOOKUP(tblprogress[[#This Row],[Planet '#]],tblplanetvalue[Planet '#],tblplanetvalue[Total Worth])*tblprogress[[#This Row],[Deposit]]/60,0)</f>
        <v>0</v>
      </c>
      <c r="L51" s="54">
        <f>IF(tblprogress[[#This Row],[Deposit]]&gt;0,1,0)</f>
        <v>0</v>
      </c>
      <c r="M51" s="54">
        <f>IF(tblprogress[[#This Row],[Telescope]]&lt;=CurrentTelescope,1,0)</f>
        <v>0</v>
      </c>
      <c r="N51" s="14">
        <f>_xlfn.XLOOKUP(tblprogress[[#This Row],[Planet '#]],tblPlanets[Planet '#],tblPlanets[Distance])</f>
        <v>13.9</v>
      </c>
      <c r="O51" s="30" t="str">
        <f>IF(tblprogress[[#This Row],[Ship Speed]]=0,"",2*tblprogress[[#This Row],[Planets Distance]]/tblprogress[[#This Row],[Ship Speed]])</f>
        <v/>
      </c>
      <c r="P51" s="14">
        <f>_xlfn.XLOOKUP(tblprogress[[#This Row],[Planet '#]],tblPlanets[Planet '#],tblPlanets[Telescope])</f>
        <v>16</v>
      </c>
      <c r="Q51" s="14" t="str">
        <f>IF(
   _xlfn.XLOOKUP(tblprogress[[#This Row],[Planet '#]], tblPlanets[Planet '#], tblPlanets[Name])=tblprogress[[#This Row],[Name]],
   "Match",
   "Mismatch"
)</f>
        <v>Match</v>
      </c>
    </row>
    <row r="52" spans="1:17" x14ac:dyDescent="0.3">
      <c r="A52" s="14">
        <v>51</v>
      </c>
      <c r="B52" s="14" t="str">
        <f>_xlfn.XLOOKUP(tblprogress[[#This Row],[Planet '#]],tblPlanets[Planet '#],tblPlanets[Name])</f>
        <v>Chandra</v>
      </c>
      <c r="C52" s="70">
        <v>0</v>
      </c>
      <c r="D52" s="70">
        <v>0</v>
      </c>
      <c r="E52" s="70">
        <v>0</v>
      </c>
      <c r="F52" s="30">
        <f>_xlfn.XLOOKUP(tblprogress[[#This Row],[Mining Level]],tblUpgradeStats[Level],tblUpgradeStats[Mining Speed],0)</f>
        <v>0</v>
      </c>
      <c r="G52" s="30">
        <f>_xlfn.XLOOKUP(tblprogress[[#This Row],[Ship Level]],tblUpgradeStats[Level],tblUpgradeStats[Ship Speed],0)</f>
        <v>0</v>
      </c>
      <c r="H52" s="14">
        <f>_xlfn.XLOOKUP(tblprogress[[#This Row],[Cargo Level]],tblUpgradeStats[Level],tblUpgradeStats[Cargo Amount],0)</f>
        <v>0</v>
      </c>
      <c r="I52" s="31">
        <f>IFERROR(tblprogress[[#This Row],[Mining Rate]]*(2*tblprogress[[#This Row],[Planets Distance]]/tblprogress[[#This Row],[Ship Speed]])/tblprogress[[#This Row],[Cargo]],0)</f>
        <v>0</v>
      </c>
      <c r="J52" s="49">
        <f>IF(tblprogress[[#This Row],[Efficiency]]&lt;1,tblprogress[[#This Row],[Mining Rate]]*60,tblprogress[[#This Row],[Cargo]]/(2*tblprogress[[#This Row],[Planets Distance]]/tblprogress[[#This Row],[Ship Speed]])*60)</f>
        <v>0</v>
      </c>
      <c r="K52" s="15">
        <f>IFERROR(_xlfn.XLOOKUP(tblprogress[[#This Row],[Planet '#]],tblplanetvalue[Planet '#],tblplanetvalue[Total Worth])*tblprogress[[#This Row],[Deposit]]/60,0)</f>
        <v>0</v>
      </c>
      <c r="L52" s="54">
        <f>IF(tblprogress[[#This Row],[Deposit]]&gt;0,1,0)</f>
        <v>0</v>
      </c>
      <c r="M52" s="54">
        <f>IF(tblprogress[[#This Row],[Telescope]]&lt;=CurrentTelescope,1,0)</f>
        <v>0</v>
      </c>
      <c r="N52" s="14">
        <f>_xlfn.XLOOKUP(tblprogress[[#This Row],[Planet '#]],tblPlanets[Planet '#],tblPlanets[Distance])</f>
        <v>14.05</v>
      </c>
      <c r="O52" s="30" t="str">
        <f>IF(tblprogress[[#This Row],[Ship Speed]]=0,"",2*tblprogress[[#This Row],[Planets Distance]]/tblprogress[[#This Row],[Ship Speed]])</f>
        <v/>
      </c>
      <c r="P52" s="14">
        <f>_xlfn.XLOOKUP(tblprogress[[#This Row],[Planet '#]],tblPlanets[Planet '#],tblPlanets[Telescope])</f>
        <v>16</v>
      </c>
      <c r="Q52" s="14" t="str">
        <f>IF(
   _xlfn.XLOOKUP(tblprogress[[#This Row],[Planet '#]], tblPlanets[Planet '#], tblPlanets[Name])=tblprogress[[#This Row],[Name]],
   "Match",
   "Mismatch"
)</f>
        <v>Match</v>
      </c>
    </row>
    <row r="53" spans="1:17" x14ac:dyDescent="0.3">
      <c r="A53" s="14">
        <v>52</v>
      </c>
      <c r="B53" s="14" t="str">
        <f>_xlfn.XLOOKUP(tblprogress[[#This Row],[Planet '#]],tblPlanets[Planet '#],tblPlanets[Name])</f>
        <v>Vega</v>
      </c>
      <c r="C53" s="70">
        <v>0</v>
      </c>
      <c r="D53" s="70">
        <v>0</v>
      </c>
      <c r="E53" s="70">
        <v>0</v>
      </c>
      <c r="F53" s="30">
        <f>_xlfn.XLOOKUP(tblprogress[[#This Row],[Mining Level]],tblUpgradeStats[Level],tblUpgradeStats[Mining Speed],0)</f>
        <v>0</v>
      </c>
      <c r="G53" s="30">
        <f>_xlfn.XLOOKUP(tblprogress[[#This Row],[Ship Level]],tblUpgradeStats[Level],tblUpgradeStats[Ship Speed],0)</f>
        <v>0</v>
      </c>
      <c r="H53" s="14">
        <f>_xlfn.XLOOKUP(tblprogress[[#This Row],[Cargo Level]],tblUpgradeStats[Level],tblUpgradeStats[Cargo Amount],0)</f>
        <v>0</v>
      </c>
      <c r="I53" s="31">
        <f>IFERROR(tblprogress[[#This Row],[Mining Rate]]*(2*tblprogress[[#This Row],[Planets Distance]]/tblprogress[[#This Row],[Ship Speed]])/tblprogress[[#This Row],[Cargo]],0)</f>
        <v>0</v>
      </c>
      <c r="J53" s="49">
        <f>IF(tblprogress[[#This Row],[Efficiency]]&lt;1,tblprogress[[#This Row],[Mining Rate]]*60,tblprogress[[#This Row],[Cargo]]/(2*tblprogress[[#This Row],[Planets Distance]]/tblprogress[[#This Row],[Ship Speed]])*60)</f>
        <v>0</v>
      </c>
      <c r="K53" s="15">
        <f>IFERROR(_xlfn.XLOOKUP(tblprogress[[#This Row],[Planet '#]],tblplanetvalue[Planet '#],tblplanetvalue[Total Worth])*tblprogress[[#This Row],[Deposit]]/60,0)</f>
        <v>0</v>
      </c>
      <c r="L53" s="54">
        <f>IF(tblprogress[[#This Row],[Deposit]]&gt;0,1,0)</f>
        <v>0</v>
      </c>
      <c r="M53" s="54">
        <f>IF(tblprogress[[#This Row],[Telescope]]&lt;=CurrentTelescope,1,0)</f>
        <v>0</v>
      </c>
      <c r="N53" s="14">
        <f>_xlfn.XLOOKUP(tblprogress[[#This Row],[Planet '#]],tblPlanets[Planet '#],tblPlanets[Distance])</f>
        <v>14.2</v>
      </c>
      <c r="O53" s="30" t="str">
        <f>IF(tblprogress[[#This Row],[Ship Speed]]=0,"",2*tblprogress[[#This Row],[Planets Distance]]/tblprogress[[#This Row],[Ship Speed]])</f>
        <v/>
      </c>
      <c r="P53" s="14">
        <f>_xlfn.XLOOKUP(tblprogress[[#This Row],[Planet '#]],tblPlanets[Planet '#],tblPlanets[Telescope])</f>
        <v>16</v>
      </c>
      <c r="Q53" s="14" t="str">
        <f>IF(
   _xlfn.XLOOKUP(tblprogress[[#This Row],[Planet '#]], tblPlanets[Planet '#], tblPlanets[Name])=tblprogress[[#This Row],[Name]],
   "Match",
   "Mismatch"
)</f>
        <v>Match</v>
      </c>
    </row>
    <row r="54" spans="1:17" x14ac:dyDescent="0.3">
      <c r="A54" s="14">
        <v>53</v>
      </c>
      <c r="B54" s="14" t="str">
        <f>_xlfn.XLOOKUP(tblprogress[[#This Row],[Planet '#]],tblPlanets[Planet '#],tblPlanets[Name])</f>
        <v>Crius</v>
      </c>
      <c r="C54" s="70">
        <v>0</v>
      </c>
      <c r="D54" s="70">
        <v>0</v>
      </c>
      <c r="E54" s="70">
        <v>0</v>
      </c>
      <c r="F54" s="30">
        <f>_xlfn.XLOOKUP(tblprogress[[#This Row],[Mining Level]],tblUpgradeStats[Level],tblUpgradeStats[Mining Speed],0)</f>
        <v>0</v>
      </c>
      <c r="G54" s="30">
        <f>_xlfn.XLOOKUP(tblprogress[[#This Row],[Ship Level]],tblUpgradeStats[Level],tblUpgradeStats[Ship Speed],0)</f>
        <v>0</v>
      </c>
      <c r="H54" s="14">
        <f>_xlfn.XLOOKUP(tblprogress[[#This Row],[Cargo Level]],tblUpgradeStats[Level],tblUpgradeStats[Cargo Amount],0)</f>
        <v>0</v>
      </c>
      <c r="I54" s="31">
        <f>IFERROR(tblprogress[[#This Row],[Mining Rate]]*(2*tblprogress[[#This Row],[Planets Distance]]/tblprogress[[#This Row],[Ship Speed]])/tblprogress[[#This Row],[Cargo]],0)</f>
        <v>0</v>
      </c>
      <c r="J54" s="49">
        <f>IF(tblprogress[[#This Row],[Efficiency]]&lt;1,tblprogress[[#This Row],[Mining Rate]]*60,tblprogress[[#This Row],[Cargo]]/(2*tblprogress[[#This Row],[Planets Distance]]/tblprogress[[#This Row],[Ship Speed]])*60)</f>
        <v>0</v>
      </c>
      <c r="K54" s="15">
        <f>IFERROR(_xlfn.XLOOKUP(tblprogress[[#This Row],[Planet '#]],tblplanetvalue[Planet '#],tblplanetvalue[Total Worth])*tblprogress[[#This Row],[Deposit]]/60,0)</f>
        <v>0</v>
      </c>
      <c r="L54" s="54">
        <f>IF(tblprogress[[#This Row],[Deposit]]&gt;0,1,0)</f>
        <v>0</v>
      </c>
      <c r="M54" s="54">
        <f>IF(tblprogress[[#This Row],[Telescope]]&lt;=CurrentTelescope,1,0)</f>
        <v>0</v>
      </c>
      <c r="N54" s="14">
        <f>_xlfn.XLOOKUP(tblprogress[[#This Row],[Planet '#]],tblPlanets[Planet '#],tblPlanets[Distance])</f>
        <v>14.35</v>
      </c>
      <c r="O54" s="30" t="str">
        <f>IF(tblprogress[[#This Row],[Ship Speed]]=0,"",2*tblprogress[[#This Row],[Planets Distance]]/tblprogress[[#This Row],[Ship Speed]])</f>
        <v/>
      </c>
      <c r="P54" s="14">
        <f>_xlfn.XLOOKUP(tblprogress[[#This Row],[Planet '#]],tblPlanets[Planet '#],tblPlanets[Telescope])</f>
        <v>17</v>
      </c>
      <c r="Q54" s="14" t="str">
        <f>IF(
   _xlfn.XLOOKUP(tblprogress[[#This Row],[Planet '#]], tblPlanets[Planet '#], tblPlanets[Name])=tblprogress[[#This Row],[Name]],
   "Match",
   "Mismatch"
)</f>
        <v>Match</v>
      </c>
    </row>
    <row r="55" spans="1:17" x14ac:dyDescent="0.3">
      <c r="A55" s="14">
        <v>54</v>
      </c>
      <c r="B55" s="14" t="str">
        <f>_xlfn.XLOOKUP(tblprogress[[#This Row],[Planet '#]],tblPlanets[Planet '#],tblPlanets[Name])</f>
        <v>Singhana</v>
      </c>
      <c r="C55" s="70">
        <v>0</v>
      </c>
      <c r="D55" s="70">
        <v>0</v>
      </c>
      <c r="E55" s="70">
        <v>0</v>
      </c>
      <c r="F55" s="30">
        <f>_xlfn.XLOOKUP(tblprogress[[#This Row],[Mining Level]],tblUpgradeStats[Level],tblUpgradeStats[Mining Speed],0)</f>
        <v>0</v>
      </c>
      <c r="G55" s="30">
        <f>_xlfn.XLOOKUP(tblprogress[[#This Row],[Ship Level]],tblUpgradeStats[Level],tblUpgradeStats[Ship Speed],0)</f>
        <v>0</v>
      </c>
      <c r="H55" s="14">
        <f>_xlfn.XLOOKUP(tblprogress[[#This Row],[Cargo Level]],tblUpgradeStats[Level],tblUpgradeStats[Cargo Amount],0)</f>
        <v>0</v>
      </c>
      <c r="I55" s="31">
        <f>IFERROR(tblprogress[[#This Row],[Mining Rate]]*(2*tblprogress[[#This Row],[Planets Distance]]/tblprogress[[#This Row],[Ship Speed]])/tblprogress[[#This Row],[Cargo]],0)</f>
        <v>0</v>
      </c>
      <c r="J55" s="49">
        <f>IF(tblprogress[[#This Row],[Efficiency]]&lt;1,tblprogress[[#This Row],[Mining Rate]]*60,tblprogress[[#This Row],[Cargo]]/(2*tblprogress[[#This Row],[Planets Distance]]/tblprogress[[#This Row],[Ship Speed]])*60)</f>
        <v>0</v>
      </c>
      <c r="K55" s="15">
        <f>IFERROR(_xlfn.XLOOKUP(tblprogress[[#This Row],[Planet '#]],tblplanetvalue[Planet '#],tblplanetvalue[Total Worth])*tblprogress[[#This Row],[Deposit]]/60,0)</f>
        <v>0</v>
      </c>
      <c r="L55" s="54">
        <f>IF(tblprogress[[#This Row],[Deposit]]&gt;0,1,0)</f>
        <v>0</v>
      </c>
      <c r="M55" s="54">
        <f>IF(tblprogress[[#This Row],[Telescope]]&lt;=CurrentTelescope,1,0)</f>
        <v>0</v>
      </c>
      <c r="N55" s="14">
        <f>_xlfn.XLOOKUP(tblprogress[[#This Row],[Planet '#]],tblPlanets[Planet '#],tblPlanets[Distance])</f>
        <v>14.5</v>
      </c>
      <c r="O55" s="30" t="str">
        <f>IF(tblprogress[[#This Row],[Ship Speed]]=0,"",2*tblprogress[[#This Row],[Planets Distance]]/tblprogress[[#This Row],[Ship Speed]])</f>
        <v/>
      </c>
      <c r="P55" s="14">
        <f>_xlfn.XLOOKUP(tblprogress[[#This Row],[Planet '#]],tblPlanets[Planet '#],tblPlanets[Telescope])</f>
        <v>17</v>
      </c>
      <c r="Q55" s="14" t="str">
        <f>IF(
   _xlfn.XLOOKUP(tblprogress[[#This Row],[Planet '#]], tblPlanets[Planet '#], tblPlanets[Name])=tblprogress[[#This Row],[Name]],
   "Match",
   "Mismatch"
)</f>
        <v>Match</v>
      </c>
    </row>
    <row r="56" spans="1:17" x14ac:dyDescent="0.3">
      <c r="A56" s="14">
        <v>55</v>
      </c>
      <c r="B56" s="14" t="str">
        <f>_xlfn.XLOOKUP(tblprogress[[#This Row],[Planet '#]],tblPlanets[Planet '#],tblPlanets[Name])</f>
        <v>Zumbia</v>
      </c>
      <c r="C56" s="70">
        <v>0</v>
      </c>
      <c r="D56" s="70">
        <v>0</v>
      </c>
      <c r="E56" s="70">
        <v>0</v>
      </c>
      <c r="F56" s="30">
        <f>_xlfn.XLOOKUP(tblprogress[[#This Row],[Mining Level]],tblUpgradeStats[Level],tblUpgradeStats[Mining Speed],0)</f>
        <v>0</v>
      </c>
      <c r="G56" s="30">
        <f>_xlfn.XLOOKUP(tblprogress[[#This Row],[Ship Level]],tblUpgradeStats[Level],tblUpgradeStats[Ship Speed],0)</f>
        <v>0</v>
      </c>
      <c r="H56" s="14">
        <f>_xlfn.XLOOKUP(tblprogress[[#This Row],[Cargo Level]],tblUpgradeStats[Level],tblUpgradeStats[Cargo Amount],0)</f>
        <v>0</v>
      </c>
      <c r="I56" s="31">
        <f>IFERROR(tblprogress[[#This Row],[Mining Rate]]*(2*tblprogress[[#This Row],[Planets Distance]]/tblprogress[[#This Row],[Ship Speed]])/tblprogress[[#This Row],[Cargo]],0)</f>
        <v>0</v>
      </c>
      <c r="J56" s="49">
        <f>IF(tblprogress[[#This Row],[Efficiency]]&lt;1,tblprogress[[#This Row],[Mining Rate]]*60,tblprogress[[#This Row],[Cargo]]/(2*tblprogress[[#This Row],[Planets Distance]]/tblprogress[[#This Row],[Ship Speed]])*60)</f>
        <v>0</v>
      </c>
      <c r="K56" s="15">
        <f>IFERROR(_xlfn.XLOOKUP(tblprogress[[#This Row],[Planet '#]],tblplanetvalue[Planet '#],tblplanetvalue[Total Worth])*tblprogress[[#This Row],[Deposit]]/60,0)</f>
        <v>0</v>
      </c>
      <c r="L56" s="54">
        <f>IF(tblprogress[[#This Row],[Deposit]]&gt;0,1,0)</f>
        <v>0</v>
      </c>
      <c r="M56" s="54">
        <f>IF(tblprogress[[#This Row],[Telescope]]&lt;=CurrentTelescope,1,0)</f>
        <v>0</v>
      </c>
      <c r="N56" s="14">
        <f>_xlfn.XLOOKUP(tblprogress[[#This Row],[Planet '#]],tblPlanets[Planet '#],tblPlanets[Distance])</f>
        <v>14.65</v>
      </c>
      <c r="O56" s="30" t="str">
        <f>IF(tblprogress[[#This Row],[Ship Speed]]=0,"",2*tblprogress[[#This Row],[Planets Distance]]/tblprogress[[#This Row],[Ship Speed]])</f>
        <v/>
      </c>
      <c r="P56" s="14">
        <f>_xlfn.XLOOKUP(tblprogress[[#This Row],[Planet '#]],tblPlanets[Planet '#],tblPlanets[Telescope])</f>
        <v>17</v>
      </c>
      <c r="Q56" s="14" t="str">
        <f>IF(
   _xlfn.XLOOKUP(tblprogress[[#This Row],[Planet '#]], tblPlanets[Planet '#], tblPlanets[Name])=tblprogress[[#This Row],[Name]],
   "Match",
   "Mismatch"
)</f>
        <v>Match</v>
      </c>
    </row>
    <row r="57" spans="1:17" x14ac:dyDescent="0.3">
      <c r="A57" s="14">
        <v>56</v>
      </c>
      <c r="B57" s="14" t="str">
        <f>_xlfn.XLOOKUP(tblprogress[[#This Row],[Planet '#]],tblPlanets[Planet '#],tblPlanets[Name])</f>
        <v>Elysium</v>
      </c>
      <c r="C57" s="70">
        <v>0</v>
      </c>
      <c r="D57" s="70">
        <v>0</v>
      </c>
      <c r="E57" s="70">
        <v>0</v>
      </c>
      <c r="F57" s="30">
        <f>_xlfn.XLOOKUP(tblprogress[[#This Row],[Mining Level]],tblUpgradeStats[Level],tblUpgradeStats[Mining Speed],0)</f>
        <v>0</v>
      </c>
      <c r="G57" s="30">
        <f>_xlfn.XLOOKUP(tblprogress[[#This Row],[Ship Level]],tblUpgradeStats[Level],tblUpgradeStats[Ship Speed],0)</f>
        <v>0</v>
      </c>
      <c r="H57" s="14">
        <f>_xlfn.XLOOKUP(tblprogress[[#This Row],[Cargo Level]],tblUpgradeStats[Level],tblUpgradeStats[Cargo Amount],0)</f>
        <v>0</v>
      </c>
      <c r="I57" s="31">
        <f>IFERROR(tblprogress[[#This Row],[Mining Rate]]*(2*tblprogress[[#This Row],[Planets Distance]]/tblprogress[[#This Row],[Ship Speed]])/tblprogress[[#This Row],[Cargo]],0)</f>
        <v>0</v>
      </c>
      <c r="J57" s="49">
        <f>IF(tblprogress[[#This Row],[Efficiency]]&lt;1,tblprogress[[#This Row],[Mining Rate]]*60,tblprogress[[#This Row],[Cargo]]/(2*tblprogress[[#This Row],[Planets Distance]]/tblprogress[[#This Row],[Ship Speed]])*60)</f>
        <v>0</v>
      </c>
      <c r="K57" s="15">
        <f>IFERROR(_xlfn.XLOOKUP(tblprogress[[#This Row],[Planet '#]],tblplanetvalue[Planet '#],tblplanetvalue[Total Worth])*tblprogress[[#This Row],[Deposit]]/60,0)</f>
        <v>0</v>
      </c>
      <c r="L57" s="54">
        <f>IF(tblprogress[[#This Row],[Deposit]]&gt;0,1,0)</f>
        <v>0</v>
      </c>
      <c r="M57" s="54">
        <f>IF(tblprogress[[#This Row],[Telescope]]&lt;=CurrentTelescope,1,0)</f>
        <v>0</v>
      </c>
      <c r="N57" s="14">
        <f>_xlfn.XLOOKUP(tblprogress[[#This Row],[Planet '#]],tblPlanets[Planet '#],tblPlanets[Distance])</f>
        <v>14.8</v>
      </c>
      <c r="O57" s="30" t="str">
        <f>IF(tblprogress[[#This Row],[Ship Speed]]=0,"",2*tblprogress[[#This Row],[Planets Distance]]/tblprogress[[#This Row],[Ship Speed]])</f>
        <v/>
      </c>
      <c r="P57" s="14">
        <f>_xlfn.XLOOKUP(tblprogress[[#This Row],[Planet '#]],tblPlanets[Planet '#],tblPlanets[Telescope])</f>
        <v>18</v>
      </c>
      <c r="Q57" s="14" t="str">
        <f>IF(
   _xlfn.XLOOKUP(tblprogress[[#This Row],[Planet '#]], tblPlanets[Planet '#], tblPlanets[Name])=tblprogress[[#This Row],[Name]],
   "Match",
   "Mismatch"
)</f>
        <v>Match</v>
      </c>
    </row>
    <row r="58" spans="1:17" x14ac:dyDescent="0.3">
      <c r="A58" s="14">
        <v>57</v>
      </c>
      <c r="B58" s="14" t="str">
        <f>_xlfn.XLOOKUP(tblprogress[[#This Row],[Planet '#]],tblPlanets[Planet '#],tblPlanets[Name])</f>
        <v>Nyota</v>
      </c>
      <c r="C58" s="70">
        <v>0</v>
      </c>
      <c r="D58" s="70">
        <v>0</v>
      </c>
      <c r="E58" s="70">
        <v>0</v>
      </c>
      <c r="F58" s="30">
        <f>_xlfn.XLOOKUP(tblprogress[[#This Row],[Mining Level]],tblUpgradeStats[Level],tblUpgradeStats[Mining Speed],0)</f>
        <v>0</v>
      </c>
      <c r="G58" s="30">
        <f>_xlfn.XLOOKUP(tblprogress[[#This Row],[Ship Level]],tblUpgradeStats[Level],tblUpgradeStats[Ship Speed],0)</f>
        <v>0</v>
      </c>
      <c r="H58" s="14">
        <f>_xlfn.XLOOKUP(tblprogress[[#This Row],[Cargo Level]],tblUpgradeStats[Level],tblUpgradeStats[Cargo Amount],0)</f>
        <v>0</v>
      </c>
      <c r="I58" s="31">
        <f>IFERROR(tblprogress[[#This Row],[Mining Rate]]*(2*tblprogress[[#This Row],[Planets Distance]]/tblprogress[[#This Row],[Ship Speed]])/tblprogress[[#This Row],[Cargo]],0)</f>
        <v>0</v>
      </c>
      <c r="J58" s="49">
        <f>IF(tblprogress[[#This Row],[Efficiency]]&lt;1,tblprogress[[#This Row],[Mining Rate]]*60,tblprogress[[#This Row],[Cargo]]/(2*tblprogress[[#This Row],[Planets Distance]]/tblprogress[[#This Row],[Ship Speed]])*60)</f>
        <v>0</v>
      </c>
      <c r="K58" s="15">
        <f>IFERROR(_xlfn.XLOOKUP(tblprogress[[#This Row],[Planet '#]],tblplanetvalue[Planet '#],tblplanetvalue[Total Worth])*tblprogress[[#This Row],[Deposit]]/60,0)</f>
        <v>0</v>
      </c>
      <c r="L58" s="54">
        <f>IF(tblprogress[[#This Row],[Deposit]]&gt;0,1,0)</f>
        <v>0</v>
      </c>
      <c r="M58" s="54">
        <f>IF(tblprogress[[#This Row],[Telescope]]&lt;=CurrentTelescope,1,0)</f>
        <v>0</v>
      </c>
      <c r="N58" s="14">
        <f>_xlfn.XLOOKUP(tblprogress[[#This Row],[Planet '#]],tblPlanets[Planet '#],tblPlanets[Distance])</f>
        <v>14.95</v>
      </c>
      <c r="O58" s="30" t="str">
        <f>IF(tblprogress[[#This Row],[Ship Speed]]=0,"",2*tblprogress[[#This Row],[Planets Distance]]/tblprogress[[#This Row],[Ship Speed]])</f>
        <v/>
      </c>
      <c r="P58" s="14">
        <f>_xlfn.XLOOKUP(tblprogress[[#This Row],[Planet '#]],tblPlanets[Planet '#],tblPlanets[Telescope])</f>
        <v>18</v>
      </c>
      <c r="Q58" s="14" t="str">
        <f>IF(
   _xlfn.XLOOKUP(tblprogress[[#This Row],[Planet '#]], tblPlanets[Planet '#], tblPlanets[Name])=tblprogress[[#This Row],[Name]],
   "Match",
   "Mismatch"
)</f>
        <v>Match</v>
      </c>
    </row>
    <row r="59" spans="1:17" x14ac:dyDescent="0.3">
      <c r="A59" s="14">
        <v>58</v>
      </c>
      <c r="B59" s="14" t="str">
        <f>_xlfn.XLOOKUP(tblprogress[[#This Row],[Planet '#]],tblPlanets[Planet '#],tblPlanets[Name])</f>
        <v>Doral</v>
      </c>
      <c r="C59" s="70">
        <v>0</v>
      </c>
      <c r="D59" s="70">
        <v>0</v>
      </c>
      <c r="E59" s="70">
        <v>0</v>
      </c>
      <c r="F59" s="30">
        <f>_xlfn.XLOOKUP(tblprogress[[#This Row],[Mining Level]],tblUpgradeStats[Level],tblUpgradeStats[Mining Speed],0)</f>
        <v>0</v>
      </c>
      <c r="G59" s="30">
        <f>_xlfn.XLOOKUP(tblprogress[[#This Row],[Ship Level]],tblUpgradeStats[Level],tblUpgradeStats[Ship Speed],0)</f>
        <v>0</v>
      </c>
      <c r="H59" s="14">
        <f>_xlfn.XLOOKUP(tblprogress[[#This Row],[Cargo Level]],tblUpgradeStats[Level],tblUpgradeStats[Cargo Amount],0)</f>
        <v>0</v>
      </c>
      <c r="I59" s="31">
        <f>IFERROR(tblprogress[[#This Row],[Mining Rate]]*(2*tblprogress[[#This Row],[Planets Distance]]/tblprogress[[#This Row],[Ship Speed]])/tblprogress[[#This Row],[Cargo]],0)</f>
        <v>0</v>
      </c>
      <c r="J59" s="49">
        <f>IF(tblprogress[[#This Row],[Efficiency]]&lt;1,tblprogress[[#This Row],[Mining Rate]]*60,tblprogress[[#This Row],[Cargo]]/(2*tblprogress[[#This Row],[Planets Distance]]/tblprogress[[#This Row],[Ship Speed]])*60)</f>
        <v>0</v>
      </c>
      <c r="K59" s="15">
        <f>IFERROR(_xlfn.XLOOKUP(tblprogress[[#This Row],[Planet '#]],tblplanetvalue[Planet '#],tblplanetvalue[Total Worth])*tblprogress[[#This Row],[Deposit]]/60,0)</f>
        <v>0</v>
      </c>
      <c r="L59" s="54">
        <f>IF(tblprogress[[#This Row],[Deposit]]&gt;0,1,0)</f>
        <v>0</v>
      </c>
      <c r="M59" s="54">
        <f>IF(tblprogress[[#This Row],[Telescope]]&lt;=CurrentTelescope,1,0)</f>
        <v>0</v>
      </c>
      <c r="N59" s="14">
        <f>_xlfn.XLOOKUP(tblprogress[[#This Row],[Planet '#]],tblPlanets[Planet '#],tblPlanets[Distance])</f>
        <v>15.1</v>
      </c>
      <c r="O59" s="30" t="str">
        <f>IF(tblprogress[[#This Row],[Ship Speed]]=0,"",2*tblprogress[[#This Row],[Planets Distance]]/tblprogress[[#This Row],[Ship Speed]])</f>
        <v/>
      </c>
      <c r="P59" s="14">
        <f>_xlfn.XLOOKUP(tblprogress[[#This Row],[Planet '#]],tblPlanets[Planet '#],tblPlanets[Telescope])</f>
        <v>18</v>
      </c>
      <c r="Q59" s="14" t="str">
        <f>IF(
   _xlfn.XLOOKUP(tblprogress[[#This Row],[Planet '#]], tblPlanets[Planet '#], tblPlanets[Name])=tblprogress[[#This Row],[Name]],
   "Match",
   "Mismatch"
)</f>
        <v>Match</v>
      </c>
    </row>
    <row r="60" spans="1:17" x14ac:dyDescent="0.3">
      <c r="A60" s="14">
        <v>59</v>
      </c>
      <c r="B60" s="14" t="str">
        <f>_xlfn.XLOOKUP(tblprogress[[#This Row],[Planet '#]],tblPlanets[Planet '#],tblPlanets[Name])</f>
        <v>Nikara</v>
      </c>
      <c r="C60" s="70">
        <v>0</v>
      </c>
      <c r="D60" s="70">
        <v>0</v>
      </c>
      <c r="E60" s="70">
        <v>0</v>
      </c>
      <c r="F60" s="30">
        <f>_xlfn.XLOOKUP(tblprogress[[#This Row],[Mining Level]],tblUpgradeStats[Level],tblUpgradeStats[Mining Speed],0)</f>
        <v>0</v>
      </c>
      <c r="G60" s="30">
        <f>_xlfn.XLOOKUP(tblprogress[[#This Row],[Ship Level]],tblUpgradeStats[Level],tblUpgradeStats[Ship Speed],0)</f>
        <v>0</v>
      </c>
      <c r="H60" s="14">
        <f>_xlfn.XLOOKUP(tblprogress[[#This Row],[Cargo Level]],tblUpgradeStats[Level],tblUpgradeStats[Cargo Amount],0)</f>
        <v>0</v>
      </c>
      <c r="I60" s="31">
        <f>IFERROR(tblprogress[[#This Row],[Mining Rate]]*(2*tblprogress[[#This Row],[Planets Distance]]/tblprogress[[#This Row],[Ship Speed]])/tblprogress[[#This Row],[Cargo]],0)</f>
        <v>0</v>
      </c>
      <c r="J60" s="49">
        <f>IF(tblprogress[[#This Row],[Efficiency]]&lt;1,tblprogress[[#This Row],[Mining Rate]]*60,tblprogress[[#This Row],[Cargo]]/(2*tblprogress[[#This Row],[Planets Distance]]/tblprogress[[#This Row],[Ship Speed]])*60)</f>
        <v>0</v>
      </c>
      <c r="K60" s="15">
        <f>IFERROR(_xlfn.XLOOKUP(tblprogress[[#This Row],[Planet '#]],tblplanetvalue[Planet '#],tblplanetvalue[Total Worth])*tblprogress[[#This Row],[Deposit]]/60,0)</f>
        <v>0</v>
      </c>
      <c r="L60" s="54">
        <f>IF(tblprogress[[#This Row],[Deposit]]&gt;0,1,0)</f>
        <v>0</v>
      </c>
      <c r="M60" s="54">
        <f>IF(tblprogress[[#This Row],[Telescope]]&lt;=CurrentTelescope,1,0)</f>
        <v>0</v>
      </c>
      <c r="N60" s="14">
        <f>_xlfn.XLOOKUP(tblprogress[[#This Row],[Planet '#]],tblPlanets[Planet '#],tblPlanets[Distance])</f>
        <v>15.25</v>
      </c>
      <c r="O60" s="30" t="str">
        <f>IF(tblprogress[[#This Row],[Ship Speed]]=0,"",2*tblprogress[[#This Row],[Planets Distance]]/tblprogress[[#This Row],[Ship Speed]])</f>
        <v/>
      </c>
      <c r="P60" s="14">
        <f>_xlfn.XLOOKUP(tblprogress[[#This Row],[Planet '#]],tblPlanets[Planet '#],tblPlanets[Telescope])</f>
        <v>19</v>
      </c>
      <c r="Q60" s="14" t="str">
        <f>IF(
   _xlfn.XLOOKUP(tblprogress[[#This Row],[Planet '#]], tblPlanets[Planet '#], tblPlanets[Name])=tblprogress[[#This Row],[Name]],
   "Match",
   "Mismatch"
)</f>
        <v>Match</v>
      </c>
    </row>
    <row r="61" spans="1:17" x14ac:dyDescent="0.3">
      <c r="A61" s="14">
        <v>60</v>
      </c>
      <c r="B61" s="14" t="str">
        <f>_xlfn.XLOOKUP(tblprogress[[#This Row],[Planet '#]],tblPlanets[Planet '#],tblPlanets[Name])</f>
        <v>Limbo</v>
      </c>
      <c r="C61" s="70">
        <v>0</v>
      </c>
      <c r="D61" s="70">
        <v>0</v>
      </c>
      <c r="E61" s="70">
        <v>0</v>
      </c>
      <c r="F61" s="30">
        <f>_xlfn.XLOOKUP(tblprogress[[#This Row],[Mining Level]],tblUpgradeStats[Level],tblUpgradeStats[Mining Speed],0)</f>
        <v>0</v>
      </c>
      <c r="G61" s="30">
        <f>_xlfn.XLOOKUP(tblprogress[[#This Row],[Ship Level]],tblUpgradeStats[Level],tblUpgradeStats[Ship Speed],0)</f>
        <v>0</v>
      </c>
      <c r="H61" s="14">
        <f>_xlfn.XLOOKUP(tblprogress[[#This Row],[Cargo Level]],tblUpgradeStats[Level],tblUpgradeStats[Cargo Amount],0)</f>
        <v>0</v>
      </c>
      <c r="I61" s="31">
        <f>IFERROR(tblprogress[[#This Row],[Mining Rate]]*(2*tblprogress[[#This Row],[Planets Distance]]/tblprogress[[#This Row],[Ship Speed]])/tblprogress[[#This Row],[Cargo]],0)</f>
        <v>0</v>
      </c>
      <c r="J61" s="49">
        <f>IF(tblprogress[[#This Row],[Efficiency]]&lt;1,tblprogress[[#This Row],[Mining Rate]]*60,tblprogress[[#This Row],[Cargo]]/(2*tblprogress[[#This Row],[Planets Distance]]/tblprogress[[#This Row],[Ship Speed]])*60)</f>
        <v>0</v>
      </c>
      <c r="K61" s="15">
        <f>IFERROR(_xlfn.XLOOKUP(tblprogress[[#This Row],[Planet '#]],tblplanetvalue[Planet '#],tblplanetvalue[Total Worth])*tblprogress[[#This Row],[Deposit]]/60,0)</f>
        <v>0</v>
      </c>
      <c r="L61" s="54">
        <f>IF(tblprogress[[#This Row],[Deposit]]&gt;0,1,0)</f>
        <v>0</v>
      </c>
      <c r="M61" s="54">
        <f>IF(tblprogress[[#This Row],[Telescope]]&lt;=CurrentTelescope,1,0)</f>
        <v>0</v>
      </c>
      <c r="N61" s="14">
        <f>_xlfn.XLOOKUP(tblprogress[[#This Row],[Planet '#]],tblPlanets[Planet '#],tblPlanets[Distance])</f>
        <v>15.4</v>
      </c>
      <c r="O61" s="30" t="str">
        <f>IF(tblprogress[[#This Row],[Ship Speed]]=0,"",2*tblprogress[[#This Row],[Planets Distance]]/tblprogress[[#This Row],[Ship Speed]])</f>
        <v/>
      </c>
      <c r="P61" s="14">
        <f>_xlfn.XLOOKUP(tblprogress[[#This Row],[Planet '#]],tblPlanets[Planet '#],tblPlanets[Telescope])</f>
        <v>19</v>
      </c>
      <c r="Q61" s="14" t="str">
        <f>IF(
   _xlfn.XLOOKUP(tblprogress[[#This Row],[Planet '#]], tblPlanets[Planet '#], tblPlanets[Name])=tblprogress[[#This Row],[Name]],
   "Match",
   "Mismatch"
)</f>
        <v>Match</v>
      </c>
    </row>
    <row r="62" spans="1:17" x14ac:dyDescent="0.3">
      <c r="A62" s="14">
        <v>61</v>
      </c>
      <c r="B62" s="14" t="str">
        <f>_xlfn.XLOOKUP(tblprogress[[#This Row],[Planet '#]],tblPlanets[Planet '#],tblPlanets[Name])</f>
        <v>Bob</v>
      </c>
      <c r="C62" s="70">
        <v>0</v>
      </c>
      <c r="D62" s="70">
        <v>0</v>
      </c>
      <c r="E62" s="70">
        <v>0</v>
      </c>
      <c r="F62" s="30">
        <f>_xlfn.XLOOKUP(tblprogress[[#This Row],[Mining Level]],tblUpgradeStats[Level],tblUpgradeStats[Mining Speed],0)</f>
        <v>0</v>
      </c>
      <c r="G62" s="30">
        <f>_xlfn.XLOOKUP(tblprogress[[#This Row],[Ship Level]],tblUpgradeStats[Level],tblUpgradeStats[Ship Speed],0)</f>
        <v>0</v>
      </c>
      <c r="H62" s="14">
        <f>_xlfn.XLOOKUP(tblprogress[[#This Row],[Cargo Level]],tblUpgradeStats[Level],tblUpgradeStats[Cargo Amount],0)</f>
        <v>0</v>
      </c>
      <c r="I62" s="31">
        <f>IFERROR(tblprogress[[#This Row],[Mining Rate]]*(2*tblprogress[[#This Row],[Planets Distance]]/tblprogress[[#This Row],[Ship Speed]])/tblprogress[[#This Row],[Cargo]],0)</f>
        <v>0</v>
      </c>
      <c r="J62" s="49">
        <f>IF(tblprogress[[#This Row],[Efficiency]]&lt;1,tblprogress[[#This Row],[Mining Rate]]*60,tblprogress[[#This Row],[Cargo]]/(2*tblprogress[[#This Row],[Planets Distance]]/tblprogress[[#This Row],[Ship Speed]])*60)</f>
        <v>0</v>
      </c>
      <c r="K62" s="15">
        <f>IFERROR(_xlfn.XLOOKUP(tblprogress[[#This Row],[Planet '#]],tblplanetvalue[Planet '#],tblplanetvalue[Total Worth])*tblprogress[[#This Row],[Deposit]]/60,0)</f>
        <v>0</v>
      </c>
      <c r="L62" s="54">
        <f>IF(tblprogress[[#This Row],[Deposit]]&gt;0,1,0)</f>
        <v>0</v>
      </c>
      <c r="M62" s="54">
        <f>IF(tblprogress[[#This Row],[Telescope]]&lt;=CurrentTelescope,1,0)</f>
        <v>0</v>
      </c>
      <c r="N62" s="14">
        <f>_xlfn.XLOOKUP(tblprogress[[#This Row],[Planet '#]],tblPlanets[Planet '#],tblPlanets[Distance])</f>
        <v>15.55</v>
      </c>
      <c r="O62" s="30" t="str">
        <f>IF(tblprogress[[#This Row],[Ship Speed]]=0,"",2*tblprogress[[#This Row],[Planets Distance]]/tblprogress[[#This Row],[Ship Speed]])</f>
        <v/>
      </c>
      <c r="P62" s="14">
        <f>_xlfn.XLOOKUP(tblprogress[[#This Row],[Planet '#]],tblPlanets[Planet '#],tblPlanets[Telescope])</f>
        <v>19</v>
      </c>
      <c r="Q62" s="14" t="str">
        <f>IF(
   _xlfn.XLOOKUP(tblprogress[[#This Row],[Planet '#]], tblPlanets[Planet '#], tblPlanets[Name])=tblprogress[[#This Row],[Name]],
   "Match",
   "Mismatch"
)</f>
        <v>Match</v>
      </c>
    </row>
    <row r="63" spans="1:17" x14ac:dyDescent="0.3">
      <c r="A63" s="14">
        <v>62</v>
      </c>
      <c r="B63" s="14" t="str">
        <f>_xlfn.XLOOKUP(tblprogress[[#This Row],[Planet '#]],tblPlanets[Planet '#],tblPlanets[Name])</f>
        <v>Midas</v>
      </c>
      <c r="C63" s="70">
        <v>0</v>
      </c>
      <c r="D63" s="70">
        <v>0</v>
      </c>
      <c r="E63" s="70">
        <v>0</v>
      </c>
      <c r="F63" s="30">
        <f>_xlfn.XLOOKUP(tblprogress[[#This Row],[Mining Level]],tblUpgradeStats[Level],tblUpgradeStats[Mining Speed],0)</f>
        <v>0</v>
      </c>
      <c r="G63" s="30">
        <f>_xlfn.XLOOKUP(tblprogress[[#This Row],[Ship Level]],tblUpgradeStats[Level],tblUpgradeStats[Ship Speed],0)</f>
        <v>0</v>
      </c>
      <c r="H63" s="14">
        <f>_xlfn.XLOOKUP(tblprogress[[#This Row],[Cargo Level]],tblUpgradeStats[Level],tblUpgradeStats[Cargo Amount],0)</f>
        <v>0</v>
      </c>
      <c r="I63" s="31">
        <f>IFERROR(tblprogress[[#This Row],[Mining Rate]]*(2*tblprogress[[#This Row],[Planets Distance]]/tblprogress[[#This Row],[Ship Speed]])/tblprogress[[#This Row],[Cargo]],0)</f>
        <v>0</v>
      </c>
      <c r="J63" s="49">
        <f>IF(tblprogress[[#This Row],[Efficiency]]&lt;1,tblprogress[[#This Row],[Mining Rate]]*60,tblprogress[[#This Row],[Cargo]]/(2*tblprogress[[#This Row],[Planets Distance]]/tblprogress[[#This Row],[Ship Speed]])*60)</f>
        <v>0</v>
      </c>
      <c r="K63" s="15">
        <f>IFERROR(_xlfn.XLOOKUP(tblprogress[[#This Row],[Planet '#]],tblplanetvalue[Planet '#],tblplanetvalue[Total Worth])*tblprogress[[#This Row],[Deposit]]/60,0)</f>
        <v>0</v>
      </c>
      <c r="L63" s="54">
        <f>IF(tblprogress[[#This Row],[Deposit]]&gt;0,1,0)</f>
        <v>0</v>
      </c>
      <c r="M63" s="54">
        <f>IF(tblprogress[[#This Row],[Telescope]]&lt;=CurrentTelescope,1,0)</f>
        <v>0</v>
      </c>
      <c r="N63" s="14">
        <f>_xlfn.XLOOKUP(tblprogress[[#This Row],[Planet '#]],tblPlanets[Planet '#],tblPlanets[Distance])</f>
        <v>15.7</v>
      </c>
      <c r="O63" s="30" t="str">
        <f>IF(tblprogress[[#This Row],[Ship Speed]]=0,"",2*tblprogress[[#This Row],[Planets Distance]]/tblprogress[[#This Row],[Ship Speed]])</f>
        <v/>
      </c>
      <c r="P63" s="14">
        <f>_xlfn.XLOOKUP(tblprogress[[#This Row],[Planet '#]],tblPlanets[Planet '#],tblPlanets[Telescope])</f>
        <v>20</v>
      </c>
      <c r="Q63" s="14" t="str">
        <f>IF(
   _xlfn.XLOOKUP(tblprogress[[#This Row],[Planet '#]], tblPlanets[Planet '#], tblPlanets[Name])=tblprogress[[#This Row],[Name]],
   "Match",
   "Mismatch"
)</f>
        <v>Match</v>
      </c>
    </row>
    <row r="64" spans="1:17" x14ac:dyDescent="0.3">
      <c r="A64" s="14">
        <v>63</v>
      </c>
      <c r="B64" s="14" t="str">
        <f>_xlfn.XLOOKUP(tblprogress[[#This Row],[Planet '#]],tblPlanets[Planet '#],tblPlanets[Name])</f>
        <v>Antigone</v>
      </c>
      <c r="C64" s="70">
        <v>0</v>
      </c>
      <c r="D64" s="70">
        <v>0</v>
      </c>
      <c r="E64" s="70">
        <v>0</v>
      </c>
      <c r="F64" s="30">
        <f>_xlfn.XLOOKUP(tblprogress[[#This Row],[Mining Level]],tblUpgradeStats[Level],tblUpgradeStats[Mining Speed],0)</f>
        <v>0</v>
      </c>
      <c r="G64" s="30">
        <f>_xlfn.XLOOKUP(tblprogress[[#This Row],[Ship Level]],tblUpgradeStats[Level],tblUpgradeStats[Ship Speed],0)</f>
        <v>0</v>
      </c>
      <c r="H64" s="14">
        <f>_xlfn.XLOOKUP(tblprogress[[#This Row],[Cargo Level]],tblUpgradeStats[Level],tblUpgradeStats[Cargo Amount],0)</f>
        <v>0</v>
      </c>
      <c r="I64" s="31">
        <f>IFERROR(tblprogress[[#This Row],[Mining Rate]]*(2*tblprogress[[#This Row],[Planets Distance]]/tblprogress[[#This Row],[Ship Speed]])/tblprogress[[#This Row],[Cargo]],0)</f>
        <v>0</v>
      </c>
      <c r="J64" s="49">
        <f>IF(tblprogress[[#This Row],[Efficiency]]&lt;1,tblprogress[[#This Row],[Mining Rate]]*60,tblprogress[[#This Row],[Cargo]]/(2*tblprogress[[#This Row],[Planets Distance]]/tblprogress[[#This Row],[Ship Speed]])*60)</f>
        <v>0</v>
      </c>
      <c r="K64" s="15">
        <f>IFERROR(_xlfn.XLOOKUP(tblprogress[[#This Row],[Planet '#]],tblplanetvalue[Planet '#],tblplanetvalue[Total Worth])*tblprogress[[#This Row],[Deposit]]/60,0)</f>
        <v>0</v>
      </c>
      <c r="L64" s="54">
        <f>IF(tblprogress[[#This Row],[Deposit]]&gt;0,1,0)</f>
        <v>0</v>
      </c>
      <c r="M64" s="54">
        <f>IF(tblprogress[[#This Row],[Telescope]]&lt;=CurrentTelescope,1,0)</f>
        <v>0</v>
      </c>
      <c r="N64" s="14">
        <f>_xlfn.XLOOKUP(tblprogress[[#This Row],[Planet '#]],tblPlanets[Planet '#],tblPlanets[Distance])</f>
        <v>15.85</v>
      </c>
      <c r="O64" s="30" t="str">
        <f>IF(tblprogress[[#This Row],[Ship Speed]]=0,"",2*tblprogress[[#This Row],[Planets Distance]]/tblprogress[[#This Row],[Ship Speed]])</f>
        <v/>
      </c>
      <c r="P64" s="14">
        <f>_xlfn.XLOOKUP(tblprogress[[#This Row],[Planet '#]],tblPlanets[Planet '#],tblPlanets[Telescope])</f>
        <v>20</v>
      </c>
      <c r="Q64" s="14" t="str">
        <f>IF(
   _xlfn.XLOOKUP(tblprogress[[#This Row],[Planet '#]], tblPlanets[Planet '#], tblPlanets[Name])=tblprogress[[#This Row],[Name]],
   "Match",
   "Mismatch"
)</f>
        <v>Match</v>
      </c>
    </row>
    <row r="65" spans="1:17" x14ac:dyDescent="0.3">
      <c r="A65" s="14">
        <v>64</v>
      </c>
      <c r="B65" s="14" t="str">
        <f>_xlfn.XLOOKUP(tblprogress[[#This Row],[Planet '#]],tblPlanets[Planet '#],tblPlanets[Name])</f>
        <v>Hecate</v>
      </c>
      <c r="C65" s="70">
        <v>0</v>
      </c>
      <c r="D65" s="70">
        <v>0</v>
      </c>
      <c r="E65" s="70">
        <v>0</v>
      </c>
      <c r="F65" s="30">
        <f>_xlfn.XLOOKUP(tblprogress[[#This Row],[Mining Level]],tblUpgradeStats[Level],tblUpgradeStats[Mining Speed],0)</f>
        <v>0</v>
      </c>
      <c r="G65" s="30">
        <f>_xlfn.XLOOKUP(tblprogress[[#This Row],[Ship Level]],tblUpgradeStats[Level],tblUpgradeStats[Ship Speed],0)</f>
        <v>0</v>
      </c>
      <c r="H65" s="14">
        <f>_xlfn.XLOOKUP(tblprogress[[#This Row],[Cargo Level]],tblUpgradeStats[Level],tblUpgradeStats[Cargo Amount],0)</f>
        <v>0</v>
      </c>
      <c r="I65" s="31">
        <f>IFERROR(tblprogress[[#This Row],[Mining Rate]]*(2*tblprogress[[#This Row],[Planets Distance]]/tblprogress[[#This Row],[Ship Speed]])/tblprogress[[#This Row],[Cargo]],0)</f>
        <v>0</v>
      </c>
      <c r="J65" s="49">
        <f>IF(tblprogress[[#This Row],[Efficiency]]&lt;1,tblprogress[[#This Row],[Mining Rate]]*60,tblprogress[[#This Row],[Cargo]]/(2*tblprogress[[#This Row],[Planets Distance]]/tblprogress[[#This Row],[Ship Speed]])*60)</f>
        <v>0</v>
      </c>
      <c r="K65" s="15">
        <f>IFERROR(_xlfn.XLOOKUP(tblprogress[[#This Row],[Planet '#]],tblplanetvalue[Planet '#],tblplanetvalue[Total Worth])*tblprogress[[#This Row],[Deposit]]/60,0)</f>
        <v>0</v>
      </c>
      <c r="L65" s="54">
        <f>IF(tblprogress[[#This Row],[Deposit]]&gt;0,1,0)</f>
        <v>0</v>
      </c>
      <c r="M65" s="54">
        <f>IF(tblprogress[[#This Row],[Telescope]]&lt;=CurrentTelescope,1,0)</f>
        <v>0</v>
      </c>
      <c r="N65" s="14">
        <f>_xlfn.XLOOKUP(tblprogress[[#This Row],[Planet '#]],tblPlanets[Planet '#],tblPlanets[Distance])</f>
        <v>16</v>
      </c>
      <c r="O65" s="30" t="str">
        <f>IF(tblprogress[[#This Row],[Ship Speed]]=0,"",2*tblprogress[[#This Row],[Planets Distance]]/tblprogress[[#This Row],[Ship Speed]])</f>
        <v/>
      </c>
      <c r="P65" s="14">
        <f>_xlfn.XLOOKUP(tblprogress[[#This Row],[Planet '#]],tblPlanets[Planet '#],tblPlanets[Telescope])</f>
        <v>20</v>
      </c>
      <c r="Q65" s="14" t="str">
        <f>IF(
   _xlfn.XLOOKUP(tblprogress[[#This Row],[Planet '#]], tblPlanets[Planet '#], tblPlanets[Name])=tblprogress[[#This Row],[Name]],
   "Match",
   "Mismatch"
)</f>
        <v>Match</v>
      </c>
    </row>
    <row r="66" spans="1:17" x14ac:dyDescent="0.3">
      <c r="A66" s="14">
        <v>65</v>
      </c>
      <c r="B66" s="14" t="str">
        <f>_xlfn.XLOOKUP(tblprogress[[#This Row],[Planet '#]],tblPlanets[Planet '#],tblPlanets[Name])</f>
        <v>Sterop</v>
      </c>
      <c r="C66" s="70">
        <v>0</v>
      </c>
      <c r="D66" s="70">
        <v>0</v>
      </c>
      <c r="E66" s="70">
        <v>0</v>
      </c>
      <c r="F66" s="30">
        <f>_xlfn.XLOOKUP(tblprogress[[#This Row],[Mining Level]],tblUpgradeStats[Level],tblUpgradeStats[Mining Speed],0)</f>
        <v>0</v>
      </c>
      <c r="G66" s="30">
        <f>_xlfn.XLOOKUP(tblprogress[[#This Row],[Ship Level]],tblUpgradeStats[Level],tblUpgradeStats[Ship Speed],0)</f>
        <v>0</v>
      </c>
      <c r="H66" s="14">
        <f>_xlfn.XLOOKUP(tblprogress[[#This Row],[Cargo Level]],tblUpgradeStats[Level],tblUpgradeStats[Cargo Amount],0)</f>
        <v>0</v>
      </c>
      <c r="I66" s="31">
        <f>IFERROR(tblprogress[[#This Row],[Mining Rate]]*(2*tblprogress[[#This Row],[Planets Distance]]/tblprogress[[#This Row],[Ship Speed]])/tblprogress[[#This Row],[Cargo]],0)</f>
        <v>0</v>
      </c>
      <c r="J66" s="49">
        <f>IF(tblprogress[[#This Row],[Efficiency]]&lt;1,tblprogress[[#This Row],[Mining Rate]]*60,tblprogress[[#This Row],[Cargo]]/(2*tblprogress[[#This Row],[Planets Distance]]/tblprogress[[#This Row],[Ship Speed]])*60)</f>
        <v>0</v>
      </c>
      <c r="K66" s="15">
        <f>IFERROR(_xlfn.XLOOKUP(tblprogress[[#This Row],[Planet '#]],tblplanetvalue[Planet '#],tblplanetvalue[Total Worth])*tblprogress[[#This Row],[Deposit]]/60,0)</f>
        <v>0</v>
      </c>
      <c r="L66" s="54">
        <f>IF(tblprogress[[#This Row],[Deposit]]&gt;0,1,0)</f>
        <v>0</v>
      </c>
      <c r="M66" s="54">
        <f>IF(tblprogress[[#This Row],[Telescope]]&lt;=CurrentTelescope,1,0)</f>
        <v>0</v>
      </c>
      <c r="N66" s="14">
        <f>_xlfn.XLOOKUP(tblprogress[[#This Row],[Planet '#]],tblPlanets[Planet '#],tblPlanets[Distance])</f>
        <v>16.149999999999999</v>
      </c>
      <c r="O66" s="30" t="str">
        <f>IF(tblprogress[[#This Row],[Ship Speed]]=0,"",2*tblprogress[[#This Row],[Planets Distance]]/tblprogress[[#This Row],[Ship Speed]])</f>
        <v/>
      </c>
      <c r="P66" s="14">
        <f>_xlfn.XLOOKUP(tblprogress[[#This Row],[Planet '#]],tblPlanets[Planet '#],tblPlanets[Telescope])</f>
        <v>21</v>
      </c>
      <c r="Q66" s="14" t="str">
        <f>IF(
   _xlfn.XLOOKUP(tblprogress[[#This Row],[Planet '#]], tblPlanets[Planet '#], tblPlanets[Name])=tblprogress[[#This Row],[Name]],
   "Match",
   "Mismatch"
)</f>
        <v>Match</v>
      </c>
    </row>
    <row r="67" spans="1:17" x14ac:dyDescent="0.3">
      <c r="A67" s="14">
        <v>66</v>
      </c>
      <c r="B67" s="14" t="str">
        <f>_xlfn.XLOOKUP(tblprogress[[#This Row],[Planet '#]],tblPlanets[Planet '#],tblPlanets[Name])</f>
        <v>Lavinia</v>
      </c>
      <c r="C67" s="70">
        <v>0</v>
      </c>
      <c r="D67" s="70">
        <v>0</v>
      </c>
      <c r="E67" s="70">
        <v>0</v>
      </c>
      <c r="F67" s="30">
        <f>_xlfn.XLOOKUP(tblprogress[[#This Row],[Mining Level]],tblUpgradeStats[Level],tblUpgradeStats[Mining Speed],0)</f>
        <v>0</v>
      </c>
      <c r="G67" s="30">
        <f>_xlfn.XLOOKUP(tblprogress[[#This Row],[Ship Level]],tblUpgradeStats[Level],tblUpgradeStats[Ship Speed],0)</f>
        <v>0</v>
      </c>
      <c r="H67" s="14">
        <f>_xlfn.XLOOKUP(tblprogress[[#This Row],[Cargo Level]],tblUpgradeStats[Level],tblUpgradeStats[Cargo Amount],0)</f>
        <v>0</v>
      </c>
      <c r="I67" s="31">
        <f>IFERROR(tblprogress[[#This Row],[Mining Rate]]*(2*tblprogress[[#This Row],[Planets Distance]]/tblprogress[[#This Row],[Ship Speed]])/tblprogress[[#This Row],[Cargo]],0)</f>
        <v>0</v>
      </c>
      <c r="J67" s="49">
        <f>IF(tblprogress[[#This Row],[Efficiency]]&lt;1,tblprogress[[#This Row],[Mining Rate]]*60,tblprogress[[#This Row],[Cargo]]/(2*tblprogress[[#This Row],[Planets Distance]]/tblprogress[[#This Row],[Ship Speed]])*60)</f>
        <v>0</v>
      </c>
      <c r="K67" s="15">
        <f>IFERROR(_xlfn.XLOOKUP(tblprogress[[#This Row],[Planet '#]],tblplanetvalue[Planet '#],tblplanetvalue[Total Worth])*tblprogress[[#This Row],[Deposit]]/60,0)</f>
        <v>0</v>
      </c>
      <c r="L67" s="54">
        <f>IF(tblprogress[[#This Row],[Deposit]]&gt;0,1,0)</f>
        <v>0</v>
      </c>
      <c r="M67" s="54">
        <f>IF(tblprogress[[#This Row],[Telescope]]&lt;=CurrentTelescope,1,0)</f>
        <v>0</v>
      </c>
      <c r="N67" s="14">
        <f>_xlfn.XLOOKUP(tblprogress[[#This Row],[Planet '#]],tblPlanets[Planet '#],tblPlanets[Distance])</f>
        <v>16.3</v>
      </c>
      <c r="O67" s="30" t="str">
        <f>IF(tblprogress[[#This Row],[Ship Speed]]=0,"",2*tblprogress[[#This Row],[Planets Distance]]/tblprogress[[#This Row],[Ship Speed]])</f>
        <v/>
      </c>
      <c r="P67" s="14">
        <f>_xlfn.XLOOKUP(tblprogress[[#This Row],[Planet '#]],tblPlanets[Planet '#],tblPlanets[Telescope])</f>
        <v>21</v>
      </c>
      <c r="Q67" s="14" t="str">
        <f>IF(
   _xlfn.XLOOKUP(tblprogress[[#This Row],[Planet '#]], tblPlanets[Planet '#], tblPlanets[Name])=tblprogress[[#This Row],[Name]],
   "Match",
   "Mismatch"
)</f>
        <v>Match</v>
      </c>
    </row>
    <row r="68" spans="1:17" x14ac:dyDescent="0.3">
      <c r="A68" s="14">
        <v>67</v>
      </c>
      <c r="B68" s="14" t="str">
        <f>_xlfn.XLOOKUP(tblprogress[[#This Row],[Planet '#]],tblPlanets[Planet '#],tblPlanets[Name])</f>
        <v>Ren</v>
      </c>
      <c r="C68" s="70">
        <v>0</v>
      </c>
      <c r="D68" s="70">
        <v>0</v>
      </c>
      <c r="E68" s="70">
        <v>0</v>
      </c>
      <c r="F68" s="30">
        <f>_xlfn.XLOOKUP(tblprogress[[#This Row],[Mining Level]],tblUpgradeStats[Level],tblUpgradeStats[Mining Speed],0)</f>
        <v>0</v>
      </c>
      <c r="G68" s="30">
        <f>_xlfn.XLOOKUP(tblprogress[[#This Row],[Ship Level]],tblUpgradeStats[Level],tblUpgradeStats[Ship Speed],0)</f>
        <v>0</v>
      </c>
      <c r="H68" s="14">
        <f>_xlfn.XLOOKUP(tblprogress[[#This Row],[Cargo Level]],tblUpgradeStats[Level],tblUpgradeStats[Cargo Amount],0)</f>
        <v>0</v>
      </c>
      <c r="I68" s="31">
        <f>IFERROR(tblprogress[[#This Row],[Mining Rate]]*(2*tblprogress[[#This Row],[Planets Distance]]/tblprogress[[#This Row],[Ship Speed]])/tblprogress[[#This Row],[Cargo]],0)</f>
        <v>0</v>
      </c>
      <c r="J68" s="49">
        <f>IF(tblprogress[[#This Row],[Efficiency]]&lt;1,tblprogress[[#This Row],[Mining Rate]]*60,tblprogress[[#This Row],[Cargo]]/(2*tblprogress[[#This Row],[Planets Distance]]/tblprogress[[#This Row],[Ship Speed]])*60)</f>
        <v>0</v>
      </c>
      <c r="K68" s="15">
        <f>IFERROR(_xlfn.XLOOKUP(tblprogress[[#This Row],[Planet '#]],tblplanetvalue[Planet '#],tblplanetvalue[Total Worth])*tblprogress[[#This Row],[Deposit]]/60,0)</f>
        <v>0</v>
      </c>
      <c r="L68" s="54">
        <f>IF(tblprogress[[#This Row],[Deposit]]&gt;0,1,0)</f>
        <v>0</v>
      </c>
      <c r="M68" s="54">
        <f>IF(tblprogress[[#This Row],[Telescope]]&lt;=CurrentTelescope,1,0)</f>
        <v>0</v>
      </c>
      <c r="N68" s="14">
        <f>_xlfn.XLOOKUP(tblprogress[[#This Row],[Planet '#]],tblPlanets[Planet '#],tblPlanets[Distance])</f>
        <v>16.45</v>
      </c>
      <c r="O68" s="30" t="str">
        <f>IF(tblprogress[[#This Row],[Ship Speed]]=0,"",2*tblprogress[[#This Row],[Planets Distance]]/tblprogress[[#This Row],[Ship Speed]])</f>
        <v/>
      </c>
      <c r="P68" s="14">
        <f>_xlfn.XLOOKUP(tblprogress[[#This Row],[Planet '#]],tblPlanets[Planet '#],tblPlanets[Telescope])</f>
        <v>21</v>
      </c>
      <c r="Q68" s="14" t="str">
        <f>IF(
   _xlfn.XLOOKUP(tblprogress[[#This Row],[Planet '#]], tblPlanets[Planet '#], tblPlanets[Name])=tblprogress[[#This Row],[Name]],
   "Match",
   "Mismatch"
)</f>
        <v>Match</v>
      </c>
    </row>
    <row r="69" spans="1:17" x14ac:dyDescent="0.3">
      <c r="A69" s="14">
        <v>68</v>
      </c>
      <c r="B69" s="14" t="str">
        <f>_xlfn.XLOOKUP(tblprogress[[#This Row],[Planet '#]],tblPlanets[Planet '#],tblPlanets[Name])</f>
        <v>Gorgons</v>
      </c>
      <c r="C69" s="70">
        <v>0</v>
      </c>
      <c r="D69" s="70">
        <v>0</v>
      </c>
      <c r="E69" s="70">
        <v>0</v>
      </c>
      <c r="F69" s="30">
        <f>_xlfn.XLOOKUP(tblprogress[[#This Row],[Mining Level]],tblUpgradeStats[Level],tblUpgradeStats[Mining Speed],0)</f>
        <v>0</v>
      </c>
      <c r="G69" s="30">
        <f>_xlfn.XLOOKUP(tblprogress[[#This Row],[Ship Level]],tblUpgradeStats[Level],tblUpgradeStats[Ship Speed],0)</f>
        <v>0</v>
      </c>
      <c r="H69" s="14">
        <f>_xlfn.XLOOKUP(tblprogress[[#This Row],[Cargo Level]],tblUpgradeStats[Level],tblUpgradeStats[Cargo Amount],0)</f>
        <v>0</v>
      </c>
      <c r="I69" s="31">
        <f>IFERROR(tblprogress[[#This Row],[Mining Rate]]*(2*tblprogress[[#This Row],[Planets Distance]]/tblprogress[[#This Row],[Ship Speed]])/tblprogress[[#This Row],[Cargo]],0)</f>
        <v>0</v>
      </c>
      <c r="J69" s="49">
        <f>IF(tblprogress[[#This Row],[Efficiency]]&lt;1,tblprogress[[#This Row],[Mining Rate]]*60,tblprogress[[#This Row],[Cargo]]/(2*tblprogress[[#This Row],[Planets Distance]]/tblprogress[[#This Row],[Ship Speed]])*60)</f>
        <v>0</v>
      </c>
      <c r="K69" s="15">
        <f>IFERROR(_xlfn.XLOOKUP(tblprogress[[#This Row],[Planet '#]],tblplanetvalue[Planet '#],tblplanetvalue[Total Worth])*tblprogress[[#This Row],[Deposit]]/60,0)</f>
        <v>0</v>
      </c>
      <c r="L69" s="54">
        <f>IF(tblprogress[[#This Row],[Deposit]]&gt;0,1,0)</f>
        <v>0</v>
      </c>
      <c r="M69" s="54">
        <f>IF(tblprogress[[#This Row],[Telescope]]&lt;=CurrentTelescope,1,0)</f>
        <v>0</v>
      </c>
      <c r="N69" s="14">
        <f>_xlfn.XLOOKUP(tblprogress[[#This Row],[Planet '#]],tblPlanets[Planet '#],tblPlanets[Distance])</f>
        <v>16.600000000000001</v>
      </c>
      <c r="O69" s="30" t="str">
        <f>IF(tblprogress[[#This Row],[Ship Speed]]=0,"",2*tblprogress[[#This Row],[Planets Distance]]/tblprogress[[#This Row],[Ship Speed]])</f>
        <v/>
      </c>
      <c r="P69" s="14">
        <f>_xlfn.XLOOKUP(tblprogress[[#This Row],[Planet '#]],tblPlanets[Planet '#],tblPlanets[Telescope])</f>
        <v>22</v>
      </c>
      <c r="Q69" s="14" t="str">
        <f>IF(
   _xlfn.XLOOKUP(tblprogress[[#This Row],[Planet '#]], tblPlanets[Planet '#], tblPlanets[Name])=tblprogress[[#This Row],[Name]],
   "Match",
   "Mismatch"
)</f>
        <v>Match</v>
      </c>
    </row>
    <row r="70" spans="1:17" x14ac:dyDescent="0.3">
      <c r="A70" s="14">
        <v>69</v>
      </c>
      <c r="B70" s="14" t="str">
        <f>_xlfn.XLOOKUP(tblprogress[[#This Row],[Planet '#]],tblPlanets[Planet '#],tblPlanets[Name])</f>
        <v>Pontus</v>
      </c>
      <c r="C70" s="70">
        <v>0</v>
      </c>
      <c r="D70" s="70">
        <v>0</v>
      </c>
      <c r="E70" s="70">
        <v>0</v>
      </c>
      <c r="F70" s="30">
        <f>_xlfn.XLOOKUP(tblprogress[[#This Row],[Mining Level]],tblUpgradeStats[Level],tblUpgradeStats[Mining Speed],0)</f>
        <v>0</v>
      </c>
      <c r="G70" s="30">
        <f>_xlfn.XLOOKUP(tblprogress[[#This Row],[Ship Level]],tblUpgradeStats[Level],tblUpgradeStats[Ship Speed],0)</f>
        <v>0</v>
      </c>
      <c r="H70" s="14">
        <f>_xlfn.XLOOKUP(tblprogress[[#This Row],[Cargo Level]],tblUpgradeStats[Level],tblUpgradeStats[Cargo Amount],0)</f>
        <v>0</v>
      </c>
      <c r="I70" s="31">
        <f>IFERROR(tblprogress[[#This Row],[Mining Rate]]*(2*tblprogress[[#This Row],[Planets Distance]]/tblprogress[[#This Row],[Ship Speed]])/tblprogress[[#This Row],[Cargo]],0)</f>
        <v>0</v>
      </c>
      <c r="J70" s="49">
        <f>IF(tblprogress[[#This Row],[Efficiency]]&lt;1,tblprogress[[#This Row],[Mining Rate]]*60,tblprogress[[#This Row],[Cargo]]/(2*tblprogress[[#This Row],[Planets Distance]]/tblprogress[[#This Row],[Ship Speed]])*60)</f>
        <v>0</v>
      </c>
      <c r="K70" s="15">
        <f>IFERROR(_xlfn.XLOOKUP(tblprogress[[#This Row],[Planet '#]],tblplanetvalue[Planet '#],tblplanetvalue[Total Worth])*tblprogress[[#This Row],[Deposit]]/60,0)</f>
        <v>0</v>
      </c>
      <c r="L70" s="54">
        <f>IF(tblprogress[[#This Row],[Deposit]]&gt;0,1,0)</f>
        <v>0</v>
      </c>
      <c r="M70" s="54">
        <f>IF(tblprogress[[#This Row],[Telescope]]&lt;=CurrentTelescope,1,0)</f>
        <v>0</v>
      </c>
      <c r="N70" s="14">
        <f>_xlfn.XLOOKUP(tblprogress[[#This Row],[Planet '#]],tblPlanets[Planet '#],tblPlanets[Distance])</f>
        <v>16.75</v>
      </c>
      <c r="O70" s="30" t="str">
        <f>IF(tblprogress[[#This Row],[Ship Speed]]=0,"",2*tblprogress[[#This Row],[Planets Distance]]/tblprogress[[#This Row],[Ship Speed]])</f>
        <v/>
      </c>
      <c r="P70" s="14">
        <f>_xlfn.XLOOKUP(tblprogress[[#This Row],[Planet '#]],tblPlanets[Planet '#],tblPlanets[Telescope])</f>
        <v>22</v>
      </c>
      <c r="Q70" s="14" t="str">
        <f>IF(
   _xlfn.XLOOKUP(tblprogress[[#This Row],[Planet '#]], tblPlanets[Planet '#], tblPlanets[Name])=tblprogress[[#This Row],[Name]],
   "Match",
   "Mismatch"
)</f>
        <v>Match</v>
      </c>
    </row>
    <row r="71" spans="1:17" x14ac:dyDescent="0.3">
      <c r="A71" s="14">
        <v>70</v>
      </c>
      <c r="B71" s="14" t="str">
        <f>_xlfn.XLOOKUP(tblprogress[[#This Row],[Planet '#]],tblPlanets[Planet '#],tblPlanets[Name])</f>
        <v>Leto</v>
      </c>
      <c r="C71" s="70">
        <v>0</v>
      </c>
      <c r="D71" s="70">
        <v>0</v>
      </c>
      <c r="E71" s="70">
        <v>0</v>
      </c>
      <c r="F71" s="30">
        <f>_xlfn.XLOOKUP(tblprogress[[#This Row],[Mining Level]],tblUpgradeStats[Level],tblUpgradeStats[Mining Speed],0)</f>
        <v>0</v>
      </c>
      <c r="G71" s="30">
        <f>_xlfn.XLOOKUP(tblprogress[[#This Row],[Ship Level]],tblUpgradeStats[Level],tblUpgradeStats[Ship Speed],0)</f>
        <v>0</v>
      </c>
      <c r="H71" s="14">
        <f>_xlfn.XLOOKUP(tblprogress[[#This Row],[Cargo Level]],tblUpgradeStats[Level],tblUpgradeStats[Cargo Amount],0)</f>
        <v>0</v>
      </c>
      <c r="I71" s="31">
        <f>IFERROR(tblprogress[[#This Row],[Mining Rate]]*(2*tblprogress[[#This Row],[Planets Distance]]/tblprogress[[#This Row],[Ship Speed]])/tblprogress[[#This Row],[Cargo]],0)</f>
        <v>0</v>
      </c>
      <c r="J71" s="49">
        <f>IF(tblprogress[[#This Row],[Efficiency]]&lt;1,tblprogress[[#This Row],[Mining Rate]]*60,tblprogress[[#This Row],[Cargo]]/(2*tblprogress[[#This Row],[Planets Distance]]/tblprogress[[#This Row],[Ship Speed]])*60)</f>
        <v>0</v>
      </c>
      <c r="K71" s="15">
        <f>IFERROR(_xlfn.XLOOKUP(tblprogress[[#This Row],[Planet '#]],tblplanetvalue[Planet '#],tblplanetvalue[Total Worth])*tblprogress[[#This Row],[Deposit]]/60,0)</f>
        <v>0</v>
      </c>
      <c r="L71" s="54">
        <f>IF(tblprogress[[#This Row],[Deposit]]&gt;0,1,0)</f>
        <v>0</v>
      </c>
      <c r="M71" s="54">
        <f>IF(tblprogress[[#This Row],[Telescope]]&lt;=CurrentTelescope,1,0)</f>
        <v>0</v>
      </c>
      <c r="N71" s="14">
        <f>_xlfn.XLOOKUP(tblprogress[[#This Row],[Planet '#]],tblPlanets[Planet '#],tblPlanets[Distance])</f>
        <v>16.899999999999999</v>
      </c>
      <c r="O71" s="30" t="str">
        <f>IF(tblprogress[[#This Row],[Ship Speed]]=0,"",2*tblprogress[[#This Row],[Planets Distance]]/tblprogress[[#This Row],[Ship Speed]])</f>
        <v/>
      </c>
      <c r="P71" s="14">
        <f>_xlfn.XLOOKUP(tblprogress[[#This Row],[Planet '#]],tblPlanets[Planet '#],tblPlanets[Telescope])</f>
        <v>22</v>
      </c>
      <c r="Q71" s="14" t="str">
        <f>IF(
   _xlfn.XLOOKUP(tblprogress[[#This Row],[Planet '#]], tblPlanets[Planet '#], tblPlanets[Name])=tblprogress[[#This Row],[Name]],
   "Match",
   "Mismatch"
)</f>
        <v>Match</v>
      </c>
    </row>
    <row r="72" spans="1:17" x14ac:dyDescent="0.3">
      <c r="A72" s="14">
        <v>71</v>
      </c>
      <c r="B72" s="14" t="str">
        <f>_xlfn.XLOOKUP(tblprogress[[#This Row],[Planet '#]],tblPlanets[Planet '#],tblPlanets[Name])</f>
        <v>Laconia</v>
      </c>
      <c r="C72" s="70">
        <v>0</v>
      </c>
      <c r="D72" s="70">
        <v>0</v>
      </c>
      <c r="E72" s="70">
        <v>0</v>
      </c>
      <c r="F72" s="30">
        <f>_xlfn.XLOOKUP(tblprogress[[#This Row],[Mining Level]],tblUpgradeStats[Level],tblUpgradeStats[Mining Speed],0)</f>
        <v>0</v>
      </c>
      <c r="G72" s="30">
        <f>_xlfn.XLOOKUP(tblprogress[[#This Row],[Ship Level]],tblUpgradeStats[Level],tblUpgradeStats[Ship Speed],0)</f>
        <v>0</v>
      </c>
      <c r="H72" s="14">
        <f>_xlfn.XLOOKUP(tblprogress[[#This Row],[Cargo Level]],tblUpgradeStats[Level],tblUpgradeStats[Cargo Amount],0)</f>
        <v>0</v>
      </c>
      <c r="I72" s="31">
        <f>IFERROR(tblprogress[[#This Row],[Mining Rate]]*(2*tblprogress[[#This Row],[Planets Distance]]/tblprogress[[#This Row],[Ship Speed]])/tblprogress[[#This Row],[Cargo]],0)</f>
        <v>0</v>
      </c>
      <c r="J72" s="49">
        <f>IF(tblprogress[[#This Row],[Efficiency]]&lt;1,tblprogress[[#This Row],[Mining Rate]]*60,tblprogress[[#This Row],[Cargo]]/(2*tblprogress[[#This Row],[Planets Distance]]/tblprogress[[#This Row],[Ship Speed]])*60)</f>
        <v>0</v>
      </c>
      <c r="K72" s="15">
        <f>IFERROR(_xlfn.XLOOKUP(tblprogress[[#This Row],[Planet '#]],tblplanetvalue[Planet '#],tblplanetvalue[Total Worth])*tblprogress[[#This Row],[Deposit]]/60,0)</f>
        <v>0</v>
      </c>
      <c r="L72" s="54">
        <f>IF(tblprogress[[#This Row],[Deposit]]&gt;0,1,0)</f>
        <v>0</v>
      </c>
      <c r="M72" s="54">
        <f>IF(tblprogress[[#This Row],[Telescope]]&lt;=CurrentTelescope,1,0)</f>
        <v>0</v>
      </c>
      <c r="N72" s="14">
        <f>_xlfn.XLOOKUP(tblprogress[[#This Row],[Planet '#]],tblPlanets[Planet '#],tblPlanets[Distance])</f>
        <v>17.05</v>
      </c>
      <c r="O72" s="30" t="str">
        <f>IF(tblprogress[[#This Row],[Ship Speed]]=0,"",2*tblprogress[[#This Row],[Planets Distance]]/tblprogress[[#This Row],[Ship Speed]])</f>
        <v/>
      </c>
      <c r="P72" s="14">
        <f>_xlfn.XLOOKUP(tblprogress[[#This Row],[Planet '#]],tblPlanets[Planet '#],tblPlanets[Telescope])</f>
        <v>23</v>
      </c>
      <c r="Q72" s="14" t="str">
        <f>IF(
   _xlfn.XLOOKUP(tblprogress[[#This Row],[Planet '#]], tblPlanets[Planet '#], tblPlanets[Name])=tblprogress[[#This Row],[Name]],
   "Match",
   "Mismatch"
)</f>
        <v>Match</v>
      </c>
    </row>
    <row r="73" spans="1:17" x14ac:dyDescent="0.3">
      <c r="A73" s="14">
        <v>72</v>
      </c>
      <c r="B73" s="14" t="str">
        <f>_xlfn.XLOOKUP(tblprogress[[#This Row],[Planet '#]],tblPlanets[Planet '#],tblPlanets[Name])</f>
        <v>Awohali</v>
      </c>
      <c r="C73" s="70">
        <v>0</v>
      </c>
      <c r="D73" s="70">
        <v>0</v>
      </c>
      <c r="E73" s="70">
        <v>0</v>
      </c>
      <c r="F73" s="30">
        <f>_xlfn.XLOOKUP(tblprogress[[#This Row],[Mining Level]],tblUpgradeStats[Level],tblUpgradeStats[Mining Speed],0)</f>
        <v>0</v>
      </c>
      <c r="G73" s="30">
        <f>_xlfn.XLOOKUP(tblprogress[[#This Row],[Ship Level]],tblUpgradeStats[Level],tblUpgradeStats[Ship Speed],0)</f>
        <v>0</v>
      </c>
      <c r="H73" s="14">
        <f>_xlfn.XLOOKUP(tblprogress[[#This Row],[Cargo Level]],tblUpgradeStats[Level],tblUpgradeStats[Cargo Amount],0)</f>
        <v>0</v>
      </c>
      <c r="I73" s="31">
        <f>IFERROR(tblprogress[[#This Row],[Mining Rate]]*(2*tblprogress[[#This Row],[Planets Distance]]/tblprogress[[#This Row],[Ship Speed]])/tblprogress[[#This Row],[Cargo]],0)</f>
        <v>0</v>
      </c>
      <c r="J73" s="49">
        <f>IF(tblprogress[[#This Row],[Efficiency]]&lt;1,tblprogress[[#This Row],[Mining Rate]]*60,tblprogress[[#This Row],[Cargo]]/(2*tblprogress[[#This Row],[Planets Distance]]/tblprogress[[#This Row],[Ship Speed]])*60)</f>
        <v>0</v>
      </c>
      <c r="K73" s="15">
        <f>IFERROR(_xlfn.XLOOKUP(tblprogress[[#This Row],[Planet '#]],tblplanetvalue[Planet '#],tblplanetvalue[Total Worth])*tblprogress[[#This Row],[Deposit]]/60,0)</f>
        <v>0</v>
      </c>
      <c r="L73" s="54">
        <f>IF(tblprogress[[#This Row],[Deposit]]&gt;0,1,0)</f>
        <v>0</v>
      </c>
      <c r="M73" s="54">
        <f>IF(tblprogress[[#This Row],[Telescope]]&lt;=CurrentTelescope,1,0)</f>
        <v>0</v>
      </c>
      <c r="N73" s="14">
        <f>_xlfn.XLOOKUP(tblprogress[[#This Row],[Planet '#]],tblPlanets[Planet '#],tblPlanets[Distance])</f>
        <v>17.2</v>
      </c>
      <c r="O73" s="30" t="str">
        <f>IF(tblprogress[[#This Row],[Ship Speed]]=0,"",2*tblprogress[[#This Row],[Planets Distance]]/tblprogress[[#This Row],[Ship Speed]])</f>
        <v/>
      </c>
      <c r="P73" s="14">
        <f>_xlfn.XLOOKUP(tblprogress[[#This Row],[Planet '#]],tblPlanets[Planet '#],tblPlanets[Telescope])</f>
        <v>23</v>
      </c>
      <c r="Q73" s="14" t="str">
        <f>IF(
   _xlfn.XLOOKUP(tblprogress[[#This Row],[Planet '#]], tblPlanets[Planet '#], tblPlanets[Name])=tblprogress[[#This Row],[Name]],
   "Match",
   "Mismatch"
)</f>
        <v>Match</v>
      </c>
    </row>
    <row r="74" spans="1:17" x14ac:dyDescent="0.3">
      <c r="A74" s="14">
        <v>73</v>
      </c>
      <c r="B74" s="14" t="str">
        <f>_xlfn.XLOOKUP(tblprogress[[#This Row],[Planet '#]],tblPlanets[Planet '#],tblPlanets[Name])</f>
        <v>Pegasi</v>
      </c>
      <c r="C74" s="70">
        <v>0</v>
      </c>
      <c r="D74" s="70">
        <v>0</v>
      </c>
      <c r="E74" s="70">
        <v>0</v>
      </c>
      <c r="F74" s="30">
        <f>_xlfn.XLOOKUP(tblprogress[[#This Row],[Mining Level]],tblUpgradeStats[Level],tblUpgradeStats[Mining Speed],0)</f>
        <v>0</v>
      </c>
      <c r="G74" s="30">
        <f>_xlfn.XLOOKUP(tblprogress[[#This Row],[Ship Level]],tblUpgradeStats[Level],tblUpgradeStats[Ship Speed],0)</f>
        <v>0</v>
      </c>
      <c r="H74" s="14">
        <f>_xlfn.XLOOKUP(tblprogress[[#This Row],[Cargo Level]],tblUpgradeStats[Level],tblUpgradeStats[Cargo Amount],0)</f>
        <v>0</v>
      </c>
      <c r="I74" s="31">
        <f>IFERROR(tblprogress[[#This Row],[Mining Rate]]*(2*tblprogress[[#This Row],[Planets Distance]]/tblprogress[[#This Row],[Ship Speed]])/tblprogress[[#This Row],[Cargo]],0)</f>
        <v>0</v>
      </c>
      <c r="J74" s="49">
        <f>IF(tblprogress[[#This Row],[Efficiency]]&lt;1,tblprogress[[#This Row],[Mining Rate]]*60,tblprogress[[#This Row],[Cargo]]/(2*tblprogress[[#This Row],[Planets Distance]]/tblprogress[[#This Row],[Ship Speed]])*60)</f>
        <v>0</v>
      </c>
      <c r="K74" s="15">
        <f>IFERROR(_xlfn.XLOOKUP(tblprogress[[#This Row],[Planet '#]],tblplanetvalue[Planet '#],tblplanetvalue[Total Worth])*tblprogress[[#This Row],[Deposit]]/60,0)</f>
        <v>0</v>
      </c>
      <c r="L74" s="54">
        <f>IF(tblprogress[[#This Row],[Deposit]]&gt;0,1,0)</f>
        <v>0</v>
      </c>
      <c r="M74" s="54">
        <f>IF(tblprogress[[#This Row],[Telescope]]&lt;=CurrentTelescope,1,0)</f>
        <v>0</v>
      </c>
      <c r="N74" s="14">
        <f>_xlfn.XLOOKUP(tblprogress[[#This Row],[Planet '#]],tblPlanets[Planet '#],tblPlanets[Distance])</f>
        <v>17.350000000000001</v>
      </c>
      <c r="O74" s="30" t="str">
        <f>IF(tblprogress[[#This Row],[Ship Speed]]=0,"",2*tblprogress[[#This Row],[Planets Distance]]/tblprogress[[#This Row],[Ship Speed]])</f>
        <v/>
      </c>
      <c r="P74" s="14">
        <f>_xlfn.XLOOKUP(tblprogress[[#This Row],[Planet '#]],tblPlanets[Planet '#],tblPlanets[Telescope])</f>
        <v>23</v>
      </c>
      <c r="Q74" s="14" t="str">
        <f>IF(
   _xlfn.XLOOKUP(tblprogress[[#This Row],[Planet '#]], tblPlanets[Planet '#], tblPlanets[Name])=tblprogress[[#This Row],[Name]],
   "Match",
   "Mismatch"
)</f>
        <v>Match</v>
      </c>
    </row>
    <row r="75" spans="1:17" x14ac:dyDescent="0.3">
      <c r="A75" s="14">
        <v>74</v>
      </c>
      <c r="B75" s="14" t="str">
        <f>_xlfn.XLOOKUP(tblprogress[[#This Row],[Planet '#]],tblPlanets[Planet '#],tblPlanets[Name])</f>
        <v>Typhon</v>
      </c>
      <c r="C75" s="70">
        <v>0</v>
      </c>
      <c r="D75" s="70">
        <v>0</v>
      </c>
      <c r="E75" s="70">
        <v>0</v>
      </c>
      <c r="F75" s="30">
        <f>_xlfn.XLOOKUP(tblprogress[[#This Row],[Mining Level]],tblUpgradeStats[Level],tblUpgradeStats[Mining Speed],0)</f>
        <v>0</v>
      </c>
      <c r="G75" s="30">
        <f>_xlfn.XLOOKUP(tblprogress[[#This Row],[Ship Level]],tblUpgradeStats[Level],tblUpgradeStats[Ship Speed],0)</f>
        <v>0</v>
      </c>
      <c r="H75" s="14">
        <f>_xlfn.XLOOKUP(tblprogress[[#This Row],[Cargo Level]],tblUpgradeStats[Level],tblUpgradeStats[Cargo Amount],0)</f>
        <v>0</v>
      </c>
      <c r="I75" s="31">
        <f>IFERROR(tblprogress[[#This Row],[Mining Rate]]*(2*tblprogress[[#This Row],[Planets Distance]]/tblprogress[[#This Row],[Ship Speed]])/tblprogress[[#This Row],[Cargo]],0)</f>
        <v>0</v>
      </c>
      <c r="J75" s="49">
        <f>IF(tblprogress[[#This Row],[Efficiency]]&lt;1,tblprogress[[#This Row],[Mining Rate]]*60,tblprogress[[#This Row],[Cargo]]/(2*tblprogress[[#This Row],[Planets Distance]]/tblprogress[[#This Row],[Ship Speed]])*60)</f>
        <v>0</v>
      </c>
      <c r="K75" s="15">
        <f>IFERROR(_xlfn.XLOOKUP(tblprogress[[#This Row],[Planet '#]],tblplanetvalue[Planet '#],tblplanetvalue[Total Worth])*tblprogress[[#This Row],[Deposit]]/60,0)</f>
        <v>0</v>
      </c>
      <c r="L75" s="54">
        <f>IF(tblprogress[[#This Row],[Deposit]]&gt;0,1,0)</f>
        <v>0</v>
      </c>
      <c r="M75" s="54">
        <f>IF(tblprogress[[#This Row],[Telescope]]&lt;=CurrentTelescope,1,0)</f>
        <v>0</v>
      </c>
      <c r="N75" s="14">
        <f>_xlfn.XLOOKUP(tblprogress[[#This Row],[Planet '#]],tblPlanets[Planet '#],tblPlanets[Distance])</f>
        <v>17.5</v>
      </c>
      <c r="O75" s="30" t="str">
        <f>IF(tblprogress[[#This Row],[Ship Speed]]=0,"",2*tblprogress[[#This Row],[Planets Distance]]/tblprogress[[#This Row],[Ship Speed]])</f>
        <v/>
      </c>
      <c r="P75" s="14">
        <f>_xlfn.XLOOKUP(tblprogress[[#This Row],[Planet '#]],tblPlanets[Planet '#],tblPlanets[Telescope])</f>
        <v>24</v>
      </c>
      <c r="Q75" s="14" t="str">
        <f>IF(
   _xlfn.XLOOKUP(tblprogress[[#This Row],[Planet '#]], tblPlanets[Planet '#], tblPlanets[Name])=tblprogress[[#This Row],[Name]],
   "Match",
   "Mismatch"
)</f>
        <v>Match</v>
      </c>
    </row>
    <row r="76" spans="1:17" x14ac:dyDescent="0.3">
      <c r="A76" s="14">
        <v>75</v>
      </c>
      <c r="B76" s="14" t="str">
        <f>_xlfn.XLOOKUP(tblprogress[[#This Row],[Planet '#]],tblPlanets[Planet '#],tblPlanets[Name])</f>
        <v>Surtur</v>
      </c>
      <c r="C76" s="70">
        <v>0</v>
      </c>
      <c r="D76" s="70">
        <v>0</v>
      </c>
      <c r="E76" s="70">
        <v>0</v>
      </c>
      <c r="F76" s="30">
        <f>_xlfn.XLOOKUP(tblprogress[[#This Row],[Mining Level]],tblUpgradeStats[Level],tblUpgradeStats[Mining Speed],0)</f>
        <v>0</v>
      </c>
      <c r="G76" s="30">
        <f>_xlfn.XLOOKUP(tblprogress[[#This Row],[Ship Level]],tblUpgradeStats[Level],tblUpgradeStats[Ship Speed],0)</f>
        <v>0</v>
      </c>
      <c r="H76" s="14">
        <f>_xlfn.XLOOKUP(tblprogress[[#This Row],[Cargo Level]],tblUpgradeStats[Level],tblUpgradeStats[Cargo Amount],0)</f>
        <v>0</v>
      </c>
      <c r="I76" s="31">
        <f>IFERROR(tblprogress[[#This Row],[Mining Rate]]*(2*tblprogress[[#This Row],[Planets Distance]]/tblprogress[[#This Row],[Ship Speed]])/tblprogress[[#This Row],[Cargo]],0)</f>
        <v>0</v>
      </c>
      <c r="J76" s="49">
        <f>IF(tblprogress[[#This Row],[Efficiency]]&lt;1,tblprogress[[#This Row],[Mining Rate]]*60,tblprogress[[#This Row],[Cargo]]/(2*tblprogress[[#This Row],[Planets Distance]]/tblprogress[[#This Row],[Ship Speed]])*60)</f>
        <v>0</v>
      </c>
      <c r="K76" s="15">
        <f>IFERROR(_xlfn.XLOOKUP(tblprogress[[#This Row],[Planet '#]],tblplanetvalue[Planet '#],tblplanetvalue[Total Worth])*tblprogress[[#This Row],[Deposit]]/60,0)</f>
        <v>0</v>
      </c>
      <c r="L76" s="54">
        <f>IF(tblprogress[[#This Row],[Deposit]]&gt;0,1,0)</f>
        <v>0</v>
      </c>
      <c r="M76" s="54">
        <f>IF(tblprogress[[#This Row],[Telescope]]&lt;=CurrentTelescope,1,0)</f>
        <v>0</v>
      </c>
      <c r="N76" s="14">
        <f>_xlfn.XLOOKUP(tblprogress[[#This Row],[Planet '#]],tblPlanets[Planet '#],tblPlanets[Distance])</f>
        <v>17.649999999999999</v>
      </c>
      <c r="O76" s="30" t="str">
        <f>IF(tblprogress[[#This Row],[Ship Speed]]=0,"",2*tblprogress[[#This Row],[Planets Distance]]/tblprogress[[#This Row],[Ship Speed]])</f>
        <v/>
      </c>
      <c r="P76" s="14">
        <f>_xlfn.XLOOKUP(tblprogress[[#This Row],[Planet '#]],tblPlanets[Planet '#],tblPlanets[Telescope])</f>
        <v>24</v>
      </c>
      <c r="Q76" s="14" t="str">
        <f>IF(
   _xlfn.XLOOKUP(tblprogress[[#This Row],[Planet '#]], tblPlanets[Planet '#], tblPlanets[Name])=tblprogress[[#This Row],[Name]],
   "Match",
   "Mismatch"
)</f>
        <v>Match</v>
      </c>
    </row>
    <row r="77" spans="1:17" x14ac:dyDescent="0.3">
      <c r="A77" s="14">
        <v>76</v>
      </c>
      <c r="B77" s="14" t="str">
        <f>_xlfn.XLOOKUP(tblprogress[[#This Row],[Planet '#]],tblPlanets[Planet '#],tblPlanets[Name])</f>
        <v>Vesta</v>
      </c>
      <c r="C77" s="70">
        <v>0</v>
      </c>
      <c r="D77" s="70">
        <v>0</v>
      </c>
      <c r="E77" s="70">
        <v>0</v>
      </c>
      <c r="F77" s="30">
        <f>_xlfn.XLOOKUP(tblprogress[[#This Row],[Mining Level]],tblUpgradeStats[Level],tblUpgradeStats[Mining Speed],0)</f>
        <v>0</v>
      </c>
      <c r="G77" s="30">
        <f>_xlfn.XLOOKUP(tblprogress[[#This Row],[Ship Level]],tblUpgradeStats[Level],tblUpgradeStats[Ship Speed],0)</f>
        <v>0</v>
      </c>
      <c r="H77" s="14">
        <f>_xlfn.XLOOKUP(tblprogress[[#This Row],[Cargo Level]],tblUpgradeStats[Level],tblUpgradeStats[Cargo Amount],0)</f>
        <v>0</v>
      </c>
      <c r="I77" s="31">
        <f>IFERROR(tblprogress[[#This Row],[Mining Rate]]*(2*tblprogress[[#This Row],[Planets Distance]]/tblprogress[[#This Row],[Ship Speed]])/tblprogress[[#This Row],[Cargo]],0)</f>
        <v>0</v>
      </c>
      <c r="J77" s="49">
        <f>IF(tblprogress[[#This Row],[Efficiency]]&lt;1,tblprogress[[#This Row],[Mining Rate]]*60,tblprogress[[#This Row],[Cargo]]/(2*tblprogress[[#This Row],[Planets Distance]]/tblprogress[[#This Row],[Ship Speed]])*60)</f>
        <v>0</v>
      </c>
      <c r="K77" s="15">
        <f>IFERROR(_xlfn.XLOOKUP(tblprogress[[#This Row],[Planet '#]],tblplanetvalue[Planet '#],tblplanetvalue[Total Worth])*tblprogress[[#This Row],[Deposit]]/60,0)</f>
        <v>0</v>
      </c>
      <c r="L77" s="54">
        <f>IF(tblprogress[[#This Row],[Deposit]]&gt;0,1,0)</f>
        <v>0</v>
      </c>
      <c r="M77" s="54">
        <f>IF(tblprogress[[#This Row],[Telescope]]&lt;=CurrentTelescope,1,0)</f>
        <v>0</v>
      </c>
      <c r="N77" s="14">
        <f>_xlfn.XLOOKUP(tblprogress[[#This Row],[Planet '#]],tblPlanets[Planet '#],tblPlanets[Distance])</f>
        <v>17.8</v>
      </c>
      <c r="O77" s="30" t="str">
        <f>IF(tblprogress[[#This Row],[Ship Speed]]=0,"",2*tblprogress[[#This Row],[Planets Distance]]/tblprogress[[#This Row],[Ship Speed]])</f>
        <v/>
      </c>
      <c r="P77" s="14">
        <f>_xlfn.XLOOKUP(tblprogress[[#This Row],[Planet '#]],tblPlanets[Planet '#],tblPlanets[Telescope])</f>
        <v>24</v>
      </c>
      <c r="Q77" s="14" t="str">
        <f>IF(
   _xlfn.XLOOKUP(tblprogress[[#This Row],[Planet '#]], tblPlanets[Planet '#], tblPlanets[Name])=tblprogress[[#This Row],[Name]],
   "Match",
   "Mismatch"
)</f>
        <v>Match</v>
      </c>
    </row>
  </sheetData>
  <conditionalFormatting sqref="A2:Q77">
    <cfRule type="expression" dxfId="170" priority="5">
      <formula>$Q2="mismatch"</formula>
    </cfRule>
  </conditionalFormatting>
  <dataValidations count="1">
    <dataValidation type="whole" allowBlank="1" showInputMessage="1" showErrorMessage="1" errorTitle="Invalid level" error="Enter a whole-number level from 0 to 76." promptTitle="Planet level" prompt="Use 0 for locked or a supported level from 1 to 76." sqref="C2:E77" xr:uid="{9D47D35E-37F0-4838-9EE2-0CB1D9803325}">
      <formula1>0</formula1>
      <formula2>76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D5CDF876-F6DF-4E85-B350-19990C49338E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3Symbols2" iconId="0"/>
              <x14:cfIcon iconSet="3Symbols2" iconId="2"/>
            </x14:iconSet>
          </x14:cfRule>
          <xm:sqref>L2:M77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3AD36-1C40-40C7-983A-6734FA83641D}">
  <sheetPr codeName="Sheet4"/>
  <dimension ref="A1:K77"/>
  <sheetViews>
    <sheetView workbookViewId="0">
      <selection activeCell="E3" sqref="E3"/>
    </sheetView>
  </sheetViews>
  <sheetFormatPr defaultColWidth="34" defaultRowHeight="14.4" x14ac:dyDescent="0.3"/>
  <cols>
    <col min="1" max="1" width="13.109375" bestFit="1" customWidth="1"/>
    <col min="2" max="2" width="11.44140625" bestFit="1" customWidth="1"/>
    <col min="3" max="3" width="11.44140625" customWidth="1"/>
    <col min="4" max="4" width="17" style="10" bestFit="1" customWidth="1"/>
    <col min="5" max="5" width="12.77734375" customWidth="1"/>
    <col min="6" max="6" width="10.5546875" bestFit="1" customWidth="1"/>
    <col min="7" max="7" width="10.5546875" style="3" bestFit="1" customWidth="1"/>
    <col min="8" max="8" width="10.5546875" bestFit="1" customWidth="1"/>
    <col min="9" max="9" width="15.6640625" style="3" bestFit="1" customWidth="1"/>
    <col min="10" max="10" width="15.6640625" bestFit="1" customWidth="1"/>
    <col min="11" max="11" width="15.6640625" style="3" bestFit="1" customWidth="1"/>
  </cols>
  <sheetData>
    <row r="1" spans="1:11" ht="15.6" x14ac:dyDescent="0.3">
      <c r="A1" s="1" t="s">
        <v>0</v>
      </c>
      <c r="B1" s="1" t="s">
        <v>155</v>
      </c>
      <c r="C1" s="1" t="s">
        <v>154</v>
      </c>
      <c r="D1" s="9" t="s">
        <v>132</v>
      </c>
      <c r="E1" s="8" t="s">
        <v>133</v>
      </c>
      <c r="F1" s="1" t="s">
        <v>1</v>
      </c>
      <c r="G1" s="1" t="s">
        <v>2</v>
      </c>
      <c r="H1" s="1" t="s">
        <v>3</v>
      </c>
      <c r="I1" s="2" t="s">
        <v>139</v>
      </c>
      <c r="J1" s="2" t="s">
        <v>140</v>
      </c>
      <c r="K1" s="2" t="s">
        <v>141</v>
      </c>
    </row>
    <row r="2" spans="1:11" ht="15.6" x14ac:dyDescent="0.3">
      <c r="A2" s="1">
        <v>1</v>
      </c>
      <c r="B2" s="1" t="s">
        <v>30</v>
      </c>
      <c r="C2" s="1">
        <v>0</v>
      </c>
      <c r="D2" s="12">
        <v>100</v>
      </c>
      <c r="E2" s="32">
        <v>6.6</v>
      </c>
      <c r="F2" s="1" t="s">
        <v>4</v>
      </c>
      <c r="G2" s="1"/>
      <c r="H2" s="1"/>
      <c r="I2" s="2">
        <v>1</v>
      </c>
      <c r="J2" s="2">
        <v>0</v>
      </c>
      <c r="K2" s="2">
        <v>0</v>
      </c>
    </row>
    <row r="3" spans="1:11" ht="15.6" x14ac:dyDescent="0.3">
      <c r="A3" s="1">
        <v>2</v>
      </c>
      <c r="B3" s="1" t="s">
        <v>31</v>
      </c>
      <c r="C3" s="1">
        <v>0</v>
      </c>
      <c r="D3" s="13">
        <v>200</v>
      </c>
      <c r="E3" s="32">
        <v>6.7</v>
      </c>
      <c r="F3" s="1" t="s">
        <v>4</v>
      </c>
      <c r="G3" s="1" t="s">
        <v>5</v>
      </c>
      <c r="H3" s="1"/>
      <c r="I3" s="2">
        <v>0.8</v>
      </c>
      <c r="J3" s="2">
        <v>0.2</v>
      </c>
      <c r="K3" s="2">
        <v>0</v>
      </c>
    </row>
    <row r="4" spans="1:11" ht="15.6" x14ac:dyDescent="0.3">
      <c r="A4" s="1">
        <v>3</v>
      </c>
      <c r="B4" s="1" t="s">
        <v>32</v>
      </c>
      <c r="C4" s="1">
        <v>0</v>
      </c>
      <c r="D4" s="13">
        <v>500</v>
      </c>
      <c r="E4" s="32">
        <v>6.85</v>
      </c>
      <c r="F4" s="1" t="s">
        <v>4</v>
      </c>
      <c r="G4" s="1" t="s">
        <v>5</v>
      </c>
      <c r="H4" s="1"/>
      <c r="I4" s="2">
        <v>0.5</v>
      </c>
      <c r="J4" s="2">
        <v>0.5</v>
      </c>
      <c r="K4" s="2">
        <v>0</v>
      </c>
    </row>
    <row r="5" spans="1:11" ht="15.6" x14ac:dyDescent="0.3">
      <c r="A5" s="1">
        <v>4</v>
      </c>
      <c r="B5" s="1" t="s">
        <v>33</v>
      </c>
      <c r="C5" s="1">
        <v>0</v>
      </c>
      <c r="D5" s="13">
        <v>1250</v>
      </c>
      <c r="E5" s="32">
        <v>7</v>
      </c>
      <c r="F5" s="1" t="s">
        <v>5</v>
      </c>
      <c r="G5" s="1" t="s">
        <v>6</v>
      </c>
      <c r="H5" s="1"/>
      <c r="I5" s="2">
        <v>0.8</v>
      </c>
      <c r="J5" s="2">
        <v>0.2</v>
      </c>
      <c r="K5" s="2">
        <v>0</v>
      </c>
    </row>
    <row r="6" spans="1:11" ht="15.6" x14ac:dyDescent="0.3">
      <c r="A6" s="1">
        <v>5</v>
      </c>
      <c r="B6" s="1" t="s">
        <v>34</v>
      </c>
      <c r="C6" s="1">
        <v>1</v>
      </c>
      <c r="D6" s="13">
        <v>5000</v>
      </c>
      <c r="E6" s="32">
        <v>7.15</v>
      </c>
      <c r="F6" s="1" t="s">
        <v>6</v>
      </c>
      <c r="G6" s="1" t="s">
        <v>5</v>
      </c>
      <c r="H6" s="1" t="s">
        <v>4</v>
      </c>
      <c r="I6" s="2">
        <v>0.5</v>
      </c>
      <c r="J6" s="2">
        <v>0.3</v>
      </c>
      <c r="K6" s="2">
        <v>0.2</v>
      </c>
    </row>
    <row r="7" spans="1:11" ht="15.6" x14ac:dyDescent="0.3">
      <c r="A7" s="1">
        <v>6</v>
      </c>
      <c r="B7" s="1" t="s">
        <v>35</v>
      </c>
      <c r="C7" s="1">
        <v>1</v>
      </c>
      <c r="D7" s="13">
        <v>9000</v>
      </c>
      <c r="E7" s="32">
        <v>7.3</v>
      </c>
      <c r="F7" s="1" t="s">
        <v>6</v>
      </c>
      <c r="G7" s="1"/>
      <c r="H7" s="1"/>
      <c r="I7" s="2">
        <v>1</v>
      </c>
      <c r="J7" s="2">
        <v>0</v>
      </c>
      <c r="K7" s="2">
        <v>0</v>
      </c>
    </row>
    <row r="8" spans="1:11" ht="15.6" x14ac:dyDescent="0.3">
      <c r="A8" s="1">
        <v>7</v>
      </c>
      <c r="B8" s="1" t="s">
        <v>36</v>
      </c>
      <c r="C8" s="1">
        <v>1</v>
      </c>
      <c r="D8" s="13">
        <v>15000</v>
      </c>
      <c r="E8" s="32">
        <v>7.45</v>
      </c>
      <c r="F8" s="1" t="s">
        <v>5</v>
      </c>
      <c r="G8" s="1" t="s">
        <v>4</v>
      </c>
      <c r="H8" s="1" t="s">
        <v>7</v>
      </c>
      <c r="I8" s="2">
        <v>0.4</v>
      </c>
      <c r="J8" s="2">
        <v>0.4</v>
      </c>
      <c r="K8" s="2">
        <v>0.2</v>
      </c>
    </row>
    <row r="9" spans="1:11" ht="15.6" x14ac:dyDescent="0.3">
      <c r="A9" s="1">
        <v>8</v>
      </c>
      <c r="B9" s="1" t="s">
        <v>37</v>
      </c>
      <c r="C9" s="1">
        <v>2</v>
      </c>
      <c r="D9" s="13">
        <v>25000</v>
      </c>
      <c r="E9" s="32">
        <v>7.6</v>
      </c>
      <c r="F9" s="1" t="s">
        <v>7</v>
      </c>
      <c r="G9" s="1" t="s">
        <v>4</v>
      </c>
      <c r="H9" s="1"/>
      <c r="I9" s="2">
        <v>0.6</v>
      </c>
      <c r="J9" s="2">
        <v>0.4</v>
      </c>
      <c r="K9" s="2">
        <v>0</v>
      </c>
    </row>
    <row r="10" spans="1:11" ht="15.6" x14ac:dyDescent="0.3">
      <c r="A10" s="1">
        <v>9</v>
      </c>
      <c r="B10" s="1" t="s">
        <v>38</v>
      </c>
      <c r="C10" s="1">
        <v>2</v>
      </c>
      <c r="D10" s="13">
        <v>40000</v>
      </c>
      <c r="E10" s="32">
        <v>7.75</v>
      </c>
      <c r="F10" s="1" t="s">
        <v>7</v>
      </c>
      <c r="G10" s="1" t="s">
        <v>8</v>
      </c>
      <c r="H10" s="1"/>
      <c r="I10" s="2">
        <v>0.8</v>
      </c>
      <c r="J10" s="2">
        <v>0.2</v>
      </c>
      <c r="K10" s="2">
        <v>0</v>
      </c>
    </row>
    <row r="11" spans="1:11" ht="15.6" x14ac:dyDescent="0.3">
      <c r="A11" s="1">
        <v>10</v>
      </c>
      <c r="B11" s="1" t="s">
        <v>39</v>
      </c>
      <c r="C11" s="1">
        <v>2</v>
      </c>
      <c r="D11" s="13">
        <v>75000</v>
      </c>
      <c r="E11" s="32">
        <v>7.9</v>
      </c>
      <c r="F11" s="1" t="s">
        <v>8</v>
      </c>
      <c r="G11" s="1" t="s">
        <v>7</v>
      </c>
      <c r="H11" s="1" t="s">
        <v>6</v>
      </c>
      <c r="I11" s="2">
        <v>0.5</v>
      </c>
      <c r="J11" s="2">
        <v>0.3</v>
      </c>
      <c r="K11" s="2">
        <v>0.2</v>
      </c>
    </row>
    <row r="12" spans="1:11" ht="15.6" x14ac:dyDescent="0.3">
      <c r="A12" s="1">
        <v>11</v>
      </c>
      <c r="B12" s="1" t="s">
        <v>40</v>
      </c>
      <c r="C12" s="1">
        <v>3</v>
      </c>
      <c r="D12" s="13">
        <v>150000</v>
      </c>
      <c r="E12" s="32">
        <v>8.0500000000000007</v>
      </c>
      <c r="F12" s="1" t="s">
        <v>8</v>
      </c>
      <c r="G12" s="1"/>
      <c r="H12" s="1"/>
      <c r="I12" s="2">
        <v>1</v>
      </c>
      <c r="J12" s="2">
        <v>0</v>
      </c>
      <c r="K12" s="2">
        <v>0</v>
      </c>
    </row>
    <row r="13" spans="1:11" ht="15.6" x14ac:dyDescent="0.3">
      <c r="A13" s="1">
        <v>12</v>
      </c>
      <c r="B13" s="1" t="s">
        <v>41</v>
      </c>
      <c r="C13" s="1">
        <v>3</v>
      </c>
      <c r="D13" s="13">
        <v>250000</v>
      </c>
      <c r="E13" s="32">
        <v>8.1999999999999993</v>
      </c>
      <c r="F13" s="1" t="s">
        <v>6</v>
      </c>
      <c r="G13" s="1" t="s">
        <v>7</v>
      </c>
      <c r="H13" s="1" t="s">
        <v>9</v>
      </c>
      <c r="I13" s="2">
        <v>0.45</v>
      </c>
      <c r="J13" s="2">
        <v>0.35</v>
      </c>
      <c r="K13" s="2">
        <v>0.2</v>
      </c>
    </row>
    <row r="14" spans="1:11" ht="15.6" x14ac:dyDescent="0.3">
      <c r="A14" s="1">
        <v>13</v>
      </c>
      <c r="B14" s="1" t="s">
        <v>42</v>
      </c>
      <c r="C14" s="1">
        <v>3</v>
      </c>
      <c r="D14" s="13">
        <v>400000</v>
      </c>
      <c r="E14" s="32">
        <v>8.35</v>
      </c>
      <c r="F14" s="1" t="s">
        <v>9</v>
      </c>
      <c r="G14" s="1" t="s">
        <v>8</v>
      </c>
      <c r="H14" s="1"/>
      <c r="I14" s="2">
        <v>0.8</v>
      </c>
      <c r="J14" s="2">
        <v>0.2</v>
      </c>
      <c r="K14" s="2">
        <v>0</v>
      </c>
    </row>
    <row r="15" spans="1:11" ht="15.6" x14ac:dyDescent="0.3">
      <c r="A15" s="1">
        <v>14</v>
      </c>
      <c r="B15" s="1" t="s">
        <v>43</v>
      </c>
      <c r="C15" s="1">
        <v>4</v>
      </c>
      <c r="D15" s="13">
        <v>800000</v>
      </c>
      <c r="E15" s="32">
        <v>8.5</v>
      </c>
      <c r="F15" s="1" t="s">
        <v>4</v>
      </c>
      <c r="G15" s="1" t="s">
        <v>5</v>
      </c>
      <c r="H15" s="1" t="s">
        <v>10</v>
      </c>
      <c r="I15" s="2">
        <v>0.4</v>
      </c>
      <c r="J15" s="2">
        <v>0.4</v>
      </c>
      <c r="K15" s="2">
        <v>0.2</v>
      </c>
    </row>
    <row r="16" spans="1:11" ht="15.6" x14ac:dyDescent="0.3">
      <c r="A16" s="1">
        <v>15</v>
      </c>
      <c r="B16" s="1" t="s">
        <v>44</v>
      </c>
      <c r="C16" s="1">
        <v>4</v>
      </c>
      <c r="D16" s="13">
        <v>1500000</v>
      </c>
      <c r="E16" s="32">
        <v>8.65</v>
      </c>
      <c r="F16" s="1" t="s">
        <v>10</v>
      </c>
      <c r="G16" s="1" t="s">
        <v>9</v>
      </c>
      <c r="H16" s="1"/>
      <c r="I16" s="2">
        <v>0.5</v>
      </c>
      <c r="J16" s="2">
        <v>0.5</v>
      </c>
      <c r="K16" s="2">
        <v>0</v>
      </c>
    </row>
    <row r="17" spans="1:11" ht="15.6" x14ac:dyDescent="0.3">
      <c r="A17" s="1">
        <v>16</v>
      </c>
      <c r="B17" s="1" t="s">
        <v>45</v>
      </c>
      <c r="C17" s="1">
        <v>4</v>
      </c>
      <c r="D17" s="13">
        <v>3000000</v>
      </c>
      <c r="E17" s="32">
        <v>8.8000000000000096</v>
      </c>
      <c r="F17" s="1" t="s">
        <v>10</v>
      </c>
      <c r="G17" s="1"/>
      <c r="H17" s="1"/>
      <c r="I17" s="2">
        <v>1</v>
      </c>
      <c r="J17" s="2">
        <v>0</v>
      </c>
      <c r="K17" s="2">
        <v>0</v>
      </c>
    </row>
    <row r="18" spans="1:11" ht="15.6" x14ac:dyDescent="0.3">
      <c r="A18" s="1">
        <v>17</v>
      </c>
      <c r="B18" s="1" t="s">
        <v>46</v>
      </c>
      <c r="C18" s="1">
        <v>5</v>
      </c>
      <c r="D18" s="13">
        <v>6000000</v>
      </c>
      <c r="E18" s="32">
        <v>8.9500000000000099</v>
      </c>
      <c r="F18" s="1" t="s">
        <v>8</v>
      </c>
      <c r="G18" s="1" t="s">
        <v>7</v>
      </c>
      <c r="H18" s="1" t="s">
        <v>11</v>
      </c>
      <c r="I18" s="2">
        <v>0.4</v>
      </c>
      <c r="J18" s="2">
        <v>0.35</v>
      </c>
      <c r="K18" s="2">
        <v>0.25</v>
      </c>
    </row>
    <row r="19" spans="1:11" ht="15.6" x14ac:dyDescent="0.3">
      <c r="A19" s="1">
        <v>18</v>
      </c>
      <c r="B19" s="1" t="s">
        <v>47</v>
      </c>
      <c r="C19" s="1">
        <v>5</v>
      </c>
      <c r="D19" s="13">
        <v>12000000</v>
      </c>
      <c r="E19" s="32">
        <v>9.1000000000000103</v>
      </c>
      <c r="F19" s="1" t="s">
        <v>11</v>
      </c>
      <c r="G19" s="1" t="s">
        <v>6</v>
      </c>
      <c r="H19" s="1"/>
      <c r="I19" s="2">
        <v>0.8</v>
      </c>
      <c r="J19" s="2">
        <v>0.2</v>
      </c>
      <c r="K19" s="2">
        <v>0</v>
      </c>
    </row>
    <row r="20" spans="1:11" ht="15.6" x14ac:dyDescent="0.3">
      <c r="A20" s="1">
        <v>19</v>
      </c>
      <c r="B20" s="1" t="s">
        <v>48</v>
      </c>
      <c r="C20" s="1">
        <v>5</v>
      </c>
      <c r="D20" s="13">
        <v>25000000</v>
      </c>
      <c r="E20" s="32">
        <v>9.2500000000000107</v>
      </c>
      <c r="F20" s="1" t="s">
        <v>10</v>
      </c>
      <c r="G20" s="1" t="s">
        <v>12</v>
      </c>
      <c r="H20" s="1"/>
      <c r="I20" s="2">
        <v>0.7</v>
      </c>
      <c r="J20" s="2">
        <v>0.3</v>
      </c>
      <c r="K20" s="2">
        <v>0</v>
      </c>
    </row>
    <row r="21" spans="1:11" ht="15.6" x14ac:dyDescent="0.3">
      <c r="A21" s="1">
        <v>20</v>
      </c>
      <c r="B21" s="1" t="s">
        <v>49</v>
      </c>
      <c r="C21" s="1">
        <v>6</v>
      </c>
      <c r="D21" s="13">
        <v>50000000</v>
      </c>
      <c r="E21" s="32">
        <v>9.4000000000000092</v>
      </c>
      <c r="F21" s="1" t="s">
        <v>12</v>
      </c>
      <c r="G21" s="1" t="s">
        <v>11</v>
      </c>
      <c r="H21" s="1"/>
      <c r="I21" s="2">
        <v>0.7</v>
      </c>
      <c r="J21" s="2">
        <v>0.3</v>
      </c>
      <c r="K21" s="2">
        <v>0</v>
      </c>
    </row>
    <row r="22" spans="1:11" ht="15.6" x14ac:dyDescent="0.3">
      <c r="A22" s="1">
        <v>21</v>
      </c>
      <c r="B22" s="1" t="s">
        <v>50</v>
      </c>
      <c r="C22" s="1">
        <v>6</v>
      </c>
      <c r="D22" s="13">
        <v>100000000</v>
      </c>
      <c r="E22" s="32">
        <v>9.5500000000000096</v>
      </c>
      <c r="F22" s="1" t="s">
        <v>12</v>
      </c>
      <c r="G22" s="1"/>
      <c r="H22" s="1"/>
      <c r="I22" s="2">
        <v>1</v>
      </c>
      <c r="J22" s="2">
        <v>0</v>
      </c>
      <c r="K22" s="2">
        <v>0</v>
      </c>
    </row>
    <row r="23" spans="1:11" ht="15.6" x14ac:dyDescent="0.3">
      <c r="A23" s="1">
        <v>22</v>
      </c>
      <c r="B23" s="1" t="s">
        <v>51</v>
      </c>
      <c r="C23" s="1">
        <v>6</v>
      </c>
      <c r="D23" s="13">
        <v>200000000</v>
      </c>
      <c r="E23" s="32">
        <v>9.7000000000000099</v>
      </c>
      <c r="F23" s="1" t="s">
        <v>9</v>
      </c>
      <c r="G23" s="1" t="s">
        <v>13</v>
      </c>
      <c r="H23" s="1"/>
      <c r="I23" s="2">
        <v>0.7</v>
      </c>
      <c r="J23" s="2">
        <v>0.3</v>
      </c>
      <c r="K23" s="2">
        <v>0</v>
      </c>
    </row>
    <row r="24" spans="1:11" ht="15.6" x14ac:dyDescent="0.3">
      <c r="A24" s="1">
        <v>23</v>
      </c>
      <c r="B24" s="1" t="s">
        <v>52</v>
      </c>
      <c r="C24" s="1">
        <v>7</v>
      </c>
      <c r="D24" s="13">
        <v>400000000</v>
      </c>
      <c r="E24" s="32">
        <v>9.8500000000000103</v>
      </c>
      <c r="F24" s="1" t="s">
        <v>13</v>
      </c>
      <c r="G24" s="1" t="s">
        <v>11</v>
      </c>
      <c r="H24" s="1" t="s">
        <v>10</v>
      </c>
      <c r="I24" s="2">
        <v>0.7</v>
      </c>
      <c r="J24" s="2">
        <v>0.2</v>
      </c>
      <c r="K24" s="2">
        <v>0.1</v>
      </c>
    </row>
    <row r="25" spans="1:11" ht="15.6" x14ac:dyDescent="0.3">
      <c r="A25" s="1">
        <v>24</v>
      </c>
      <c r="B25" s="1" t="s">
        <v>53</v>
      </c>
      <c r="C25" s="1">
        <v>7</v>
      </c>
      <c r="D25" s="13">
        <v>800000000</v>
      </c>
      <c r="E25" s="32">
        <v>10</v>
      </c>
      <c r="F25" s="1" t="s">
        <v>13</v>
      </c>
      <c r="G25" s="1" t="s">
        <v>12</v>
      </c>
      <c r="H25" s="1"/>
      <c r="I25" s="2">
        <v>0.7</v>
      </c>
      <c r="J25" s="2">
        <v>0.3</v>
      </c>
      <c r="K25" s="2">
        <v>0</v>
      </c>
    </row>
    <row r="26" spans="1:11" ht="15.6" x14ac:dyDescent="0.3">
      <c r="A26" s="1">
        <v>25</v>
      </c>
      <c r="B26" s="1" t="s">
        <v>54</v>
      </c>
      <c r="C26" s="1">
        <v>7</v>
      </c>
      <c r="D26" s="13">
        <v>1600000000</v>
      </c>
      <c r="E26" s="32">
        <v>10.15</v>
      </c>
      <c r="F26" s="1" t="s">
        <v>8</v>
      </c>
      <c r="G26" s="1" t="s">
        <v>14</v>
      </c>
      <c r="H26" s="1"/>
      <c r="I26" s="2">
        <v>0.6</v>
      </c>
      <c r="J26" s="2">
        <v>0.4</v>
      </c>
      <c r="K26" s="2">
        <v>0</v>
      </c>
    </row>
    <row r="27" spans="1:11" ht="15.6" x14ac:dyDescent="0.3">
      <c r="A27" s="1">
        <v>26</v>
      </c>
      <c r="B27" s="1" t="s">
        <v>55</v>
      </c>
      <c r="C27" s="1">
        <v>8</v>
      </c>
      <c r="D27" s="13">
        <v>3200000000</v>
      </c>
      <c r="E27" s="32">
        <v>10.3</v>
      </c>
      <c r="F27" s="1" t="s">
        <v>14</v>
      </c>
      <c r="G27" s="1" t="s">
        <v>11</v>
      </c>
      <c r="H27" s="1"/>
      <c r="I27" s="2">
        <v>0.5</v>
      </c>
      <c r="J27" s="2">
        <v>0.5</v>
      </c>
      <c r="K27" s="2">
        <v>0</v>
      </c>
    </row>
    <row r="28" spans="1:11" ht="15.6" x14ac:dyDescent="0.3">
      <c r="A28" s="1">
        <v>27</v>
      </c>
      <c r="B28" s="1" t="s">
        <v>56</v>
      </c>
      <c r="C28" s="1">
        <v>8</v>
      </c>
      <c r="D28" s="13">
        <v>6400000000</v>
      </c>
      <c r="E28" s="32">
        <v>10.45</v>
      </c>
      <c r="F28" s="1" t="s">
        <v>14</v>
      </c>
      <c r="G28" s="1"/>
      <c r="H28" s="1"/>
      <c r="I28" s="2">
        <v>1</v>
      </c>
      <c r="J28" s="2">
        <v>0</v>
      </c>
      <c r="K28" s="2">
        <v>0</v>
      </c>
    </row>
    <row r="29" spans="1:11" ht="15.6" x14ac:dyDescent="0.3">
      <c r="A29" s="1">
        <v>28</v>
      </c>
      <c r="B29" s="1" t="s">
        <v>57</v>
      </c>
      <c r="C29" s="1">
        <v>8</v>
      </c>
      <c r="D29" s="13">
        <v>12500000000</v>
      </c>
      <c r="E29" s="32">
        <v>10.6</v>
      </c>
      <c r="F29" s="1" t="s">
        <v>14</v>
      </c>
      <c r="G29" s="1" t="s">
        <v>13</v>
      </c>
      <c r="H29" s="1" t="s">
        <v>15</v>
      </c>
      <c r="I29" s="2">
        <v>0.4</v>
      </c>
      <c r="J29" s="2">
        <v>0.35</v>
      </c>
      <c r="K29" s="2">
        <v>0.25</v>
      </c>
    </row>
    <row r="30" spans="1:11" ht="15.6" x14ac:dyDescent="0.3">
      <c r="A30" s="1">
        <v>29</v>
      </c>
      <c r="B30" s="1" t="s">
        <v>58</v>
      </c>
      <c r="C30" s="1">
        <v>9</v>
      </c>
      <c r="D30" s="13">
        <v>25000000000</v>
      </c>
      <c r="E30" s="32">
        <v>10.75</v>
      </c>
      <c r="F30" s="1" t="s">
        <v>15</v>
      </c>
      <c r="G30" s="1" t="s">
        <v>13</v>
      </c>
      <c r="H30" s="1"/>
      <c r="I30" s="2">
        <v>0.6</v>
      </c>
      <c r="J30" s="2">
        <v>0.4</v>
      </c>
      <c r="K30" s="2">
        <v>0</v>
      </c>
    </row>
    <row r="31" spans="1:11" ht="15.6" x14ac:dyDescent="0.3">
      <c r="A31" s="1">
        <v>30</v>
      </c>
      <c r="B31" s="1" t="s">
        <v>59</v>
      </c>
      <c r="C31" s="1">
        <v>9</v>
      </c>
      <c r="D31" s="13">
        <v>50000000000</v>
      </c>
      <c r="E31" s="32">
        <v>10.9</v>
      </c>
      <c r="F31" s="1" t="s">
        <v>15</v>
      </c>
      <c r="G31" s="1" t="s">
        <v>11</v>
      </c>
      <c r="H31" s="1"/>
      <c r="I31" s="2">
        <v>0.9</v>
      </c>
      <c r="J31" s="2">
        <v>0.1</v>
      </c>
      <c r="K31" s="2">
        <v>0</v>
      </c>
    </row>
    <row r="32" spans="1:11" ht="15.6" x14ac:dyDescent="0.3">
      <c r="A32" s="1">
        <v>31</v>
      </c>
      <c r="B32" s="1" t="s">
        <v>60</v>
      </c>
      <c r="C32" s="1">
        <v>9</v>
      </c>
      <c r="D32" s="13">
        <v>100000000000</v>
      </c>
      <c r="E32" s="32">
        <v>11.05</v>
      </c>
      <c r="F32" s="1" t="s">
        <v>15</v>
      </c>
      <c r="G32" s="1" t="s">
        <v>16</v>
      </c>
      <c r="H32" s="1"/>
      <c r="I32" s="2">
        <v>0.7</v>
      </c>
      <c r="J32" s="2">
        <v>0.3</v>
      </c>
      <c r="K32" s="2">
        <v>0</v>
      </c>
    </row>
    <row r="33" spans="1:11" ht="15.6" x14ac:dyDescent="0.3">
      <c r="A33" s="1">
        <v>32</v>
      </c>
      <c r="B33" s="1" t="s">
        <v>61</v>
      </c>
      <c r="C33" s="1">
        <v>10</v>
      </c>
      <c r="D33" s="13">
        <v>250000000000</v>
      </c>
      <c r="E33" s="32">
        <v>11.2</v>
      </c>
      <c r="F33" s="1" t="s">
        <v>16</v>
      </c>
      <c r="G33" s="1" t="s">
        <v>14</v>
      </c>
      <c r="H33" s="1"/>
      <c r="I33" s="2">
        <v>0.6</v>
      </c>
      <c r="J33" s="2">
        <v>0.4</v>
      </c>
      <c r="K33" s="2">
        <v>0</v>
      </c>
    </row>
    <row r="34" spans="1:11" ht="15.6" x14ac:dyDescent="0.3">
      <c r="A34" s="1">
        <v>33</v>
      </c>
      <c r="B34" s="1" t="s">
        <v>62</v>
      </c>
      <c r="C34" s="1">
        <v>10</v>
      </c>
      <c r="D34" s="13">
        <v>600000000000</v>
      </c>
      <c r="E34" s="32">
        <v>11.35</v>
      </c>
      <c r="F34" s="1" t="s">
        <v>16</v>
      </c>
      <c r="G34" s="1"/>
      <c r="H34" s="1"/>
      <c r="I34" s="2">
        <v>1</v>
      </c>
      <c r="J34" s="2">
        <v>0</v>
      </c>
      <c r="K34" s="2">
        <v>0</v>
      </c>
    </row>
    <row r="35" spans="1:11" ht="15.6" x14ac:dyDescent="0.3">
      <c r="A35" s="1">
        <v>34</v>
      </c>
      <c r="B35" s="1" t="s">
        <v>63</v>
      </c>
      <c r="C35" s="1">
        <v>10</v>
      </c>
      <c r="D35" s="13">
        <v>1500000000000</v>
      </c>
      <c r="E35" s="32">
        <v>11.5</v>
      </c>
      <c r="F35" s="1" t="s">
        <v>15</v>
      </c>
      <c r="G35" s="1" t="s">
        <v>16</v>
      </c>
      <c r="H35" s="1" t="s">
        <v>17</v>
      </c>
      <c r="I35" s="2">
        <v>0.55000000000000004</v>
      </c>
      <c r="J35" s="2">
        <v>0.3</v>
      </c>
      <c r="K35" s="2">
        <v>0.15</v>
      </c>
    </row>
    <row r="36" spans="1:11" ht="15.6" x14ac:dyDescent="0.3">
      <c r="A36" s="1">
        <v>35</v>
      </c>
      <c r="B36" s="1" t="s">
        <v>64</v>
      </c>
      <c r="C36" s="1">
        <v>11</v>
      </c>
      <c r="D36" s="13">
        <v>4000000000000</v>
      </c>
      <c r="E36" s="32">
        <v>11.65</v>
      </c>
      <c r="F36" s="1" t="s">
        <v>17</v>
      </c>
      <c r="G36" s="1" t="s">
        <v>12</v>
      </c>
      <c r="H36" s="1"/>
      <c r="I36" s="2">
        <v>0.5</v>
      </c>
      <c r="J36" s="2">
        <v>0.5</v>
      </c>
      <c r="K36" s="2">
        <v>0</v>
      </c>
    </row>
    <row r="37" spans="1:11" ht="15.6" x14ac:dyDescent="0.3">
      <c r="A37" s="1">
        <v>36</v>
      </c>
      <c r="B37" s="1" t="s">
        <v>65</v>
      </c>
      <c r="C37" s="1">
        <v>11</v>
      </c>
      <c r="D37" s="13">
        <v>10000000000000</v>
      </c>
      <c r="E37" s="32">
        <v>11.8</v>
      </c>
      <c r="F37" s="1" t="s">
        <v>17</v>
      </c>
      <c r="G37" s="1"/>
      <c r="H37" s="1"/>
      <c r="I37" s="2">
        <v>1</v>
      </c>
      <c r="J37" s="2">
        <v>0</v>
      </c>
      <c r="K37" s="2">
        <v>0</v>
      </c>
    </row>
    <row r="38" spans="1:11" ht="15.6" x14ac:dyDescent="0.3">
      <c r="A38" s="1">
        <v>37</v>
      </c>
      <c r="B38" s="1" t="s">
        <v>66</v>
      </c>
      <c r="C38" s="1">
        <v>11</v>
      </c>
      <c r="D38" s="13">
        <v>25000000000000</v>
      </c>
      <c r="E38" s="32">
        <v>11.95</v>
      </c>
      <c r="F38" s="1" t="s">
        <v>17</v>
      </c>
      <c r="G38" s="1" t="s">
        <v>18</v>
      </c>
      <c r="H38" s="1"/>
      <c r="I38" s="2">
        <v>0.8</v>
      </c>
      <c r="J38" s="2">
        <v>0.2</v>
      </c>
      <c r="K38" s="2">
        <v>0</v>
      </c>
    </row>
    <row r="39" spans="1:11" ht="15.6" x14ac:dyDescent="0.3">
      <c r="A39" s="1">
        <v>38</v>
      </c>
      <c r="B39" s="1" t="s">
        <v>67</v>
      </c>
      <c r="C39" s="1">
        <v>12</v>
      </c>
      <c r="D39" s="13">
        <v>62000000000000</v>
      </c>
      <c r="E39" s="32">
        <v>12.1</v>
      </c>
      <c r="F39" s="1" t="s">
        <v>18</v>
      </c>
      <c r="G39" s="1" t="s">
        <v>16</v>
      </c>
      <c r="H39" s="1"/>
      <c r="I39" s="2">
        <v>0.5</v>
      </c>
      <c r="J39" s="2">
        <v>0.5</v>
      </c>
      <c r="K39" s="2">
        <v>0</v>
      </c>
    </row>
    <row r="40" spans="1:11" ht="15.6" x14ac:dyDescent="0.3">
      <c r="A40" s="1">
        <v>39</v>
      </c>
      <c r="B40" s="1" t="s">
        <v>68</v>
      </c>
      <c r="C40" s="1">
        <v>12</v>
      </c>
      <c r="D40" s="13">
        <v>160000000000000</v>
      </c>
      <c r="E40" s="32">
        <v>12.25</v>
      </c>
      <c r="F40" s="1" t="s">
        <v>18</v>
      </c>
      <c r="G40" s="1"/>
      <c r="H40" s="1"/>
      <c r="I40" s="2">
        <v>1</v>
      </c>
      <c r="J40" s="2">
        <v>0</v>
      </c>
      <c r="K40" s="2">
        <v>0</v>
      </c>
    </row>
    <row r="41" spans="1:11" ht="15.6" x14ac:dyDescent="0.3">
      <c r="A41" s="1">
        <v>40</v>
      </c>
      <c r="B41" s="1" t="s">
        <v>69</v>
      </c>
      <c r="C41" s="1">
        <v>12</v>
      </c>
      <c r="D41" s="13">
        <v>400000000000000</v>
      </c>
      <c r="E41" s="32">
        <v>12.4</v>
      </c>
      <c r="F41" s="1" t="s">
        <v>18</v>
      </c>
      <c r="G41" s="1" t="s">
        <v>19</v>
      </c>
      <c r="H41" s="1"/>
      <c r="I41" s="2">
        <v>0.8</v>
      </c>
      <c r="J41" s="2">
        <v>0.2</v>
      </c>
      <c r="K41" s="2">
        <v>0</v>
      </c>
    </row>
    <row r="42" spans="1:11" ht="15.6" x14ac:dyDescent="0.3">
      <c r="A42" s="1">
        <v>41</v>
      </c>
      <c r="B42" s="1" t="s">
        <v>70</v>
      </c>
      <c r="C42" s="1">
        <v>13</v>
      </c>
      <c r="D42" s="13">
        <v>1000000000000000</v>
      </c>
      <c r="E42" s="32">
        <v>12.55</v>
      </c>
      <c r="F42" s="1" t="s">
        <v>16</v>
      </c>
      <c r="G42" s="1" t="s">
        <v>19</v>
      </c>
      <c r="H42" s="1"/>
      <c r="I42" s="2">
        <v>0.6</v>
      </c>
      <c r="J42" s="2">
        <v>0.4</v>
      </c>
      <c r="K42" s="2">
        <v>0</v>
      </c>
    </row>
    <row r="43" spans="1:11" ht="15.6" x14ac:dyDescent="0.3">
      <c r="A43" s="1">
        <v>42</v>
      </c>
      <c r="B43" s="1" t="s">
        <v>71</v>
      </c>
      <c r="C43" s="1">
        <v>13</v>
      </c>
      <c r="D43" s="13">
        <v>2500000000000000</v>
      </c>
      <c r="E43" s="32">
        <v>12.7</v>
      </c>
      <c r="F43" s="1" t="s">
        <v>19</v>
      </c>
      <c r="G43" s="1"/>
      <c r="H43" s="1"/>
      <c r="I43" s="2">
        <v>1</v>
      </c>
      <c r="J43" s="2">
        <v>0</v>
      </c>
      <c r="K43" s="2">
        <v>0</v>
      </c>
    </row>
    <row r="44" spans="1:11" ht="15.6" x14ac:dyDescent="0.3">
      <c r="A44" s="1">
        <v>43</v>
      </c>
      <c r="B44" s="1" t="s">
        <v>72</v>
      </c>
      <c r="C44" s="1">
        <v>13</v>
      </c>
      <c r="D44" s="13">
        <v>6200000000000000</v>
      </c>
      <c r="E44" s="32">
        <v>12.85</v>
      </c>
      <c r="F44" s="1" t="s">
        <v>19</v>
      </c>
      <c r="G44" s="1" t="s">
        <v>18</v>
      </c>
      <c r="H44" s="1" t="s">
        <v>20</v>
      </c>
      <c r="I44" s="2">
        <v>0.6</v>
      </c>
      <c r="J44" s="2">
        <v>0.25</v>
      </c>
      <c r="K44" s="2">
        <v>0.15</v>
      </c>
    </row>
    <row r="45" spans="1:11" ht="15.6" x14ac:dyDescent="0.3">
      <c r="A45" s="1">
        <v>44</v>
      </c>
      <c r="B45" s="1" t="s">
        <v>73</v>
      </c>
      <c r="C45" s="1">
        <v>14</v>
      </c>
      <c r="D45" s="13">
        <v>1.5E+16</v>
      </c>
      <c r="E45" s="32">
        <v>13</v>
      </c>
      <c r="F45" s="1" t="s">
        <v>20</v>
      </c>
      <c r="G45" s="1" t="s">
        <v>19</v>
      </c>
      <c r="H45" s="1"/>
      <c r="I45" s="2">
        <v>0.5</v>
      </c>
      <c r="J45" s="2">
        <v>0.5</v>
      </c>
      <c r="K45" s="2">
        <v>0</v>
      </c>
    </row>
    <row r="46" spans="1:11" ht="15.6" x14ac:dyDescent="0.3">
      <c r="A46" s="1">
        <v>45</v>
      </c>
      <c r="B46" s="1" t="s">
        <v>74</v>
      </c>
      <c r="C46" s="1">
        <v>14</v>
      </c>
      <c r="D46" s="13">
        <v>4E+16</v>
      </c>
      <c r="E46" s="32">
        <v>13.15</v>
      </c>
      <c r="F46" s="1" t="s">
        <v>20</v>
      </c>
      <c r="G46" s="1"/>
      <c r="H46" s="1"/>
      <c r="I46" s="2">
        <v>1</v>
      </c>
      <c r="J46" s="2">
        <v>0</v>
      </c>
      <c r="K46" s="2">
        <v>0</v>
      </c>
    </row>
    <row r="47" spans="1:11" ht="15.6" x14ac:dyDescent="0.3">
      <c r="A47" s="1">
        <v>46</v>
      </c>
      <c r="B47" s="1" t="s">
        <v>75</v>
      </c>
      <c r="C47" s="1">
        <v>14</v>
      </c>
      <c r="D47" s="13">
        <v>1E+17</v>
      </c>
      <c r="E47" s="32">
        <v>13.3</v>
      </c>
      <c r="F47" s="1" t="s">
        <v>20</v>
      </c>
      <c r="G47" s="1" t="s">
        <v>21</v>
      </c>
      <c r="H47" s="1"/>
      <c r="I47" s="2">
        <v>0.75</v>
      </c>
      <c r="J47" s="2">
        <v>0.25</v>
      </c>
      <c r="K47" s="2">
        <v>0</v>
      </c>
    </row>
    <row r="48" spans="1:11" ht="15.6" x14ac:dyDescent="0.3">
      <c r="A48" s="1">
        <v>47</v>
      </c>
      <c r="B48" s="1" t="s">
        <v>76</v>
      </c>
      <c r="C48" s="1">
        <v>15</v>
      </c>
      <c r="D48" s="13">
        <v>2.5E+17</v>
      </c>
      <c r="E48" s="32">
        <v>13.45</v>
      </c>
      <c r="F48" s="1" t="s">
        <v>21</v>
      </c>
      <c r="G48" s="1" t="s">
        <v>19</v>
      </c>
      <c r="H48" s="1"/>
      <c r="I48" s="2">
        <v>0.6</v>
      </c>
      <c r="J48" s="2">
        <v>0.4</v>
      </c>
      <c r="K48" s="2">
        <v>0</v>
      </c>
    </row>
    <row r="49" spans="1:11" ht="15.6" x14ac:dyDescent="0.3">
      <c r="A49" s="1">
        <v>48</v>
      </c>
      <c r="B49" s="1" t="s">
        <v>77</v>
      </c>
      <c r="C49" s="1">
        <v>15</v>
      </c>
      <c r="D49" s="13">
        <v>6E+17</v>
      </c>
      <c r="E49" s="32">
        <v>13.6</v>
      </c>
      <c r="F49" s="1" t="s">
        <v>21</v>
      </c>
      <c r="G49" s="1"/>
      <c r="H49" s="1"/>
      <c r="I49" s="2">
        <v>1</v>
      </c>
      <c r="J49" s="2">
        <v>0</v>
      </c>
      <c r="K49" s="2">
        <v>0</v>
      </c>
    </row>
    <row r="50" spans="1:11" ht="15.6" x14ac:dyDescent="0.3">
      <c r="A50" s="1">
        <v>49</v>
      </c>
      <c r="B50" s="1" t="s">
        <v>78</v>
      </c>
      <c r="C50" s="1">
        <v>15</v>
      </c>
      <c r="D50" s="13">
        <v>1.5E+18</v>
      </c>
      <c r="E50" s="32">
        <v>13.75</v>
      </c>
      <c r="F50" s="1" t="s">
        <v>21</v>
      </c>
      <c r="G50" s="1" t="s">
        <v>22</v>
      </c>
      <c r="H50" s="1"/>
      <c r="I50" s="2">
        <v>0.5</v>
      </c>
      <c r="J50" s="2">
        <v>0.5</v>
      </c>
      <c r="K50" s="2">
        <v>0</v>
      </c>
    </row>
    <row r="51" spans="1:11" ht="15.6" x14ac:dyDescent="0.3">
      <c r="A51" s="1">
        <v>50</v>
      </c>
      <c r="B51" s="1" t="s">
        <v>79</v>
      </c>
      <c r="C51" s="1">
        <v>16</v>
      </c>
      <c r="D51" s="13">
        <v>3.8E+18</v>
      </c>
      <c r="E51" s="32">
        <v>13.9</v>
      </c>
      <c r="F51" s="1" t="s">
        <v>22</v>
      </c>
      <c r="G51" s="1" t="s">
        <v>20</v>
      </c>
      <c r="H51" s="1"/>
      <c r="I51" s="2">
        <v>0.6</v>
      </c>
      <c r="J51" s="2">
        <v>0.4</v>
      </c>
      <c r="K51" s="2">
        <v>0</v>
      </c>
    </row>
    <row r="52" spans="1:11" ht="15.6" x14ac:dyDescent="0.3">
      <c r="A52" s="1">
        <v>51</v>
      </c>
      <c r="B52" s="1" t="s">
        <v>80</v>
      </c>
      <c r="C52" s="1">
        <v>16</v>
      </c>
      <c r="D52" s="13">
        <v>1E+19</v>
      </c>
      <c r="E52" s="32">
        <v>14.05</v>
      </c>
      <c r="F52" s="1" t="s">
        <v>22</v>
      </c>
      <c r="G52" s="1"/>
      <c r="H52" s="1"/>
      <c r="I52" s="2">
        <v>1</v>
      </c>
      <c r="J52" s="2">
        <v>0</v>
      </c>
      <c r="K52" s="2">
        <v>0</v>
      </c>
    </row>
    <row r="53" spans="1:11" ht="15.6" x14ac:dyDescent="0.3">
      <c r="A53" s="1">
        <v>52</v>
      </c>
      <c r="B53" s="1" t="s">
        <v>81</v>
      </c>
      <c r="C53" s="1">
        <v>16</v>
      </c>
      <c r="D53" s="13">
        <v>2.5E+19</v>
      </c>
      <c r="E53" s="32">
        <v>14.2</v>
      </c>
      <c r="F53" s="1" t="s">
        <v>22</v>
      </c>
      <c r="G53" s="1" t="s">
        <v>23</v>
      </c>
      <c r="H53" s="1" t="s">
        <v>17</v>
      </c>
      <c r="I53" s="2">
        <v>0.7</v>
      </c>
      <c r="J53" s="2">
        <v>0.2</v>
      </c>
      <c r="K53" s="2">
        <v>0.1</v>
      </c>
    </row>
    <row r="54" spans="1:11" ht="15.6" x14ac:dyDescent="0.3">
      <c r="A54" s="1">
        <v>53</v>
      </c>
      <c r="B54" s="1" t="s">
        <v>82</v>
      </c>
      <c r="C54" s="1">
        <v>17</v>
      </c>
      <c r="D54" s="13">
        <v>6E+19</v>
      </c>
      <c r="E54" s="32">
        <v>14.35</v>
      </c>
      <c r="F54" s="1" t="s">
        <v>23</v>
      </c>
      <c r="G54" s="1" t="s">
        <v>20</v>
      </c>
      <c r="H54" s="1"/>
      <c r="I54" s="2">
        <v>0.5</v>
      </c>
      <c r="J54" s="2">
        <v>0.5</v>
      </c>
      <c r="K54" s="2">
        <v>0</v>
      </c>
    </row>
    <row r="55" spans="1:11" ht="15.6" x14ac:dyDescent="0.3">
      <c r="A55" s="1">
        <v>54</v>
      </c>
      <c r="B55" s="1" t="s">
        <v>83</v>
      </c>
      <c r="C55" s="1">
        <v>17</v>
      </c>
      <c r="D55" s="13">
        <v>1.5E+20</v>
      </c>
      <c r="E55" s="32">
        <v>14.5</v>
      </c>
      <c r="F55" s="1" t="s">
        <v>23</v>
      </c>
      <c r="G55" s="1"/>
      <c r="H55" s="1"/>
      <c r="I55" s="2">
        <v>1</v>
      </c>
      <c r="J55" s="2">
        <v>0</v>
      </c>
      <c r="K55" s="2">
        <v>0</v>
      </c>
    </row>
    <row r="56" spans="1:11" ht="15.6" x14ac:dyDescent="0.3">
      <c r="A56" s="1">
        <v>55</v>
      </c>
      <c r="B56" s="1" t="s">
        <v>84</v>
      </c>
      <c r="C56" s="1">
        <v>17</v>
      </c>
      <c r="D56" s="13">
        <v>3.6E+20</v>
      </c>
      <c r="E56" s="32">
        <v>14.65</v>
      </c>
      <c r="F56" s="1" t="s">
        <v>23</v>
      </c>
      <c r="G56" s="1" t="s">
        <v>22</v>
      </c>
      <c r="H56" s="1" t="s">
        <v>24</v>
      </c>
      <c r="I56" s="2">
        <v>0.7</v>
      </c>
      <c r="J56" s="2">
        <v>0.2</v>
      </c>
      <c r="K56" s="2">
        <v>0.1</v>
      </c>
    </row>
    <row r="57" spans="1:11" ht="15.6" x14ac:dyDescent="0.3">
      <c r="A57" s="1">
        <v>56</v>
      </c>
      <c r="B57" s="1" t="s">
        <v>85</v>
      </c>
      <c r="C57" s="1">
        <v>18</v>
      </c>
      <c r="D57" s="13">
        <v>9E+20</v>
      </c>
      <c r="E57" s="32">
        <v>14.8</v>
      </c>
      <c r="F57" s="1" t="s">
        <v>24</v>
      </c>
      <c r="G57" s="1" t="s">
        <v>21</v>
      </c>
      <c r="H57" s="1"/>
      <c r="I57" s="2">
        <v>0.6</v>
      </c>
      <c r="J57" s="2">
        <v>0.4</v>
      </c>
      <c r="K57" s="2">
        <v>0</v>
      </c>
    </row>
    <row r="58" spans="1:11" ht="15.6" x14ac:dyDescent="0.3">
      <c r="A58" s="1">
        <v>57</v>
      </c>
      <c r="B58" s="1" t="s">
        <v>86</v>
      </c>
      <c r="C58" s="1">
        <v>18</v>
      </c>
      <c r="D58" s="13">
        <v>2.6E+21</v>
      </c>
      <c r="E58" s="32">
        <v>14.95</v>
      </c>
      <c r="F58" s="1" t="s">
        <v>24</v>
      </c>
      <c r="G58" s="1"/>
      <c r="H58" s="1"/>
      <c r="I58" s="2">
        <v>1</v>
      </c>
      <c r="J58" s="2">
        <v>0</v>
      </c>
      <c r="K58" s="2">
        <v>0</v>
      </c>
    </row>
    <row r="59" spans="1:11" ht="15.6" x14ac:dyDescent="0.3">
      <c r="A59" s="1">
        <v>58</v>
      </c>
      <c r="B59" s="1" t="s">
        <v>87</v>
      </c>
      <c r="C59" s="1">
        <v>18</v>
      </c>
      <c r="D59" s="13">
        <v>7.5E+21</v>
      </c>
      <c r="E59" s="32">
        <v>15.1</v>
      </c>
      <c r="F59" s="1" t="s">
        <v>24</v>
      </c>
      <c r="G59" s="1" t="s">
        <v>23</v>
      </c>
      <c r="H59" s="1" t="s">
        <v>25</v>
      </c>
      <c r="I59" s="2">
        <v>0.4</v>
      </c>
      <c r="J59" s="2">
        <v>0.4</v>
      </c>
      <c r="K59" s="2">
        <v>0.2</v>
      </c>
    </row>
    <row r="60" spans="1:11" ht="15.6" x14ac:dyDescent="0.3">
      <c r="A60" s="1">
        <v>59</v>
      </c>
      <c r="B60" s="1" t="s">
        <v>88</v>
      </c>
      <c r="C60" s="1">
        <v>19</v>
      </c>
      <c r="D60" s="13">
        <v>2.1000000000000002E+22</v>
      </c>
      <c r="E60" s="32">
        <v>15.25</v>
      </c>
      <c r="F60" s="1" t="s">
        <v>25</v>
      </c>
      <c r="G60" s="1" t="s">
        <v>22</v>
      </c>
      <c r="H60" s="1"/>
      <c r="I60" s="2">
        <v>0.7</v>
      </c>
      <c r="J60" s="2">
        <v>0.3</v>
      </c>
      <c r="K60" s="2">
        <v>0</v>
      </c>
    </row>
    <row r="61" spans="1:11" ht="15.6" x14ac:dyDescent="0.3">
      <c r="A61" s="1">
        <v>60</v>
      </c>
      <c r="B61" s="1" t="s">
        <v>89</v>
      </c>
      <c r="C61" s="1">
        <v>19</v>
      </c>
      <c r="D61" s="13">
        <v>5.9000000000000002E+22</v>
      </c>
      <c r="E61" s="32">
        <v>15.4</v>
      </c>
      <c r="F61" s="1" t="s">
        <v>25</v>
      </c>
      <c r="G61" s="1"/>
      <c r="H61" s="1"/>
      <c r="I61" s="2">
        <v>1</v>
      </c>
      <c r="J61" s="2">
        <v>0</v>
      </c>
      <c r="K61" s="2">
        <v>0</v>
      </c>
    </row>
    <row r="62" spans="1:11" ht="15.6" x14ac:dyDescent="0.3">
      <c r="A62" s="1">
        <v>61</v>
      </c>
      <c r="B62" s="1" t="s">
        <v>90</v>
      </c>
      <c r="C62" s="1">
        <v>19</v>
      </c>
      <c r="D62" s="13">
        <v>1.7E+23</v>
      </c>
      <c r="E62" s="32">
        <v>15.55</v>
      </c>
      <c r="F62" s="1" t="s">
        <v>25</v>
      </c>
      <c r="G62" s="1" t="s">
        <v>26</v>
      </c>
      <c r="H62" s="1"/>
      <c r="I62" s="2">
        <v>0.7</v>
      </c>
      <c r="J62" s="2">
        <v>0.3</v>
      </c>
      <c r="K62" s="2">
        <v>0</v>
      </c>
    </row>
    <row r="63" spans="1:11" ht="15.6" x14ac:dyDescent="0.3">
      <c r="A63" s="1">
        <v>62</v>
      </c>
      <c r="B63" s="1" t="s">
        <v>91</v>
      </c>
      <c r="C63" s="1">
        <v>20</v>
      </c>
      <c r="D63" s="13">
        <v>4.6000000000000001E+23</v>
      </c>
      <c r="E63" s="32">
        <v>15.7</v>
      </c>
      <c r="F63" s="1" t="s">
        <v>26</v>
      </c>
      <c r="G63" s="1" t="s">
        <v>23</v>
      </c>
      <c r="H63" s="1"/>
      <c r="I63" s="2">
        <v>0.55000000000000004</v>
      </c>
      <c r="J63" s="2">
        <v>0.45</v>
      </c>
      <c r="K63" s="2">
        <v>0</v>
      </c>
    </row>
    <row r="64" spans="1:11" ht="15.6" x14ac:dyDescent="0.3">
      <c r="A64" s="1">
        <v>63</v>
      </c>
      <c r="B64" s="1" t="s">
        <v>92</v>
      </c>
      <c r="C64" s="1">
        <v>20</v>
      </c>
      <c r="D64" s="13">
        <v>1.2999999999999999E+24</v>
      </c>
      <c r="E64" s="32">
        <v>15.85</v>
      </c>
      <c r="F64" s="1" t="s">
        <v>26</v>
      </c>
      <c r="G64" s="1"/>
      <c r="H64" s="1"/>
      <c r="I64" s="2">
        <v>1</v>
      </c>
      <c r="J64" s="2">
        <v>0</v>
      </c>
      <c r="K64" s="2">
        <v>0</v>
      </c>
    </row>
    <row r="65" spans="1:11" ht="15.6" x14ac:dyDescent="0.3">
      <c r="A65" s="1">
        <v>64</v>
      </c>
      <c r="B65" s="1" t="s">
        <v>93</v>
      </c>
      <c r="C65" s="1">
        <v>20</v>
      </c>
      <c r="D65" s="13">
        <v>3.8999999999999998E+24</v>
      </c>
      <c r="E65" s="32">
        <v>16</v>
      </c>
      <c r="F65" s="1" t="s">
        <v>26</v>
      </c>
      <c r="G65" s="1" t="s">
        <v>25</v>
      </c>
      <c r="H65" s="1" t="s">
        <v>27</v>
      </c>
      <c r="I65" s="2">
        <v>0.5</v>
      </c>
      <c r="J65" s="2">
        <v>0.25</v>
      </c>
      <c r="K65" s="2">
        <v>0.25</v>
      </c>
    </row>
    <row r="66" spans="1:11" ht="15.6" x14ac:dyDescent="0.3">
      <c r="A66" s="1">
        <v>65</v>
      </c>
      <c r="B66" s="1" t="s">
        <v>94</v>
      </c>
      <c r="C66" s="1">
        <v>21</v>
      </c>
      <c r="D66" s="13">
        <v>1.1000000000000002E+25</v>
      </c>
      <c r="E66" s="32">
        <v>16.149999999999999</v>
      </c>
      <c r="F66" s="1" t="s">
        <v>27</v>
      </c>
      <c r="G66" s="1" t="s">
        <v>26</v>
      </c>
      <c r="H66" s="1" t="s">
        <v>24</v>
      </c>
      <c r="I66" s="2">
        <v>0.6</v>
      </c>
      <c r="J66" s="2">
        <v>0.2</v>
      </c>
      <c r="K66" s="2">
        <v>0.2</v>
      </c>
    </row>
    <row r="67" spans="1:11" ht="15.6" x14ac:dyDescent="0.3">
      <c r="A67" s="1">
        <v>66</v>
      </c>
      <c r="B67" s="1" t="s">
        <v>95</v>
      </c>
      <c r="C67" s="1">
        <v>21</v>
      </c>
      <c r="D67" s="13">
        <v>3.3000000000000001E+25</v>
      </c>
      <c r="E67" s="32">
        <v>16.3</v>
      </c>
      <c r="F67" s="1" t="s">
        <v>27</v>
      </c>
      <c r="G67" s="1"/>
      <c r="H67" s="1"/>
      <c r="I67" s="2">
        <v>1</v>
      </c>
      <c r="J67" s="2">
        <v>0</v>
      </c>
      <c r="K67" s="2">
        <v>0</v>
      </c>
    </row>
    <row r="68" spans="1:11" ht="15.6" x14ac:dyDescent="0.3">
      <c r="A68" s="1">
        <v>67</v>
      </c>
      <c r="B68" s="1" t="s">
        <v>96</v>
      </c>
      <c r="C68" s="1">
        <v>21</v>
      </c>
      <c r="D68" s="13">
        <v>9.5000000000000005E+25</v>
      </c>
      <c r="E68" s="32">
        <v>16.45</v>
      </c>
      <c r="F68" s="1" t="s">
        <v>27</v>
      </c>
      <c r="G68" s="1" t="s">
        <v>26</v>
      </c>
      <c r="H68" s="1" t="s">
        <v>28</v>
      </c>
      <c r="I68" s="2">
        <v>0.7</v>
      </c>
      <c r="J68" s="2">
        <v>0.2</v>
      </c>
      <c r="K68" s="2">
        <v>0.1</v>
      </c>
    </row>
    <row r="69" spans="1:11" ht="15.6" x14ac:dyDescent="0.3">
      <c r="A69" s="1">
        <v>68</v>
      </c>
      <c r="B69" s="1" t="s">
        <v>97</v>
      </c>
      <c r="C69" s="1">
        <v>22</v>
      </c>
      <c r="D69" s="13">
        <v>2.7000000000000004E+26</v>
      </c>
      <c r="E69" s="32">
        <v>16.600000000000001</v>
      </c>
      <c r="F69" s="1" t="s">
        <v>28</v>
      </c>
      <c r="G69" s="1" t="s">
        <v>25</v>
      </c>
      <c r="H69" s="1"/>
      <c r="I69" s="2">
        <v>0.6</v>
      </c>
      <c r="J69" s="2">
        <v>0.4</v>
      </c>
      <c r="K69" s="2">
        <v>0</v>
      </c>
    </row>
    <row r="70" spans="1:11" ht="15.6" x14ac:dyDescent="0.3">
      <c r="A70" s="1">
        <v>69</v>
      </c>
      <c r="B70" s="1" t="s">
        <v>98</v>
      </c>
      <c r="C70" s="1">
        <v>22</v>
      </c>
      <c r="D70" s="13">
        <v>8.0000000000000004E+26</v>
      </c>
      <c r="E70" s="32">
        <v>16.75</v>
      </c>
      <c r="F70" s="1" t="s">
        <v>28</v>
      </c>
      <c r="G70" s="1" t="s">
        <v>27</v>
      </c>
      <c r="H70" s="1"/>
      <c r="I70" s="2">
        <v>0.8</v>
      </c>
      <c r="J70" s="2">
        <v>0.2</v>
      </c>
      <c r="K70" s="2">
        <v>0</v>
      </c>
    </row>
    <row r="71" spans="1:11" ht="15.6" x14ac:dyDescent="0.3">
      <c r="A71" s="1">
        <v>70</v>
      </c>
      <c r="B71" s="1" t="s">
        <v>99</v>
      </c>
      <c r="C71" s="1">
        <v>22</v>
      </c>
      <c r="D71" s="13">
        <v>2.4E+27</v>
      </c>
      <c r="E71" s="32">
        <v>16.899999999999999</v>
      </c>
      <c r="F71" s="1" t="s">
        <v>28</v>
      </c>
      <c r="G71" s="1"/>
      <c r="H71" s="1"/>
      <c r="I71" s="2">
        <v>1</v>
      </c>
      <c r="J71" s="2">
        <v>0</v>
      </c>
      <c r="K71" s="2">
        <v>0</v>
      </c>
    </row>
    <row r="72" spans="1:11" ht="15.6" x14ac:dyDescent="0.3">
      <c r="A72" s="1">
        <v>71</v>
      </c>
      <c r="B72" s="1" t="s">
        <v>100</v>
      </c>
      <c r="C72" s="1">
        <v>23</v>
      </c>
      <c r="D72" s="13">
        <v>6.9199999999999996E+27</v>
      </c>
      <c r="E72" s="32">
        <v>17.05</v>
      </c>
      <c r="F72" s="1" t="s">
        <v>28</v>
      </c>
      <c r="G72" s="1" t="s">
        <v>27</v>
      </c>
      <c r="H72" s="1" t="s">
        <v>29</v>
      </c>
      <c r="I72" s="2">
        <v>0.4</v>
      </c>
      <c r="J72" s="2">
        <v>0.4</v>
      </c>
      <c r="K72" s="2">
        <v>0.2</v>
      </c>
    </row>
    <row r="73" spans="1:11" ht="15.6" x14ac:dyDescent="0.3">
      <c r="A73" s="1">
        <v>72</v>
      </c>
      <c r="B73" s="1" t="s">
        <v>101</v>
      </c>
      <c r="C73" s="1">
        <v>23</v>
      </c>
      <c r="D73" s="13">
        <v>2.0800000000000001E+28</v>
      </c>
      <c r="E73" s="32">
        <v>17.2</v>
      </c>
      <c r="F73" s="1" t="s">
        <v>29</v>
      </c>
      <c r="G73" s="1" t="s">
        <v>26</v>
      </c>
      <c r="H73" s="1"/>
      <c r="I73" s="2">
        <v>0.7</v>
      </c>
      <c r="J73" s="2">
        <v>0.3</v>
      </c>
      <c r="K73" s="2">
        <v>0</v>
      </c>
    </row>
    <row r="74" spans="1:11" ht="15.6" x14ac:dyDescent="0.3">
      <c r="A74" s="1">
        <v>73</v>
      </c>
      <c r="B74" s="1" t="s">
        <v>102</v>
      </c>
      <c r="C74" s="1">
        <v>23</v>
      </c>
      <c r="D74" s="13">
        <v>6.2300000000000003E+28</v>
      </c>
      <c r="E74" s="32">
        <v>17.350000000000001</v>
      </c>
      <c r="F74" s="1" t="s">
        <v>29</v>
      </c>
      <c r="G74" s="1"/>
      <c r="H74" s="1"/>
      <c r="I74" s="2">
        <v>1</v>
      </c>
      <c r="J74" s="2">
        <v>0</v>
      </c>
      <c r="K74" s="2">
        <v>0</v>
      </c>
    </row>
    <row r="75" spans="1:11" ht="15.6" x14ac:dyDescent="0.3">
      <c r="A75" s="1">
        <v>74</v>
      </c>
      <c r="B75" s="1" t="s">
        <v>134</v>
      </c>
      <c r="C75" s="1">
        <v>24</v>
      </c>
      <c r="D75" s="13">
        <v>1.7799999999999999E+29</v>
      </c>
      <c r="E75" s="32">
        <v>17.5</v>
      </c>
      <c r="F75" s="1" t="s">
        <v>29</v>
      </c>
      <c r="G75" s="2" t="s">
        <v>137</v>
      </c>
      <c r="H75" s="1"/>
      <c r="I75" s="2">
        <v>0.6</v>
      </c>
      <c r="J75" s="2">
        <v>0.4</v>
      </c>
      <c r="K75" s="2"/>
    </row>
    <row r="76" spans="1:11" ht="15.6" x14ac:dyDescent="0.3">
      <c r="A76" s="1">
        <v>75</v>
      </c>
      <c r="B76" s="1" t="s">
        <v>135</v>
      </c>
      <c r="C76" s="1">
        <v>24</v>
      </c>
      <c r="D76" s="13">
        <v>5.1599999999999994E+29</v>
      </c>
      <c r="E76" s="32">
        <v>17.649999999999999</v>
      </c>
      <c r="F76" s="1" t="s">
        <v>137</v>
      </c>
      <c r="G76" s="2" t="s">
        <v>28</v>
      </c>
      <c r="H76" s="1"/>
      <c r="I76" s="2">
        <v>0.7</v>
      </c>
      <c r="J76" s="2">
        <v>0.3</v>
      </c>
      <c r="K76" s="2"/>
    </row>
    <row r="77" spans="1:11" ht="15.6" x14ac:dyDescent="0.3">
      <c r="A77" s="1">
        <v>76</v>
      </c>
      <c r="B77" s="1" t="s">
        <v>138</v>
      </c>
      <c r="C77" s="1">
        <v>24</v>
      </c>
      <c r="D77" s="13">
        <v>1.8100000000000001E+30</v>
      </c>
      <c r="E77" s="32">
        <v>17.8</v>
      </c>
      <c r="F77" s="1" t="s">
        <v>137</v>
      </c>
      <c r="G77" s="2"/>
      <c r="H77" s="1"/>
      <c r="I77" s="2">
        <v>1</v>
      </c>
      <c r="J77" s="2"/>
      <c r="K77" s="2"/>
    </row>
  </sheetData>
  <phoneticPr fontId="3" type="noConversion"/>
  <dataValidations count="2">
    <dataValidation type="list" allowBlank="1" showInputMessage="1" showErrorMessage="1" errorTitle="Invalid ore symbol" error="Choose an ore symbol from the dropdown list." promptTitle="Ore symbol" prompt="Select a valid symbol from the dropdown." sqref="F2:H77" xr:uid="{19334943-3D35-4DA1-BF89-BD5DAA60A6AD}">
      <formula1>OreSymbols</formula1>
    </dataValidation>
    <dataValidation type="decimal" allowBlank="1" showInputMessage="1" showErrorMessage="1" errorTitle="Invalid yield" error="Enter a yield from 0% to 100%." promptTitle="Yield percentage" prompt="Enter a value between 0% and 100%." sqref="I2:K77" xr:uid="{ACF2D108-6A19-4C59-8326-2C1C9C2991D8}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15D97-DE80-4B78-A947-CA10A176ACAF}">
  <sheetPr codeName="Sheet5"/>
  <dimension ref="A1:F28"/>
  <sheetViews>
    <sheetView workbookViewId="0">
      <selection activeCell="E17" sqref="E17"/>
    </sheetView>
  </sheetViews>
  <sheetFormatPr defaultColWidth="26" defaultRowHeight="14.4" x14ac:dyDescent="0.3"/>
  <cols>
    <col min="1" max="1" width="11.6640625" bestFit="1" customWidth="1"/>
    <col min="2" max="2" width="13" bestFit="1" customWidth="1"/>
    <col min="3" max="3" width="10.5546875" bestFit="1" customWidth="1"/>
    <col min="4" max="4" width="15.6640625" bestFit="1" customWidth="1"/>
    <col min="5" max="5" width="20.88671875" bestFit="1" customWidth="1"/>
    <col min="6" max="6" width="25.109375" bestFit="1" customWidth="1"/>
  </cols>
  <sheetData>
    <row r="1" spans="1:6" ht="15" x14ac:dyDescent="0.3">
      <c r="A1" s="4" t="s">
        <v>103</v>
      </c>
      <c r="B1" s="4" t="s">
        <v>131</v>
      </c>
      <c r="C1" s="4" t="s">
        <v>104</v>
      </c>
      <c r="D1" s="4" t="s">
        <v>142</v>
      </c>
      <c r="E1" s="5" t="s">
        <v>143</v>
      </c>
      <c r="F1" s="5" t="s">
        <v>144</v>
      </c>
    </row>
    <row r="2" spans="1:6" ht="15" x14ac:dyDescent="0.3">
      <c r="A2" s="6" t="s">
        <v>105</v>
      </c>
      <c r="B2" s="6" t="s">
        <v>4</v>
      </c>
      <c r="C2" s="4">
        <v>0</v>
      </c>
      <c r="D2" s="4">
        <f>(tblOreValues[[#This Row],[Stars]]*0.2)+1</f>
        <v>1</v>
      </c>
      <c r="E2" s="7">
        <v>1</v>
      </c>
      <c r="F2" s="7">
        <f>tblOreValues[[#This Row],[Base Amount]]*tblOreValues[[#This Row],[Multiplier]]</f>
        <v>1</v>
      </c>
    </row>
    <row r="3" spans="1:6" ht="15" x14ac:dyDescent="0.3">
      <c r="A3" s="6" t="s">
        <v>106</v>
      </c>
      <c r="B3" s="6" t="s">
        <v>5</v>
      </c>
      <c r="C3" s="4">
        <v>0</v>
      </c>
      <c r="D3" s="4">
        <f>(tblOreValues[[#This Row],[Stars]]*0.2)+1</f>
        <v>1</v>
      </c>
      <c r="E3" s="7">
        <v>2</v>
      </c>
      <c r="F3" s="7">
        <f>tblOreValues[[#This Row],[Base Amount]]*tblOreValues[[#This Row],[Multiplier]]</f>
        <v>2</v>
      </c>
    </row>
    <row r="4" spans="1:6" ht="15" x14ac:dyDescent="0.3">
      <c r="A4" s="6" t="s">
        <v>107</v>
      </c>
      <c r="B4" s="6" t="s">
        <v>6</v>
      </c>
      <c r="C4" s="4">
        <v>0</v>
      </c>
      <c r="D4" s="4">
        <f>(tblOreValues[[#This Row],[Stars]]*0.2)+1</f>
        <v>1</v>
      </c>
      <c r="E4" s="7">
        <v>4</v>
      </c>
      <c r="F4" s="7">
        <f>tblOreValues[[#This Row],[Base Amount]]*tblOreValues[[#This Row],[Multiplier]]</f>
        <v>4</v>
      </c>
    </row>
    <row r="5" spans="1:6" ht="15" x14ac:dyDescent="0.3">
      <c r="A5" s="6" t="s">
        <v>108</v>
      </c>
      <c r="B5" s="6" t="s">
        <v>7</v>
      </c>
      <c r="C5" s="4">
        <v>0</v>
      </c>
      <c r="D5" s="4">
        <f>(tblOreValues[[#This Row],[Stars]]*0.2)+1</f>
        <v>1</v>
      </c>
      <c r="E5" s="7">
        <v>8</v>
      </c>
      <c r="F5" s="7">
        <f>tblOreValues[[#This Row],[Base Amount]]*tblOreValues[[#This Row],[Multiplier]]</f>
        <v>8</v>
      </c>
    </row>
    <row r="6" spans="1:6" ht="15" x14ac:dyDescent="0.3">
      <c r="A6" s="6" t="s">
        <v>109</v>
      </c>
      <c r="B6" s="6" t="s">
        <v>8</v>
      </c>
      <c r="C6" s="4">
        <v>0</v>
      </c>
      <c r="D6" s="4">
        <f>(tblOreValues[[#This Row],[Stars]]*0.2)+1</f>
        <v>1</v>
      </c>
      <c r="E6" s="7">
        <v>17</v>
      </c>
      <c r="F6" s="7">
        <f>tblOreValues[[#This Row],[Base Amount]]*tblOreValues[[#This Row],[Multiplier]]</f>
        <v>17</v>
      </c>
    </row>
    <row r="7" spans="1:6" ht="15" x14ac:dyDescent="0.3">
      <c r="A7" s="6" t="s">
        <v>110</v>
      </c>
      <c r="B7" s="6" t="s">
        <v>9</v>
      </c>
      <c r="C7" s="4">
        <v>0</v>
      </c>
      <c r="D7" s="4">
        <f>(tblOreValues[[#This Row],[Stars]]*0.2)+1</f>
        <v>1</v>
      </c>
      <c r="E7" s="7">
        <v>36</v>
      </c>
      <c r="F7" s="7">
        <f>tblOreValues[[#This Row],[Base Amount]]*tblOreValues[[#This Row],[Multiplier]]</f>
        <v>36</v>
      </c>
    </row>
    <row r="8" spans="1:6" ht="15" x14ac:dyDescent="0.3">
      <c r="A8" s="6" t="s">
        <v>111</v>
      </c>
      <c r="B8" s="6" t="s">
        <v>10</v>
      </c>
      <c r="C8" s="4">
        <v>0</v>
      </c>
      <c r="D8" s="4">
        <f>(tblOreValues[[#This Row],[Stars]]*0.2)+1</f>
        <v>1</v>
      </c>
      <c r="E8" s="7">
        <v>75</v>
      </c>
      <c r="F8" s="7">
        <f>tblOreValues[[#This Row],[Base Amount]]*tblOreValues[[#This Row],[Multiplier]]</f>
        <v>75</v>
      </c>
    </row>
    <row r="9" spans="1:6" ht="15" x14ac:dyDescent="0.3">
      <c r="A9" s="6" t="s">
        <v>112</v>
      </c>
      <c r="B9" s="6" t="s">
        <v>11</v>
      </c>
      <c r="C9" s="4">
        <v>0</v>
      </c>
      <c r="D9" s="4">
        <f>(tblOreValues[[#This Row],[Stars]]*0.2)+1</f>
        <v>1</v>
      </c>
      <c r="E9" s="7">
        <v>160</v>
      </c>
      <c r="F9" s="7">
        <f>tblOreValues[[#This Row],[Base Amount]]*tblOreValues[[#This Row],[Multiplier]]</f>
        <v>160</v>
      </c>
    </row>
    <row r="10" spans="1:6" ht="15" x14ac:dyDescent="0.3">
      <c r="A10" s="6" t="s">
        <v>113</v>
      </c>
      <c r="B10" s="6" t="s">
        <v>12</v>
      </c>
      <c r="C10" s="4">
        <v>0</v>
      </c>
      <c r="D10" s="4">
        <f>(tblOreValues[[#This Row],[Stars]]*0.2)+1</f>
        <v>1</v>
      </c>
      <c r="E10" s="7">
        <v>340</v>
      </c>
      <c r="F10" s="7">
        <f>tblOreValues[[#This Row],[Base Amount]]*tblOreValues[[#This Row],[Multiplier]]</f>
        <v>340</v>
      </c>
    </row>
    <row r="11" spans="1:6" ht="15" x14ac:dyDescent="0.3">
      <c r="A11" s="6" t="s">
        <v>114</v>
      </c>
      <c r="B11" s="6" t="s">
        <v>13</v>
      </c>
      <c r="C11" s="4">
        <v>0</v>
      </c>
      <c r="D11" s="4">
        <f>(tblOreValues[[#This Row],[Stars]]*0.2)+1</f>
        <v>1</v>
      </c>
      <c r="E11" s="7">
        <v>730</v>
      </c>
      <c r="F11" s="7">
        <f>tblOreValues[[#This Row],[Base Amount]]*tblOreValues[[#This Row],[Multiplier]]</f>
        <v>730</v>
      </c>
    </row>
    <row r="12" spans="1:6" ht="15" x14ac:dyDescent="0.3">
      <c r="A12" s="6" t="s">
        <v>115</v>
      </c>
      <c r="B12" s="6" t="s">
        <v>14</v>
      </c>
      <c r="C12" s="4">
        <v>0</v>
      </c>
      <c r="D12" s="4">
        <f>(tblOreValues[[#This Row],[Stars]]*0.2)+1</f>
        <v>1</v>
      </c>
      <c r="E12" s="7">
        <v>1600</v>
      </c>
      <c r="F12" s="7">
        <f>tblOreValues[[#This Row],[Base Amount]]*tblOreValues[[#This Row],[Multiplier]]</f>
        <v>1600</v>
      </c>
    </row>
    <row r="13" spans="1:6" ht="15" x14ac:dyDescent="0.3">
      <c r="A13" s="6" t="s">
        <v>116</v>
      </c>
      <c r="B13" s="6" t="s">
        <v>15</v>
      </c>
      <c r="C13" s="4">
        <v>0</v>
      </c>
      <c r="D13" s="4">
        <f>(tblOreValues[[#This Row],[Stars]]*0.2)+1</f>
        <v>1</v>
      </c>
      <c r="E13" s="7">
        <v>3500</v>
      </c>
      <c r="F13" s="7">
        <f>tblOreValues[[#This Row],[Base Amount]]*tblOreValues[[#This Row],[Multiplier]]</f>
        <v>3500</v>
      </c>
    </row>
    <row r="14" spans="1:6" ht="15" x14ac:dyDescent="0.3">
      <c r="A14" s="6" t="s">
        <v>117</v>
      </c>
      <c r="B14" s="6" t="s">
        <v>16</v>
      </c>
      <c r="C14" s="4">
        <v>0</v>
      </c>
      <c r="D14" s="4">
        <f>(tblOreValues[[#This Row],[Stars]]*0.2)+1</f>
        <v>1</v>
      </c>
      <c r="E14" s="7">
        <v>7800</v>
      </c>
      <c r="F14" s="7">
        <f>tblOreValues[[#This Row],[Base Amount]]*tblOreValues[[#This Row],[Multiplier]]</f>
        <v>7800</v>
      </c>
    </row>
    <row r="15" spans="1:6" ht="15" x14ac:dyDescent="0.3">
      <c r="A15" s="6" t="s">
        <v>118</v>
      </c>
      <c r="B15" s="6" t="s">
        <v>17</v>
      </c>
      <c r="C15" s="4">
        <v>0</v>
      </c>
      <c r="D15" s="4">
        <f>(tblOreValues[[#This Row],[Stars]]*0.2)+1</f>
        <v>1</v>
      </c>
      <c r="E15" s="7">
        <v>17500</v>
      </c>
      <c r="F15" s="7">
        <f>tblOreValues[[#This Row],[Base Amount]]*tblOreValues[[#This Row],[Multiplier]]</f>
        <v>17500</v>
      </c>
    </row>
    <row r="16" spans="1:6" ht="15" x14ac:dyDescent="0.3">
      <c r="A16" s="6" t="s">
        <v>119</v>
      </c>
      <c r="B16" s="6" t="s">
        <v>18</v>
      </c>
      <c r="C16" s="4">
        <v>0</v>
      </c>
      <c r="D16" s="4">
        <f>(tblOreValues[[#This Row],[Stars]]*0.2)+1</f>
        <v>1</v>
      </c>
      <c r="E16" s="7">
        <v>40000</v>
      </c>
      <c r="F16" s="7">
        <f>tblOreValues[[#This Row],[Base Amount]]*tblOreValues[[#This Row],[Multiplier]]</f>
        <v>40000</v>
      </c>
    </row>
    <row r="17" spans="1:6" ht="15" x14ac:dyDescent="0.3">
      <c r="A17" s="6" t="s">
        <v>120</v>
      </c>
      <c r="B17" s="6" t="s">
        <v>19</v>
      </c>
      <c r="C17" s="4">
        <v>0</v>
      </c>
      <c r="D17" s="4">
        <f>(tblOreValues[[#This Row],[Stars]]*0.2)+1</f>
        <v>1</v>
      </c>
      <c r="E17" s="7">
        <v>92000</v>
      </c>
      <c r="F17" s="7">
        <f>tblOreValues[[#This Row],[Base Amount]]*tblOreValues[[#This Row],[Multiplier]]</f>
        <v>92000</v>
      </c>
    </row>
    <row r="18" spans="1:6" ht="15" x14ac:dyDescent="0.3">
      <c r="A18" s="6" t="s">
        <v>121</v>
      </c>
      <c r="B18" s="6" t="s">
        <v>20</v>
      </c>
      <c r="C18" s="4">
        <v>0</v>
      </c>
      <c r="D18" s="4">
        <f>(tblOreValues[[#This Row],[Stars]]*0.2)+1</f>
        <v>1</v>
      </c>
      <c r="E18" s="7">
        <v>215000</v>
      </c>
      <c r="F18" s="7">
        <f>tblOreValues[[#This Row],[Base Amount]]*tblOreValues[[#This Row],[Multiplier]]</f>
        <v>215000</v>
      </c>
    </row>
    <row r="19" spans="1:6" ht="15" x14ac:dyDescent="0.3">
      <c r="A19" s="6" t="s">
        <v>122</v>
      </c>
      <c r="B19" s="6" t="s">
        <v>21</v>
      </c>
      <c r="C19" s="4">
        <v>0</v>
      </c>
      <c r="D19" s="4">
        <f>(tblOreValues[[#This Row],[Stars]]*0.2)+1</f>
        <v>1</v>
      </c>
      <c r="E19" s="7">
        <v>510000</v>
      </c>
      <c r="F19" s="7">
        <f>tblOreValues[[#This Row],[Base Amount]]*tblOreValues[[#This Row],[Multiplier]]</f>
        <v>510000</v>
      </c>
    </row>
    <row r="20" spans="1:6" ht="15" x14ac:dyDescent="0.3">
      <c r="A20" s="6" t="s">
        <v>123</v>
      </c>
      <c r="B20" s="6" t="s">
        <v>22</v>
      </c>
      <c r="C20" s="4">
        <v>0</v>
      </c>
      <c r="D20" s="4">
        <f>(tblOreValues[[#This Row],[Stars]]*0.2)+1</f>
        <v>1</v>
      </c>
      <c r="E20" s="7">
        <v>1250000</v>
      </c>
      <c r="F20" s="7">
        <f>tblOreValues[[#This Row],[Base Amount]]*tblOreValues[[#This Row],[Multiplier]]</f>
        <v>1250000</v>
      </c>
    </row>
    <row r="21" spans="1:6" ht="15" x14ac:dyDescent="0.3">
      <c r="A21" s="6" t="s">
        <v>124</v>
      </c>
      <c r="B21" s="6" t="s">
        <v>23</v>
      </c>
      <c r="C21" s="4">
        <v>0</v>
      </c>
      <c r="D21" s="4">
        <f>(tblOreValues[[#This Row],[Stars]]*0.2)+1</f>
        <v>1</v>
      </c>
      <c r="E21" s="7">
        <v>3200000</v>
      </c>
      <c r="F21" s="7">
        <f>tblOreValues[[#This Row],[Base Amount]]*tblOreValues[[#This Row],[Multiplier]]</f>
        <v>3200000</v>
      </c>
    </row>
    <row r="22" spans="1:6" ht="15" x14ac:dyDescent="0.3">
      <c r="A22" s="6" t="s">
        <v>125</v>
      </c>
      <c r="B22" s="6" t="s">
        <v>24</v>
      </c>
      <c r="C22" s="4">
        <v>0</v>
      </c>
      <c r="D22" s="4">
        <f>(tblOreValues[[#This Row],[Stars]]*0.2)+1</f>
        <v>1</v>
      </c>
      <c r="E22" s="7">
        <v>9000000</v>
      </c>
      <c r="F22" s="7">
        <f>tblOreValues[[#This Row],[Base Amount]]*tblOreValues[[#This Row],[Multiplier]]</f>
        <v>9000000</v>
      </c>
    </row>
    <row r="23" spans="1:6" ht="15" x14ac:dyDescent="0.3">
      <c r="A23" s="6" t="s">
        <v>126</v>
      </c>
      <c r="B23" s="6" t="s">
        <v>25</v>
      </c>
      <c r="C23" s="4">
        <v>0</v>
      </c>
      <c r="D23" s="4">
        <f>(tblOreValues[[#This Row],[Stars]]*0.2)+1</f>
        <v>1</v>
      </c>
      <c r="E23" s="7">
        <v>28000000</v>
      </c>
      <c r="F23" s="7">
        <f>tblOreValues[[#This Row],[Base Amount]]*tblOreValues[[#This Row],[Multiplier]]</f>
        <v>28000000</v>
      </c>
    </row>
    <row r="24" spans="1:6" ht="15" x14ac:dyDescent="0.3">
      <c r="A24" s="6" t="s">
        <v>127</v>
      </c>
      <c r="B24" s="6" t="s">
        <v>26</v>
      </c>
      <c r="C24" s="4">
        <v>0</v>
      </c>
      <c r="D24" s="4">
        <f>(tblOreValues[[#This Row],[Stars]]*0.2)+1</f>
        <v>1</v>
      </c>
      <c r="E24" s="7">
        <v>90000000</v>
      </c>
      <c r="F24" s="7">
        <f>tblOreValues[[#This Row],[Base Amount]]*tblOreValues[[#This Row],[Multiplier]]</f>
        <v>90000000</v>
      </c>
    </row>
    <row r="25" spans="1:6" ht="15" x14ac:dyDescent="0.3">
      <c r="A25" s="6" t="s">
        <v>128</v>
      </c>
      <c r="B25" s="6" t="s">
        <v>27</v>
      </c>
      <c r="C25" s="4">
        <v>0</v>
      </c>
      <c r="D25" s="4">
        <f>(tblOreValues[[#This Row],[Stars]]*0.2)+1</f>
        <v>1</v>
      </c>
      <c r="E25" s="7">
        <v>300000000</v>
      </c>
      <c r="F25" s="7">
        <f>tblOreValues[[#This Row],[Base Amount]]*tblOreValues[[#This Row],[Multiplier]]</f>
        <v>300000000</v>
      </c>
    </row>
    <row r="26" spans="1:6" ht="15" x14ac:dyDescent="0.3">
      <c r="A26" s="6" t="s">
        <v>129</v>
      </c>
      <c r="B26" s="6" t="s">
        <v>28</v>
      </c>
      <c r="C26" s="4">
        <v>0</v>
      </c>
      <c r="D26" s="4">
        <f>(tblOreValues[[#This Row],[Stars]]*0.2)+1</f>
        <v>1</v>
      </c>
      <c r="E26" s="7">
        <v>1100000000</v>
      </c>
      <c r="F26" s="7">
        <f>tblOreValues[[#This Row],[Base Amount]]*tblOreValues[[#This Row],[Multiplier]]</f>
        <v>1100000000</v>
      </c>
    </row>
    <row r="27" spans="1:6" ht="15" x14ac:dyDescent="0.3">
      <c r="A27" s="6" t="s">
        <v>130</v>
      </c>
      <c r="B27" s="6" t="s">
        <v>29</v>
      </c>
      <c r="C27" s="4">
        <v>0</v>
      </c>
      <c r="D27" s="4">
        <f>(tblOreValues[[#This Row],[Stars]]*0.2)+1</f>
        <v>1</v>
      </c>
      <c r="E27" s="7">
        <v>4300000000</v>
      </c>
      <c r="F27" s="7">
        <f>tblOreValues[[#This Row],[Base Amount]]*tblOreValues[[#This Row],[Multiplier]]</f>
        <v>4300000000</v>
      </c>
    </row>
    <row r="28" spans="1:6" ht="15" x14ac:dyDescent="0.3">
      <c r="A28" s="6" t="s">
        <v>136</v>
      </c>
      <c r="B28" s="6" t="s">
        <v>137</v>
      </c>
      <c r="C28" s="4">
        <v>0</v>
      </c>
      <c r="D28" s="4">
        <f>(tblOreValues[[#This Row],[Stars]]*0.2)+1</f>
        <v>1</v>
      </c>
      <c r="E28" s="7">
        <v>18000000000</v>
      </c>
      <c r="F28" s="11">
        <f>tblOreValues[[#This Row],[Base Amount]]*tblOreValues[[#This Row],[Multiplier]]</f>
        <v>18000000000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C8F8-6C82-4213-8114-224DF590585F}">
  <sheetPr codeName="Sheet6"/>
  <dimension ref="A1:E77"/>
  <sheetViews>
    <sheetView workbookViewId="0">
      <selection activeCell="E12" sqref="E12"/>
    </sheetView>
  </sheetViews>
  <sheetFormatPr defaultRowHeight="14.4" x14ac:dyDescent="0.3"/>
  <cols>
    <col min="1" max="1" width="12.109375" style="14" bestFit="1" customWidth="1"/>
    <col min="2" max="3" width="18.5546875" style="15" bestFit="1" customWidth="1"/>
    <col min="4" max="4" width="17.5546875" style="15" bestFit="1" customWidth="1"/>
    <col min="5" max="5" width="18.5546875" style="14" bestFit="1" customWidth="1"/>
    <col min="6" max="16384" width="8.88671875" style="14"/>
  </cols>
  <sheetData>
    <row r="1" spans="1:5" x14ac:dyDescent="0.3">
      <c r="A1" s="14" t="s">
        <v>0</v>
      </c>
      <c r="B1" s="15" t="s">
        <v>146</v>
      </c>
      <c r="C1" s="15" t="s">
        <v>147</v>
      </c>
      <c r="D1" s="15" t="s">
        <v>148</v>
      </c>
      <c r="E1" s="14" t="s">
        <v>145</v>
      </c>
    </row>
    <row r="2" spans="1:5" x14ac:dyDescent="0.3">
      <c r="A2" s="14">
        <v>1</v>
      </c>
      <c r="B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</v>
      </c>
      <c r="C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" s="15">
        <f>SUM(tblplanetvalue[[#This Row],[Ore 1 Worth]:[Ore 3 Worth]])</f>
        <v>1</v>
      </c>
    </row>
    <row r="3" spans="1:5" x14ac:dyDescent="0.3">
      <c r="A3" s="14">
        <v>2</v>
      </c>
      <c r="B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0.8</v>
      </c>
      <c r="C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0.4</v>
      </c>
      <c r="D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" s="15">
        <f>SUM(tblplanetvalue[[#This Row],[Ore 1 Worth]:[Ore 3 Worth]])</f>
        <v>1.2000000000000002</v>
      </c>
    </row>
    <row r="4" spans="1:5" x14ac:dyDescent="0.3">
      <c r="A4" s="14">
        <v>3</v>
      </c>
      <c r="B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0.5</v>
      </c>
      <c r="C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</v>
      </c>
      <c r="D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" s="15">
        <f>SUM(tblplanetvalue[[#This Row],[Ore 1 Worth]:[Ore 3 Worth]])</f>
        <v>1.5</v>
      </c>
    </row>
    <row r="5" spans="1:5" x14ac:dyDescent="0.3">
      <c r="A5" s="14">
        <v>4</v>
      </c>
      <c r="B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1.6</v>
      </c>
      <c r="C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0.8</v>
      </c>
      <c r="D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" s="15">
        <f>SUM(tblplanetvalue[[#This Row],[Ore 1 Worth]:[Ore 3 Worth]])</f>
        <v>2.4000000000000004</v>
      </c>
    </row>
    <row r="6" spans="1:5" x14ac:dyDescent="0.3">
      <c r="A6" s="14">
        <v>5</v>
      </c>
      <c r="B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</v>
      </c>
      <c r="C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0.6</v>
      </c>
      <c r="D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0.2</v>
      </c>
      <c r="E6" s="15">
        <f>SUM(tblplanetvalue[[#This Row],[Ore 1 Worth]:[Ore 3 Worth]])</f>
        <v>2.8000000000000003</v>
      </c>
    </row>
    <row r="7" spans="1:5" x14ac:dyDescent="0.3">
      <c r="A7" s="14">
        <v>6</v>
      </c>
      <c r="B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</v>
      </c>
      <c r="C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" s="15">
        <f>SUM(tblplanetvalue[[#This Row],[Ore 1 Worth]:[Ore 3 Worth]])</f>
        <v>4</v>
      </c>
    </row>
    <row r="8" spans="1:5" x14ac:dyDescent="0.3">
      <c r="A8" s="14">
        <v>7</v>
      </c>
      <c r="B8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0.8</v>
      </c>
      <c r="C8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0.4</v>
      </c>
      <c r="D8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1.6</v>
      </c>
      <c r="E8" s="15">
        <f>SUM(tblplanetvalue[[#This Row],[Ore 1 Worth]:[Ore 3 Worth]])</f>
        <v>2.8000000000000003</v>
      </c>
    </row>
    <row r="9" spans="1:5" x14ac:dyDescent="0.3">
      <c r="A9" s="14">
        <v>8</v>
      </c>
      <c r="B9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4.8</v>
      </c>
      <c r="C9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0.4</v>
      </c>
      <c r="D9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9" s="15">
        <f>SUM(tblplanetvalue[[#This Row],[Ore 1 Worth]:[Ore 3 Worth]])</f>
        <v>5.2</v>
      </c>
    </row>
    <row r="10" spans="1:5" x14ac:dyDescent="0.3">
      <c r="A10" s="14">
        <v>9</v>
      </c>
      <c r="B10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6.4</v>
      </c>
      <c r="C10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3.4000000000000004</v>
      </c>
      <c r="D10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10" s="15">
        <f>SUM(tblplanetvalue[[#This Row],[Ore 1 Worth]:[Ore 3 Worth]])</f>
        <v>9.8000000000000007</v>
      </c>
    </row>
    <row r="11" spans="1:5" x14ac:dyDescent="0.3">
      <c r="A11" s="14">
        <v>10</v>
      </c>
      <c r="B11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8.5</v>
      </c>
      <c r="C11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2.4</v>
      </c>
      <c r="D11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0.8</v>
      </c>
      <c r="E11" s="15">
        <f>SUM(tblplanetvalue[[#This Row],[Ore 1 Worth]:[Ore 3 Worth]])</f>
        <v>11.700000000000001</v>
      </c>
    </row>
    <row r="12" spans="1:5" x14ac:dyDescent="0.3">
      <c r="A12" s="14">
        <v>11</v>
      </c>
      <c r="B1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17</v>
      </c>
      <c r="C1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1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12" s="15">
        <f>SUM(tblplanetvalue[[#This Row],[Ore 1 Worth]:[Ore 3 Worth]])</f>
        <v>17</v>
      </c>
    </row>
    <row r="13" spans="1:5" x14ac:dyDescent="0.3">
      <c r="A13" s="14">
        <v>12</v>
      </c>
      <c r="B1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1.8</v>
      </c>
      <c r="C1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2.8</v>
      </c>
      <c r="D1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7.2</v>
      </c>
      <c r="E13" s="15">
        <f>SUM(tblplanetvalue[[#This Row],[Ore 1 Worth]:[Ore 3 Worth]])</f>
        <v>11.8</v>
      </c>
    </row>
    <row r="14" spans="1:5" x14ac:dyDescent="0.3">
      <c r="A14" s="14">
        <v>13</v>
      </c>
      <c r="B1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28.8</v>
      </c>
      <c r="C1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3.4000000000000004</v>
      </c>
      <c r="D1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14" s="15">
        <f>SUM(tblplanetvalue[[#This Row],[Ore 1 Worth]:[Ore 3 Worth]])</f>
        <v>32.200000000000003</v>
      </c>
    </row>
    <row r="15" spans="1:5" x14ac:dyDescent="0.3">
      <c r="A15" s="14">
        <v>14</v>
      </c>
      <c r="B1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0.4</v>
      </c>
      <c r="C1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0.8</v>
      </c>
      <c r="D1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15</v>
      </c>
      <c r="E15" s="15">
        <f>SUM(tblplanetvalue[[#This Row],[Ore 1 Worth]:[Ore 3 Worth]])</f>
        <v>16.2</v>
      </c>
    </row>
    <row r="16" spans="1:5" x14ac:dyDescent="0.3">
      <c r="A16" s="14">
        <v>15</v>
      </c>
      <c r="B1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37.5</v>
      </c>
      <c r="C1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18</v>
      </c>
      <c r="D1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16" s="15">
        <f>SUM(tblplanetvalue[[#This Row],[Ore 1 Worth]:[Ore 3 Worth]])</f>
        <v>55.5</v>
      </c>
    </row>
    <row r="17" spans="1:5" x14ac:dyDescent="0.3">
      <c r="A17" s="14">
        <v>16</v>
      </c>
      <c r="B1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75</v>
      </c>
      <c r="C1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1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17" s="15">
        <f>SUM(tblplanetvalue[[#This Row],[Ore 1 Worth]:[Ore 3 Worth]])</f>
        <v>75</v>
      </c>
    </row>
    <row r="18" spans="1:5" x14ac:dyDescent="0.3">
      <c r="A18" s="14">
        <v>17</v>
      </c>
      <c r="B18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6.8000000000000007</v>
      </c>
      <c r="C18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2.8</v>
      </c>
      <c r="D18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40</v>
      </c>
      <c r="E18" s="15">
        <f>SUM(tblplanetvalue[[#This Row],[Ore 1 Worth]:[Ore 3 Worth]])</f>
        <v>49.6</v>
      </c>
    </row>
    <row r="19" spans="1:5" x14ac:dyDescent="0.3">
      <c r="A19" s="14">
        <v>18</v>
      </c>
      <c r="B19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128</v>
      </c>
      <c r="C19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0.8</v>
      </c>
      <c r="D19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19" s="15">
        <f>SUM(tblplanetvalue[[#This Row],[Ore 1 Worth]:[Ore 3 Worth]])</f>
        <v>128.80000000000001</v>
      </c>
    </row>
    <row r="20" spans="1:5" x14ac:dyDescent="0.3">
      <c r="A20" s="14">
        <v>19</v>
      </c>
      <c r="B20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52.5</v>
      </c>
      <c r="C20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102</v>
      </c>
      <c r="D20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0" s="15">
        <f>SUM(tblplanetvalue[[#This Row],[Ore 1 Worth]:[Ore 3 Worth]])</f>
        <v>154.5</v>
      </c>
    </row>
    <row r="21" spans="1:5" x14ac:dyDescent="0.3">
      <c r="A21" s="14">
        <v>20</v>
      </c>
      <c r="B21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237.99999999999997</v>
      </c>
      <c r="C21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48</v>
      </c>
      <c r="D21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1" s="15">
        <f>SUM(tblplanetvalue[[#This Row],[Ore 1 Worth]:[Ore 3 Worth]])</f>
        <v>286</v>
      </c>
    </row>
    <row r="22" spans="1:5" x14ac:dyDescent="0.3">
      <c r="A22" s="14">
        <v>21</v>
      </c>
      <c r="B2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340</v>
      </c>
      <c r="C2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2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2" s="15">
        <f>SUM(tblplanetvalue[[#This Row],[Ore 1 Worth]:[Ore 3 Worth]])</f>
        <v>340</v>
      </c>
    </row>
    <row r="23" spans="1:5" x14ac:dyDescent="0.3">
      <c r="A23" s="14">
        <v>22</v>
      </c>
      <c r="B2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25.2</v>
      </c>
      <c r="C2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219</v>
      </c>
      <c r="D2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3" s="15">
        <f>SUM(tblplanetvalue[[#This Row],[Ore 1 Worth]:[Ore 3 Worth]])</f>
        <v>244.2</v>
      </c>
    </row>
    <row r="24" spans="1:5" x14ac:dyDescent="0.3">
      <c r="A24" s="14">
        <v>23</v>
      </c>
      <c r="B2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510.99999999999994</v>
      </c>
      <c r="C2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32</v>
      </c>
      <c r="D2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7.5</v>
      </c>
      <c r="E24" s="15">
        <f>SUM(tblplanetvalue[[#This Row],[Ore 1 Worth]:[Ore 3 Worth]])</f>
        <v>550.5</v>
      </c>
    </row>
    <row r="25" spans="1:5" x14ac:dyDescent="0.3">
      <c r="A25" s="14">
        <v>24</v>
      </c>
      <c r="B2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510.99999999999994</v>
      </c>
      <c r="C2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102</v>
      </c>
      <c r="D2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5" s="15">
        <f>SUM(tblplanetvalue[[#This Row],[Ore 1 Worth]:[Ore 3 Worth]])</f>
        <v>613</v>
      </c>
    </row>
    <row r="26" spans="1:5" x14ac:dyDescent="0.3">
      <c r="A26" s="14">
        <v>25</v>
      </c>
      <c r="B2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10.199999999999999</v>
      </c>
      <c r="C2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640</v>
      </c>
      <c r="D2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6" s="15">
        <f>SUM(tblplanetvalue[[#This Row],[Ore 1 Worth]:[Ore 3 Worth]])</f>
        <v>650.20000000000005</v>
      </c>
    </row>
    <row r="27" spans="1:5" x14ac:dyDescent="0.3">
      <c r="A27" s="14">
        <v>26</v>
      </c>
      <c r="B2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800</v>
      </c>
      <c r="C2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80</v>
      </c>
      <c r="D2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7" s="15">
        <f>SUM(tblplanetvalue[[#This Row],[Ore 1 Worth]:[Ore 3 Worth]])</f>
        <v>880</v>
      </c>
    </row>
    <row r="28" spans="1:5" x14ac:dyDescent="0.3">
      <c r="A28" s="14">
        <v>27</v>
      </c>
      <c r="B28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1600</v>
      </c>
      <c r="C28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28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28" s="15">
        <f>SUM(tblplanetvalue[[#This Row],[Ore 1 Worth]:[Ore 3 Worth]])</f>
        <v>1600</v>
      </c>
    </row>
    <row r="29" spans="1:5" x14ac:dyDescent="0.3">
      <c r="A29" s="14">
        <v>28</v>
      </c>
      <c r="B29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640</v>
      </c>
      <c r="C29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255.49999999999997</v>
      </c>
      <c r="D29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875</v>
      </c>
      <c r="E29" s="15">
        <f>SUM(tblplanetvalue[[#This Row],[Ore 1 Worth]:[Ore 3 Worth]])</f>
        <v>1770.5</v>
      </c>
    </row>
    <row r="30" spans="1:5" x14ac:dyDescent="0.3">
      <c r="A30" s="14">
        <v>29</v>
      </c>
      <c r="B30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2100</v>
      </c>
      <c r="C30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292</v>
      </c>
      <c r="D30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0" s="15">
        <f>SUM(tblplanetvalue[[#This Row],[Ore 1 Worth]:[Ore 3 Worth]])</f>
        <v>2392</v>
      </c>
    </row>
    <row r="31" spans="1:5" x14ac:dyDescent="0.3">
      <c r="A31" s="14">
        <v>30</v>
      </c>
      <c r="B31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3150</v>
      </c>
      <c r="C31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16</v>
      </c>
      <c r="D31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1" s="15">
        <f>SUM(tblplanetvalue[[#This Row],[Ore 1 Worth]:[Ore 3 Worth]])</f>
        <v>3166</v>
      </c>
    </row>
    <row r="32" spans="1:5" x14ac:dyDescent="0.3">
      <c r="A32" s="14">
        <v>31</v>
      </c>
      <c r="B3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2450</v>
      </c>
      <c r="C3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2340</v>
      </c>
      <c r="D3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2" s="15">
        <f>SUM(tblplanetvalue[[#This Row],[Ore 1 Worth]:[Ore 3 Worth]])</f>
        <v>4790</v>
      </c>
    </row>
    <row r="33" spans="1:5" x14ac:dyDescent="0.3">
      <c r="A33" s="14">
        <v>32</v>
      </c>
      <c r="B3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4680</v>
      </c>
      <c r="C3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640</v>
      </c>
      <c r="D3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3" s="15">
        <f>SUM(tblplanetvalue[[#This Row],[Ore 1 Worth]:[Ore 3 Worth]])</f>
        <v>5320</v>
      </c>
    </row>
    <row r="34" spans="1:5" x14ac:dyDescent="0.3">
      <c r="A34" s="14">
        <v>33</v>
      </c>
      <c r="B3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7800</v>
      </c>
      <c r="C3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3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4" s="15">
        <f>SUM(tblplanetvalue[[#This Row],[Ore 1 Worth]:[Ore 3 Worth]])</f>
        <v>7800</v>
      </c>
    </row>
    <row r="35" spans="1:5" x14ac:dyDescent="0.3">
      <c r="A35" s="14">
        <v>34</v>
      </c>
      <c r="B3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1925.0000000000002</v>
      </c>
      <c r="C3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2340</v>
      </c>
      <c r="D3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2625</v>
      </c>
      <c r="E35" s="15">
        <f>SUM(tblplanetvalue[[#This Row],[Ore 1 Worth]:[Ore 3 Worth]])</f>
        <v>6890</v>
      </c>
    </row>
    <row r="36" spans="1:5" x14ac:dyDescent="0.3">
      <c r="A36" s="14">
        <v>35</v>
      </c>
      <c r="B3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8750</v>
      </c>
      <c r="C3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170</v>
      </c>
      <c r="D3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6" s="15">
        <f>SUM(tblplanetvalue[[#This Row],[Ore 1 Worth]:[Ore 3 Worth]])</f>
        <v>8920</v>
      </c>
    </row>
    <row r="37" spans="1:5" x14ac:dyDescent="0.3">
      <c r="A37" s="14">
        <v>36</v>
      </c>
      <c r="B3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17500</v>
      </c>
      <c r="C3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3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7" s="15">
        <f>SUM(tblplanetvalue[[#This Row],[Ore 1 Worth]:[Ore 3 Worth]])</f>
        <v>17500</v>
      </c>
    </row>
    <row r="38" spans="1:5" x14ac:dyDescent="0.3">
      <c r="A38" s="14">
        <v>37</v>
      </c>
      <c r="B38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14000</v>
      </c>
      <c r="C38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8000</v>
      </c>
      <c r="D38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8" s="15">
        <f>SUM(tblplanetvalue[[#This Row],[Ore 1 Worth]:[Ore 3 Worth]])</f>
        <v>22000</v>
      </c>
    </row>
    <row r="39" spans="1:5" x14ac:dyDescent="0.3">
      <c r="A39" s="14">
        <v>38</v>
      </c>
      <c r="B39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20000</v>
      </c>
      <c r="C39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3900</v>
      </c>
      <c r="D39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39" s="15">
        <f>SUM(tblplanetvalue[[#This Row],[Ore 1 Worth]:[Ore 3 Worth]])</f>
        <v>23900</v>
      </c>
    </row>
    <row r="40" spans="1:5" x14ac:dyDescent="0.3">
      <c r="A40" s="14">
        <v>39</v>
      </c>
      <c r="B40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40000</v>
      </c>
      <c r="C40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40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0" s="15">
        <f>SUM(tblplanetvalue[[#This Row],[Ore 1 Worth]:[Ore 3 Worth]])</f>
        <v>40000</v>
      </c>
    </row>
    <row r="41" spans="1:5" x14ac:dyDescent="0.3">
      <c r="A41" s="14">
        <v>40</v>
      </c>
      <c r="B41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32000</v>
      </c>
      <c r="C41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18400</v>
      </c>
      <c r="D41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1" s="15">
        <f>SUM(tblplanetvalue[[#This Row],[Ore 1 Worth]:[Ore 3 Worth]])</f>
        <v>50400</v>
      </c>
    </row>
    <row r="42" spans="1:5" x14ac:dyDescent="0.3">
      <c r="A42" s="14">
        <v>41</v>
      </c>
      <c r="B4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4680</v>
      </c>
      <c r="C4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36800</v>
      </c>
      <c r="D4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2" s="15">
        <f>SUM(tblplanetvalue[[#This Row],[Ore 1 Worth]:[Ore 3 Worth]])</f>
        <v>41480</v>
      </c>
    </row>
    <row r="43" spans="1:5" x14ac:dyDescent="0.3">
      <c r="A43" s="14">
        <v>42</v>
      </c>
      <c r="B4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92000</v>
      </c>
      <c r="C4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4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3" s="15">
        <f>SUM(tblplanetvalue[[#This Row],[Ore 1 Worth]:[Ore 3 Worth]])</f>
        <v>92000</v>
      </c>
    </row>
    <row r="44" spans="1:5" x14ac:dyDescent="0.3">
      <c r="A44" s="14">
        <v>43</v>
      </c>
      <c r="B4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55200</v>
      </c>
      <c r="C4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10000</v>
      </c>
      <c r="D4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32250</v>
      </c>
      <c r="E44" s="15">
        <f>SUM(tblplanetvalue[[#This Row],[Ore 1 Worth]:[Ore 3 Worth]])</f>
        <v>97450</v>
      </c>
    </row>
    <row r="45" spans="1:5" x14ac:dyDescent="0.3">
      <c r="A45" s="14">
        <v>44</v>
      </c>
      <c r="B4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107500</v>
      </c>
      <c r="C4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46000</v>
      </c>
      <c r="D4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5" s="15">
        <f>SUM(tblplanetvalue[[#This Row],[Ore 1 Worth]:[Ore 3 Worth]])</f>
        <v>153500</v>
      </c>
    </row>
    <row r="46" spans="1:5" x14ac:dyDescent="0.3">
      <c r="A46" s="14">
        <v>45</v>
      </c>
      <c r="B4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215000</v>
      </c>
      <c r="C4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4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6" s="15">
        <f>SUM(tblplanetvalue[[#This Row],[Ore 1 Worth]:[Ore 3 Worth]])</f>
        <v>215000</v>
      </c>
    </row>
    <row r="47" spans="1:5" x14ac:dyDescent="0.3">
      <c r="A47" s="14">
        <v>46</v>
      </c>
      <c r="B4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161250</v>
      </c>
      <c r="C4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127500</v>
      </c>
      <c r="D4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7" s="15">
        <f>SUM(tblplanetvalue[[#This Row],[Ore 1 Worth]:[Ore 3 Worth]])</f>
        <v>288750</v>
      </c>
    </row>
    <row r="48" spans="1:5" x14ac:dyDescent="0.3">
      <c r="A48" s="14">
        <v>47</v>
      </c>
      <c r="B48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306000</v>
      </c>
      <c r="C48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36800</v>
      </c>
      <c r="D48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8" s="15">
        <f>SUM(tblplanetvalue[[#This Row],[Ore 1 Worth]:[Ore 3 Worth]])</f>
        <v>342800</v>
      </c>
    </row>
    <row r="49" spans="1:5" x14ac:dyDescent="0.3">
      <c r="A49" s="14">
        <v>48</v>
      </c>
      <c r="B49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510000</v>
      </c>
      <c r="C49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49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49" s="15">
        <f>SUM(tblplanetvalue[[#This Row],[Ore 1 Worth]:[Ore 3 Worth]])</f>
        <v>510000</v>
      </c>
    </row>
    <row r="50" spans="1:5" x14ac:dyDescent="0.3">
      <c r="A50" s="14">
        <v>49</v>
      </c>
      <c r="B50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255000</v>
      </c>
      <c r="C50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625000</v>
      </c>
      <c r="D50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0" s="15">
        <f>SUM(tblplanetvalue[[#This Row],[Ore 1 Worth]:[Ore 3 Worth]])</f>
        <v>880000</v>
      </c>
    </row>
    <row r="51" spans="1:5" x14ac:dyDescent="0.3">
      <c r="A51" s="14">
        <v>50</v>
      </c>
      <c r="B51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750000</v>
      </c>
      <c r="C51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86000</v>
      </c>
      <c r="D51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1" s="15">
        <f>SUM(tblplanetvalue[[#This Row],[Ore 1 Worth]:[Ore 3 Worth]])</f>
        <v>836000</v>
      </c>
    </row>
    <row r="52" spans="1:5" x14ac:dyDescent="0.3">
      <c r="A52" s="14">
        <v>51</v>
      </c>
      <c r="B5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1250000</v>
      </c>
      <c r="C5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5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2" s="15">
        <f>SUM(tblplanetvalue[[#This Row],[Ore 1 Worth]:[Ore 3 Worth]])</f>
        <v>1250000</v>
      </c>
    </row>
    <row r="53" spans="1:5" x14ac:dyDescent="0.3">
      <c r="A53" s="14">
        <v>52</v>
      </c>
      <c r="B5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875000</v>
      </c>
      <c r="C5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640000</v>
      </c>
      <c r="D5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1750</v>
      </c>
      <c r="E53" s="15">
        <f>SUM(tblplanetvalue[[#This Row],[Ore 1 Worth]:[Ore 3 Worth]])</f>
        <v>1516750</v>
      </c>
    </row>
    <row r="54" spans="1:5" x14ac:dyDescent="0.3">
      <c r="A54" s="14">
        <v>53</v>
      </c>
      <c r="B5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1600000</v>
      </c>
      <c r="C5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107500</v>
      </c>
      <c r="D5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4" s="15">
        <f>SUM(tblplanetvalue[[#This Row],[Ore 1 Worth]:[Ore 3 Worth]])</f>
        <v>1707500</v>
      </c>
    </row>
    <row r="55" spans="1:5" x14ac:dyDescent="0.3">
      <c r="A55" s="14">
        <v>54</v>
      </c>
      <c r="B5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3200000</v>
      </c>
      <c r="C5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5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5" s="15">
        <f>SUM(tblplanetvalue[[#This Row],[Ore 1 Worth]:[Ore 3 Worth]])</f>
        <v>3200000</v>
      </c>
    </row>
    <row r="56" spans="1:5" x14ac:dyDescent="0.3">
      <c r="A56" s="14">
        <v>55</v>
      </c>
      <c r="B5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2240000</v>
      </c>
      <c r="C5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250000</v>
      </c>
      <c r="D5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900000</v>
      </c>
      <c r="E56" s="15">
        <f>SUM(tblplanetvalue[[#This Row],[Ore 1 Worth]:[Ore 3 Worth]])</f>
        <v>3390000</v>
      </c>
    </row>
    <row r="57" spans="1:5" x14ac:dyDescent="0.3">
      <c r="A57" s="14">
        <v>56</v>
      </c>
      <c r="B5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5400000</v>
      </c>
      <c r="C5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204000</v>
      </c>
      <c r="D5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7" s="15">
        <f>SUM(tblplanetvalue[[#This Row],[Ore 1 Worth]:[Ore 3 Worth]])</f>
        <v>5604000</v>
      </c>
    </row>
    <row r="58" spans="1:5" x14ac:dyDescent="0.3">
      <c r="A58" s="14">
        <v>57</v>
      </c>
      <c r="B58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9000000</v>
      </c>
      <c r="C58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58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58" s="15">
        <f>SUM(tblplanetvalue[[#This Row],[Ore 1 Worth]:[Ore 3 Worth]])</f>
        <v>9000000</v>
      </c>
    </row>
    <row r="59" spans="1:5" x14ac:dyDescent="0.3">
      <c r="A59" s="14">
        <v>58</v>
      </c>
      <c r="B59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3600000</v>
      </c>
      <c r="C59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1280000</v>
      </c>
      <c r="D59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5600000</v>
      </c>
      <c r="E59" s="15">
        <f>SUM(tblplanetvalue[[#This Row],[Ore 1 Worth]:[Ore 3 Worth]])</f>
        <v>10480000</v>
      </c>
    </row>
    <row r="60" spans="1:5" x14ac:dyDescent="0.3">
      <c r="A60" s="14">
        <v>59</v>
      </c>
      <c r="B60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19600000</v>
      </c>
      <c r="C60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375000</v>
      </c>
      <c r="D60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60" s="15">
        <f>SUM(tblplanetvalue[[#This Row],[Ore 1 Worth]:[Ore 3 Worth]])</f>
        <v>19975000</v>
      </c>
    </row>
    <row r="61" spans="1:5" x14ac:dyDescent="0.3">
      <c r="A61" s="14">
        <v>60</v>
      </c>
      <c r="B61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28000000</v>
      </c>
      <c r="C61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61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61" s="15">
        <f>SUM(tblplanetvalue[[#This Row],[Ore 1 Worth]:[Ore 3 Worth]])</f>
        <v>28000000</v>
      </c>
    </row>
    <row r="62" spans="1:5" x14ac:dyDescent="0.3">
      <c r="A62" s="14">
        <v>61</v>
      </c>
      <c r="B6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19600000</v>
      </c>
      <c r="C6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27000000</v>
      </c>
      <c r="D6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62" s="15">
        <f>SUM(tblplanetvalue[[#This Row],[Ore 1 Worth]:[Ore 3 Worth]])</f>
        <v>46600000</v>
      </c>
    </row>
    <row r="63" spans="1:5" x14ac:dyDescent="0.3">
      <c r="A63" s="14">
        <v>62</v>
      </c>
      <c r="B6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49500000.000000007</v>
      </c>
      <c r="C6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1440000</v>
      </c>
      <c r="D6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63" s="15">
        <f>SUM(tblplanetvalue[[#This Row],[Ore 1 Worth]:[Ore 3 Worth]])</f>
        <v>50940000.000000007</v>
      </c>
    </row>
    <row r="64" spans="1:5" x14ac:dyDescent="0.3">
      <c r="A64" s="14">
        <v>63</v>
      </c>
      <c r="B6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90000000</v>
      </c>
      <c r="C6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6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64" s="15">
        <f>SUM(tblplanetvalue[[#This Row],[Ore 1 Worth]:[Ore 3 Worth]])</f>
        <v>90000000</v>
      </c>
    </row>
    <row r="65" spans="1:5" x14ac:dyDescent="0.3">
      <c r="A65" s="14">
        <v>64</v>
      </c>
      <c r="B6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45000000</v>
      </c>
      <c r="C6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7000000</v>
      </c>
      <c r="D6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75000000</v>
      </c>
      <c r="E65" s="15">
        <f>SUM(tblplanetvalue[[#This Row],[Ore 1 Worth]:[Ore 3 Worth]])</f>
        <v>127000000</v>
      </c>
    </row>
    <row r="66" spans="1:5" x14ac:dyDescent="0.3">
      <c r="A66" s="14">
        <v>65</v>
      </c>
      <c r="B6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180000000</v>
      </c>
      <c r="C6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18000000</v>
      </c>
      <c r="D6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1800000</v>
      </c>
      <c r="E66" s="15">
        <f>SUM(tblplanetvalue[[#This Row],[Ore 1 Worth]:[Ore 3 Worth]])</f>
        <v>199800000</v>
      </c>
    </row>
    <row r="67" spans="1:5" x14ac:dyDescent="0.3">
      <c r="A67" s="14">
        <v>66</v>
      </c>
      <c r="B6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300000000</v>
      </c>
      <c r="C6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6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67" s="15">
        <f>SUM(tblplanetvalue[[#This Row],[Ore 1 Worth]:[Ore 3 Worth]])</f>
        <v>300000000</v>
      </c>
    </row>
    <row r="68" spans="1:5" x14ac:dyDescent="0.3">
      <c r="A68" s="14">
        <v>67</v>
      </c>
      <c r="B68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210000000</v>
      </c>
      <c r="C68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18000000</v>
      </c>
      <c r="D68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110000000</v>
      </c>
      <c r="E68" s="15">
        <f>SUM(tblplanetvalue[[#This Row],[Ore 1 Worth]:[Ore 3 Worth]])</f>
        <v>338000000</v>
      </c>
    </row>
    <row r="69" spans="1:5" x14ac:dyDescent="0.3">
      <c r="A69" s="14">
        <v>68</v>
      </c>
      <c r="B69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660000000</v>
      </c>
      <c r="C69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11200000</v>
      </c>
      <c r="D69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69" s="15">
        <f>SUM(tblplanetvalue[[#This Row],[Ore 1 Worth]:[Ore 3 Worth]])</f>
        <v>671200000</v>
      </c>
    </row>
    <row r="70" spans="1:5" x14ac:dyDescent="0.3">
      <c r="A70" s="14">
        <v>69</v>
      </c>
      <c r="B70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880000000</v>
      </c>
      <c r="C70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60000000</v>
      </c>
      <c r="D70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0" s="15">
        <f>SUM(tblplanetvalue[[#This Row],[Ore 1 Worth]:[Ore 3 Worth]])</f>
        <v>940000000</v>
      </c>
    </row>
    <row r="71" spans="1:5" x14ac:dyDescent="0.3">
      <c r="A71" s="14">
        <v>70</v>
      </c>
      <c r="B71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1100000000</v>
      </c>
      <c r="C71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71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1" s="15">
        <f>SUM(tblplanetvalue[[#This Row],[Ore 1 Worth]:[Ore 3 Worth]])</f>
        <v>1100000000</v>
      </c>
    </row>
    <row r="72" spans="1:5" x14ac:dyDescent="0.3">
      <c r="A72" s="14">
        <v>71</v>
      </c>
      <c r="B72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440000000</v>
      </c>
      <c r="C72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120000000</v>
      </c>
      <c r="D72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860000000</v>
      </c>
      <c r="E72" s="15">
        <f>SUM(tblplanetvalue[[#This Row],[Ore 1 Worth]:[Ore 3 Worth]])</f>
        <v>1420000000</v>
      </c>
    </row>
    <row r="73" spans="1:5" x14ac:dyDescent="0.3">
      <c r="A73" s="14">
        <v>72</v>
      </c>
      <c r="B73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3010000000</v>
      </c>
      <c r="C73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27000000</v>
      </c>
      <c r="D73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3" s="15">
        <f>SUM(tblplanetvalue[[#This Row],[Ore 1 Worth]:[Ore 3 Worth]])</f>
        <v>3037000000</v>
      </c>
    </row>
    <row r="74" spans="1:5" x14ac:dyDescent="0.3">
      <c r="A74" s="14">
        <v>73</v>
      </c>
      <c r="B74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4300000000</v>
      </c>
      <c r="C74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74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4" s="15">
        <f>SUM(tblplanetvalue[[#This Row],[Ore 1 Worth]:[Ore 3 Worth]])</f>
        <v>4300000000</v>
      </c>
    </row>
    <row r="75" spans="1:5" x14ac:dyDescent="0.3">
      <c r="A75" s="14">
        <v>74</v>
      </c>
      <c r="B75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2580000000</v>
      </c>
      <c r="C75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7200000000</v>
      </c>
      <c r="D75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5" s="15">
        <f>SUM(tblplanetvalue[[#This Row],[Ore 1 Worth]:[Ore 3 Worth]])</f>
        <v>9780000000</v>
      </c>
    </row>
    <row r="76" spans="1:5" x14ac:dyDescent="0.3">
      <c r="A76" s="14">
        <v>75</v>
      </c>
      <c r="B76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12600000000</v>
      </c>
      <c r="C76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330000000</v>
      </c>
      <c r="D76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6" s="15">
        <f>SUM(tblplanetvalue[[#This Row],[Ore 1 Worth]:[Ore 3 Worth]])</f>
        <v>12930000000</v>
      </c>
    </row>
    <row r="77" spans="1:5" x14ac:dyDescent="0.3">
      <c r="A77" s="14">
        <v>76</v>
      </c>
      <c r="B77" s="15">
        <f>_xlfn.XLOOKUP(
    _xlfn.XLOOKUP(tblplanetvalue[[#This Row],[Planet '#]], tblPlanets[Planet '#], tblPlanets[Ore 1], "-"),
    tblOreValues[Symbol],
    tblOreValues[Adjusted Amount],
    "0"
)*_xlfn.XLOOKUP(tblplanetvalue[[#This Row],[Planet '#]],tblPlanets[Planet '#],tblPlanets[Ore 1 Yield])</f>
        <v>18000000000</v>
      </c>
      <c r="C77" s="15">
        <f>_xlfn.XLOOKUP(
    _xlfn.XLOOKUP(tblplanetvalue[[#This Row],[Planet '#]], tblPlanets[Planet '#], tblPlanets[Ore 2], "-"),
    tblOreValues[Symbol],
    tblOreValues[Adjusted Amount],
    "0"
)*_xlfn.XLOOKUP(tblplanetvalue[[#This Row],[Planet '#]],tblPlanets[Planet '#],tblPlanets[Ore 2 Yield])</f>
        <v>0</v>
      </c>
      <c r="D77" s="15">
        <f>_xlfn.XLOOKUP(
    _xlfn.XLOOKUP(tblplanetvalue[[#This Row],[Planet '#]], tblPlanets[Planet '#], tblPlanets[Ore 3], "-"),
    tblOreValues[Symbol],
    tblOreValues[Adjusted Amount],
    "0"
)*_xlfn.XLOOKUP(tblplanetvalue[[#This Row],[Planet '#]],tblPlanets[Planet '#],tblPlanets[Ore 3 Yield])</f>
        <v>0</v>
      </c>
      <c r="E77" s="15">
        <f>SUM(tblplanetvalue[[#This Row],[Ore 1 Worth]:[Ore 3 Worth]])</f>
        <v>18000000000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8BC2-F55E-4FF6-AE40-BD1810BC487D}">
  <sheetPr codeName="Sheet7"/>
  <dimension ref="A1:E77"/>
  <sheetViews>
    <sheetView workbookViewId="0">
      <selection activeCell="A4" sqref="A4:B4"/>
    </sheetView>
  </sheetViews>
  <sheetFormatPr defaultRowHeight="14.4" x14ac:dyDescent="0.3"/>
  <cols>
    <col min="1" max="1" width="9.77734375" style="17" bestFit="1" customWidth="1"/>
    <col min="2" max="2" width="16.5546875" style="19" bestFit="1" customWidth="1"/>
    <col min="3" max="3" width="14.88671875" style="19" bestFit="1" customWidth="1"/>
    <col min="4" max="4" width="17" style="21" bestFit="1" customWidth="1"/>
    <col min="5" max="5" width="26.88671875" style="23" bestFit="1" customWidth="1"/>
  </cols>
  <sheetData>
    <row r="1" spans="1:5" x14ac:dyDescent="0.3">
      <c r="A1" s="16" t="s">
        <v>149</v>
      </c>
      <c r="B1" s="18" t="s">
        <v>150</v>
      </c>
      <c r="C1" s="18" t="s">
        <v>151</v>
      </c>
      <c r="D1" s="20" t="s">
        <v>152</v>
      </c>
      <c r="E1" s="22" t="s">
        <v>153</v>
      </c>
    </row>
    <row r="2" spans="1:5" x14ac:dyDescent="0.3">
      <c r="A2" s="17">
        <v>1</v>
      </c>
      <c r="B2" s="19">
        <f>0.25 + 0.1 * (tblUpgradeStats[[#This Row],[Level]] - 1) + 0.017 * (tblUpgradeStats[[#This Row],[Level]] - 1)^2</f>
        <v>0.25</v>
      </c>
      <c r="C2" s="19">
        <f>1 + 0.2 * (tblUpgradeStats[[#This Row],[Level]] - 1) + (1/75) * (tblUpgradeStats[[#This Row],[Level]] - 1)^2</f>
        <v>1</v>
      </c>
      <c r="D2" s="21">
        <f>ROUND(5 + 2 * (tblUpgradeStats[[#This Row],[Level]] - 1) + 0.1 * (tblUpgradeStats[[#This Row],[Level]] - 1)^2, 0)</f>
        <v>5</v>
      </c>
      <c r="E2" s="23">
        <f>(1.3 ^ (tblUpgradeStats[[#This Row],[Level]] - 1))/20</f>
        <v>0.05</v>
      </c>
    </row>
    <row r="3" spans="1:5" x14ac:dyDescent="0.3">
      <c r="A3" s="17">
        <v>2</v>
      </c>
      <c r="B3" s="19">
        <f>0.25 + 0.1 * (tblUpgradeStats[[#This Row],[Level]] - 1) + 0.017 * (tblUpgradeStats[[#This Row],[Level]] - 1)^2</f>
        <v>0.36699999999999999</v>
      </c>
      <c r="C3" s="19">
        <f>1 + 0.2 * (tblUpgradeStats[[#This Row],[Level]] - 1) + (1/75) * (tblUpgradeStats[[#This Row],[Level]] - 1)^2</f>
        <v>1.2133333333333334</v>
      </c>
      <c r="D3" s="21">
        <f>ROUND(5 + 2 * (tblUpgradeStats[[#This Row],[Level]] - 1) + 0.1 * (tblUpgradeStats[[#This Row],[Level]] - 1)^2, 0)</f>
        <v>7</v>
      </c>
      <c r="E3" s="23">
        <f>(1.3 ^ (tblUpgradeStats[[#This Row],[Level]] - 1))/20</f>
        <v>6.5000000000000002E-2</v>
      </c>
    </row>
    <row r="4" spans="1:5" x14ac:dyDescent="0.3">
      <c r="A4" s="17">
        <v>3</v>
      </c>
      <c r="B4" s="19">
        <f>0.25 + 0.1 * (tblUpgradeStats[[#This Row],[Level]] - 1) + 0.017 * (tblUpgradeStats[[#This Row],[Level]] - 1)^2</f>
        <v>0.51800000000000002</v>
      </c>
      <c r="C4" s="19">
        <f>1 + 0.2 * (tblUpgradeStats[[#This Row],[Level]] - 1) + (1/75) * (tblUpgradeStats[[#This Row],[Level]] - 1)^2</f>
        <v>1.4533333333333331</v>
      </c>
      <c r="D4" s="21">
        <f>ROUND(5 + 2 * (tblUpgradeStats[[#This Row],[Level]] - 1) + 0.1 * (tblUpgradeStats[[#This Row],[Level]] - 1)^2, 0)</f>
        <v>9</v>
      </c>
      <c r="E4" s="23">
        <f>(1.3 ^ (tblUpgradeStats[[#This Row],[Level]] - 1))/20</f>
        <v>8.4500000000000006E-2</v>
      </c>
    </row>
    <row r="5" spans="1:5" x14ac:dyDescent="0.3">
      <c r="A5" s="17">
        <v>4</v>
      </c>
      <c r="B5" s="19">
        <f>0.25 + 0.1 * (tblUpgradeStats[[#This Row],[Level]] - 1) + 0.017 * (tblUpgradeStats[[#This Row],[Level]] - 1)^2</f>
        <v>0.70300000000000007</v>
      </c>
      <c r="C5" s="19">
        <f>1 + 0.2 * (tblUpgradeStats[[#This Row],[Level]] - 1) + (1/75) * (tblUpgradeStats[[#This Row],[Level]] - 1)^2</f>
        <v>1.7200000000000002</v>
      </c>
      <c r="D5" s="21">
        <f>ROUND(5 + 2 * (tblUpgradeStats[[#This Row],[Level]] - 1) + 0.1 * (tblUpgradeStats[[#This Row],[Level]] - 1)^2, 0)</f>
        <v>12</v>
      </c>
      <c r="E5" s="23">
        <f>(1.3 ^ (tblUpgradeStats[[#This Row],[Level]] - 1))/20</f>
        <v>0.10985000000000003</v>
      </c>
    </row>
    <row r="6" spans="1:5" x14ac:dyDescent="0.3">
      <c r="A6" s="17">
        <v>5</v>
      </c>
      <c r="B6" s="19">
        <f>0.25 + 0.1 * (tblUpgradeStats[[#This Row],[Level]] - 1) + 0.017 * (tblUpgradeStats[[#This Row],[Level]] - 1)^2</f>
        <v>0.92200000000000004</v>
      </c>
      <c r="C6" s="19">
        <f>1 + 0.2 * (tblUpgradeStats[[#This Row],[Level]] - 1) + (1/75) * (tblUpgradeStats[[#This Row],[Level]] - 1)^2</f>
        <v>2.0133333333333332</v>
      </c>
      <c r="D6" s="21">
        <f>ROUND(5 + 2 * (tblUpgradeStats[[#This Row],[Level]] - 1) + 0.1 * (tblUpgradeStats[[#This Row],[Level]] - 1)^2, 0)</f>
        <v>15</v>
      </c>
      <c r="E6" s="23">
        <f>(1.3 ^ (tblUpgradeStats[[#This Row],[Level]] - 1))/20</f>
        <v>0.14280500000000002</v>
      </c>
    </row>
    <row r="7" spans="1:5" x14ac:dyDescent="0.3">
      <c r="A7" s="17">
        <v>6</v>
      </c>
      <c r="B7" s="19">
        <f>0.25 + 0.1 * (tblUpgradeStats[[#This Row],[Level]] - 1) + 0.017 * (tblUpgradeStats[[#This Row],[Level]] - 1)^2</f>
        <v>1.175</v>
      </c>
      <c r="C7" s="19">
        <f>1 + 0.2 * (tblUpgradeStats[[#This Row],[Level]] - 1) + (1/75) * (tblUpgradeStats[[#This Row],[Level]] - 1)^2</f>
        <v>2.3333333333333335</v>
      </c>
      <c r="D7" s="21">
        <f>ROUND(5 + 2 * (tblUpgradeStats[[#This Row],[Level]] - 1) + 0.1 * (tblUpgradeStats[[#This Row],[Level]] - 1)^2, 0)</f>
        <v>18</v>
      </c>
      <c r="E7" s="23">
        <f>(1.3 ^ (tblUpgradeStats[[#This Row],[Level]] - 1))/20</f>
        <v>0.18564650000000005</v>
      </c>
    </row>
    <row r="8" spans="1:5" x14ac:dyDescent="0.3">
      <c r="A8" s="17">
        <v>7</v>
      </c>
      <c r="B8" s="19">
        <f>0.25 + 0.1 * (tblUpgradeStats[[#This Row],[Level]] - 1) + 0.017 * (tblUpgradeStats[[#This Row],[Level]] - 1)^2</f>
        <v>1.4620000000000002</v>
      </c>
      <c r="C8" s="19">
        <f>1 + 0.2 * (tblUpgradeStats[[#This Row],[Level]] - 1) + (1/75) * (tblUpgradeStats[[#This Row],[Level]] - 1)^2</f>
        <v>2.68</v>
      </c>
      <c r="D8" s="21">
        <f>ROUND(5 + 2 * (tblUpgradeStats[[#This Row],[Level]] - 1) + 0.1 * (tblUpgradeStats[[#This Row],[Level]] - 1)^2, 0)</f>
        <v>21</v>
      </c>
      <c r="E8" s="23">
        <f>(1.3 ^ (tblUpgradeStats[[#This Row],[Level]] - 1))/20</f>
        <v>0.2413404500000001</v>
      </c>
    </row>
    <row r="9" spans="1:5" x14ac:dyDescent="0.3">
      <c r="A9" s="17">
        <v>8</v>
      </c>
      <c r="B9" s="19">
        <f>0.25 + 0.1 * (tblUpgradeStats[[#This Row],[Level]] - 1) + 0.017 * (tblUpgradeStats[[#This Row],[Level]] - 1)^2</f>
        <v>1.7830000000000001</v>
      </c>
      <c r="C9" s="19">
        <f>1 + 0.2 * (tblUpgradeStats[[#This Row],[Level]] - 1) + (1/75) * (tblUpgradeStats[[#This Row],[Level]] - 1)^2</f>
        <v>3.0533333333333337</v>
      </c>
      <c r="D9" s="21">
        <f>ROUND(5 + 2 * (tblUpgradeStats[[#This Row],[Level]] - 1) + 0.1 * (tblUpgradeStats[[#This Row],[Level]] - 1)^2, 0)</f>
        <v>24</v>
      </c>
      <c r="E9" s="23">
        <f>(1.3 ^ (tblUpgradeStats[[#This Row],[Level]] - 1))/20</f>
        <v>0.31374258500000013</v>
      </c>
    </row>
    <row r="10" spans="1:5" x14ac:dyDescent="0.3">
      <c r="A10" s="17">
        <v>9</v>
      </c>
      <c r="B10" s="19">
        <f>0.25 + 0.1 * (tblUpgradeStats[[#This Row],[Level]] - 1) + 0.017 * (tblUpgradeStats[[#This Row],[Level]] - 1)^2</f>
        <v>2.1379999999999999</v>
      </c>
      <c r="C10" s="19">
        <f>1 + 0.2 * (tblUpgradeStats[[#This Row],[Level]] - 1) + (1/75) * (tblUpgradeStats[[#This Row],[Level]] - 1)^2</f>
        <v>3.4533333333333336</v>
      </c>
      <c r="D10" s="21">
        <f>ROUND(5 + 2 * (tblUpgradeStats[[#This Row],[Level]] - 1) + 0.1 * (tblUpgradeStats[[#This Row],[Level]] - 1)^2, 0)</f>
        <v>27</v>
      </c>
      <c r="E10" s="23">
        <f>(1.3 ^ (tblUpgradeStats[[#This Row],[Level]] - 1))/20</f>
        <v>0.40786536050000011</v>
      </c>
    </row>
    <row r="11" spans="1:5" x14ac:dyDescent="0.3">
      <c r="A11" s="17">
        <v>10</v>
      </c>
      <c r="B11" s="19">
        <f>0.25 + 0.1 * (tblUpgradeStats[[#This Row],[Level]] - 1) + 0.017 * (tblUpgradeStats[[#This Row],[Level]] - 1)^2</f>
        <v>2.5270000000000001</v>
      </c>
      <c r="C11" s="19">
        <f>1 + 0.2 * (tblUpgradeStats[[#This Row],[Level]] - 1) + (1/75) * (tblUpgradeStats[[#This Row],[Level]] - 1)^2</f>
        <v>3.88</v>
      </c>
      <c r="D11" s="21">
        <f>ROUND(5 + 2 * (tblUpgradeStats[[#This Row],[Level]] - 1) + 0.1 * (tblUpgradeStats[[#This Row],[Level]] - 1)^2, 0)</f>
        <v>31</v>
      </c>
      <c r="E11" s="23">
        <f>(1.3 ^ (tblUpgradeStats[[#This Row],[Level]] - 1))/20</f>
        <v>0.53022496865000013</v>
      </c>
    </row>
    <row r="12" spans="1:5" x14ac:dyDescent="0.3">
      <c r="A12" s="17">
        <v>11</v>
      </c>
      <c r="B12" s="19">
        <f>0.25 + 0.1 * (tblUpgradeStats[[#This Row],[Level]] - 1) + 0.017 * (tblUpgradeStats[[#This Row],[Level]] - 1)^2</f>
        <v>2.95</v>
      </c>
      <c r="C12" s="19">
        <f>1 + 0.2 * (tblUpgradeStats[[#This Row],[Level]] - 1) + (1/75) * (tblUpgradeStats[[#This Row],[Level]] - 1)^2</f>
        <v>4.3333333333333339</v>
      </c>
      <c r="D12" s="21">
        <f>ROUND(5 + 2 * (tblUpgradeStats[[#This Row],[Level]] - 1) + 0.1 * (tblUpgradeStats[[#This Row],[Level]] - 1)^2, 0)</f>
        <v>35</v>
      </c>
      <c r="E12" s="23">
        <f>(1.3 ^ (tblUpgradeStats[[#This Row],[Level]] - 1))/20</f>
        <v>0.68929245924500027</v>
      </c>
    </row>
    <row r="13" spans="1:5" x14ac:dyDescent="0.3">
      <c r="A13" s="17">
        <v>12</v>
      </c>
      <c r="B13" s="19">
        <f>0.25 + 0.1 * (tblUpgradeStats[[#This Row],[Level]] - 1) + 0.017 * (tblUpgradeStats[[#This Row],[Level]] - 1)^2</f>
        <v>3.407</v>
      </c>
      <c r="C13" s="19">
        <f>1 + 0.2 * (tblUpgradeStats[[#This Row],[Level]] - 1) + (1/75) * (tblUpgradeStats[[#This Row],[Level]] - 1)^2</f>
        <v>4.8133333333333335</v>
      </c>
      <c r="D13" s="21">
        <f>ROUND(5 + 2 * (tblUpgradeStats[[#This Row],[Level]] - 1) + 0.1 * (tblUpgradeStats[[#This Row],[Level]] - 1)^2, 0)</f>
        <v>39</v>
      </c>
      <c r="E13" s="23">
        <f>(1.3 ^ (tblUpgradeStats[[#This Row],[Level]] - 1))/20</f>
        <v>0.89608019701850039</v>
      </c>
    </row>
    <row r="14" spans="1:5" x14ac:dyDescent="0.3">
      <c r="A14" s="17">
        <v>13</v>
      </c>
      <c r="B14" s="19">
        <f>0.25 + 0.1 * (tblUpgradeStats[[#This Row],[Level]] - 1) + 0.017 * (tblUpgradeStats[[#This Row],[Level]] - 1)^2</f>
        <v>3.8980000000000006</v>
      </c>
      <c r="C14" s="19">
        <f>1 + 0.2 * (tblUpgradeStats[[#This Row],[Level]] - 1) + (1/75) * (tblUpgradeStats[[#This Row],[Level]] - 1)^2</f>
        <v>5.32</v>
      </c>
      <c r="D14" s="21">
        <f>ROUND(5 + 2 * (tblUpgradeStats[[#This Row],[Level]] - 1) + 0.1 * (tblUpgradeStats[[#This Row],[Level]] - 1)^2, 0)</f>
        <v>43</v>
      </c>
      <c r="E14" s="23">
        <f>(1.3 ^ (tblUpgradeStats[[#This Row],[Level]] - 1))/20</f>
        <v>1.1649042561240506</v>
      </c>
    </row>
    <row r="15" spans="1:5" x14ac:dyDescent="0.3">
      <c r="A15" s="17">
        <v>14</v>
      </c>
      <c r="B15" s="19">
        <f>0.25 + 0.1 * (tblUpgradeStats[[#This Row],[Level]] - 1) + 0.017 * (tblUpgradeStats[[#This Row],[Level]] - 1)^2</f>
        <v>4.423</v>
      </c>
      <c r="C15" s="19">
        <f>1 + 0.2 * (tblUpgradeStats[[#This Row],[Level]] - 1) + (1/75) * (tblUpgradeStats[[#This Row],[Level]] - 1)^2</f>
        <v>5.8533333333333335</v>
      </c>
      <c r="D15" s="21">
        <f>ROUND(5 + 2 * (tblUpgradeStats[[#This Row],[Level]] - 1) + 0.1 * (tblUpgradeStats[[#This Row],[Level]] - 1)^2, 0)</f>
        <v>48</v>
      </c>
      <c r="E15" s="23">
        <f>(1.3 ^ (tblUpgradeStats[[#This Row],[Level]] - 1))/20</f>
        <v>1.514375532961266</v>
      </c>
    </row>
    <row r="16" spans="1:5" x14ac:dyDescent="0.3">
      <c r="A16" s="17">
        <v>15</v>
      </c>
      <c r="B16" s="19">
        <f>0.25 + 0.1 * (tblUpgradeStats[[#This Row],[Level]] - 1) + 0.017 * (tblUpgradeStats[[#This Row],[Level]] - 1)^2</f>
        <v>4.9820000000000002</v>
      </c>
      <c r="C16" s="19">
        <f>1 + 0.2 * (tblUpgradeStats[[#This Row],[Level]] - 1) + (1/75) * (tblUpgradeStats[[#This Row],[Level]] - 1)^2</f>
        <v>6.413333333333334</v>
      </c>
      <c r="D16" s="21">
        <f>ROUND(5 + 2 * (tblUpgradeStats[[#This Row],[Level]] - 1) + 0.1 * (tblUpgradeStats[[#This Row],[Level]] - 1)^2, 0)</f>
        <v>53</v>
      </c>
      <c r="E16" s="23">
        <f>(1.3 ^ (tblUpgradeStats[[#This Row],[Level]] - 1))/20</f>
        <v>1.9686881928496458</v>
      </c>
    </row>
    <row r="17" spans="1:5" x14ac:dyDescent="0.3">
      <c r="A17" s="17">
        <v>16</v>
      </c>
      <c r="B17" s="19">
        <f>0.25 + 0.1 * (tblUpgradeStats[[#This Row],[Level]] - 1) + 0.017 * (tblUpgradeStats[[#This Row],[Level]] - 1)^2</f>
        <v>5.5750000000000002</v>
      </c>
      <c r="C17" s="19">
        <f>1 + 0.2 * (tblUpgradeStats[[#This Row],[Level]] - 1) + (1/75) * (tblUpgradeStats[[#This Row],[Level]] - 1)^2</f>
        <v>7</v>
      </c>
      <c r="D17" s="21">
        <f>ROUND(5 + 2 * (tblUpgradeStats[[#This Row],[Level]] - 1) + 0.1 * (tblUpgradeStats[[#This Row],[Level]] - 1)^2, 0)</f>
        <v>58</v>
      </c>
      <c r="E17" s="23">
        <f>(1.3 ^ (tblUpgradeStats[[#This Row],[Level]] - 1))/20</f>
        <v>2.5592946507045395</v>
      </c>
    </row>
    <row r="18" spans="1:5" x14ac:dyDescent="0.3">
      <c r="A18" s="17">
        <v>17</v>
      </c>
      <c r="B18" s="19">
        <f>0.25 + 0.1 * (tblUpgradeStats[[#This Row],[Level]] - 1) + 0.017 * (tblUpgradeStats[[#This Row],[Level]] - 1)^2</f>
        <v>6.202</v>
      </c>
      <c r="C18" s="19">
        <f>1 + 0.2 * (tblUpgradeStats[[#This Row],[Level]] - 1) + (1/75) * (tblUpgradeStats[[#This Row],[Level]] - 1)^2</f>
        <v>7.6133333333333333</v>
      </c>
      <c r="D18" s="21">
        <f>ROUND(5 + 2 * (tblUpgradeStats[[#This Row],[Level]] - 1) + 0.1 * (tblUpgradeStats[[#This Row],[Level]] - 1)^2, 0)</f>
        <v>63</v>
      </c>
      <c r="E18" s="23">
        <f>(1.3 ^ (tblUpgradeStats[[#This Row],[Level]] - 1))/20</f>
        <v>3.3270830459159013</v>
      </c>
    </row>
    <row r="19" spans="1:5" x14ac:dyDescent="0.3">
      <c r="A19" s="17">
        <v>18</v>
      </c>
      <c r="B19" s="19">
        <f>0.25 + 0.1 * (tblUpgradeStats[[#This Row],[Level]] - 1) + 0.017 * (tblUpgradeStats[[#This Row],[Level]] - 1)^2</f>
        <v>6.8630000000000004</v>
      </c>
      <c r="C19" s="19">
        <f>1 + 0.2 * (tblUpgradeStats[[#This Row],[Level]] - 1) + (1/75) * (tblUpgradeStats[[#This Row],[Level]] - 1)^2</f>
        <v>8.2533333333333339</v>
      </c>
      <c r="D19" s="21">
        <f>ROUND(5 + 2 * (tblUpgradeStats[[#This Row],[Level]] - 1) + 0.1 * (tblUpgradeStats[[#This Row],[Level]] - 1)^2, 0)</f>
        <v>68</v>
      </c>
      <c r="E19" s="23">
        <f>(1.3 ^ (tblUpgradeStats[[#This Row],[Level]] - 1))/20</f>
        <v>4.3252079596906716</v>
      </c>
    </row>
    <row r="20" spans="1:5" x14ac:dyDescent="0.3">
      <c r="A20" s="17">
        <v>19</v>
      </c>
      <c r="B20" s="19">
        <f>0.25 + 0.1 * (tblUpgradeStats[[#This Row],[Level]] - 1) + 0.017 * (tblUpgradeStats[[#This Row],[Level]] - 1)^2</f>
        <v>7.5579999999999998</v>
      </c>
      <c r="C20" s="19">
        <f>1 + 0.2 * (tblUpgradeStats[[#This Row],[Level]] - 1) + (1/75) * (tblUpgradeStats[[#This Row],[Level]] - 1)^2</f>
        <v>8.92</v>
      </c>
      <c r="D20" s="21">
        <f>ROUND(5 + 2 * (tblUpgradeStats[[#This Row],[Level]] - 1) + 0.1 * (tblUpgradeStats[[#This Row],[Level]] - 1)^2, 0)</f>
        <v>73</v>
      </c>
      <c r="E20" s="23">
        <f>(1.3 ^ (tblUpgradeStats[[#This Row],[Level]] - 1))/20</f>
        <v>5.6227703475978741</v>
      </c>
    </row>
    <row r="21" spans="1:5" x14ac:dyDescent="0.3">
      <c r="A21" s="17">
        <v>20</v>
      </c>
      <c r="B21" s="19">
        <f>0.25 + 0.1 * (tblUpgradeStats[[#This Row],[Level]] - 1) + 0.017 * (tblUpgradeStats[[#This Row],[Level]] - 1)^2</f>
        <v>8.2870000000000008</v>
      </c>
      <c r="C21" s="19">
        <f>1 + 0.2 * (tblUpgradeStats[[#This Row],[Level]] - 1) + (1/75) * (tblUpgradeStats[[#This Row],[Level]] - 1)^2</f>
        <v>9.6133333333333333</v>
      </c>
      <c r="D21" s="21">
        <f>ROUND(5 + 2 * (tblUpgradeStats[[#This Row],[Level]] - 1) + 0.1 * (tblUpgradeStats[[#This Row],[Level]] - 1)^2, 0)</f>
        <v>79</v>
      </c>
      <c r="E21" s="23">
        <f>(1.3 ^ (tblUpgradeStats[[#This Row],[Level]] - 1))/20</f>
        <v>7.3096014518772376</v>
      </c>
    </row>
    <row r="22" spans="1:5" x14ac:dyDescent="0.3">
      <c r="A22" s="17">
        <v>21</v>
      </c>
      <c r="B22" s="19">
        <f>0.25 + 0.1 * (tblUpgradeStats[[#This Row],[Level]] - 1) + 0.017 * (tblUpgradeStats[[#This Row],[Level]] - 1)^2</f>
        <v>9.0500000000000007</v>
      </c>
      <c r="C22" s="19">
        <f>1 + 0.2 * (tblUpgradeStats[[#This Row],[Level]] - 1) + (1/75) * (tblUpgradeStats[[#This Row],[Level]] - 1)^2</f>
        <v>10.333333333333334</v>
      </c>
      <c r="D22" s="21">
        <f>ROUND(5 + 2 * (tblUpgradeStats[[#This Row],[Level]] - 1) + 0.1 * (tblUpgradeStats[[#This Row],[Level]] - 1)^2, 0)</f>
        <v>85</v>
      </c>
      <c r="E22" s="23">
        <f>(1.3 ^ (tblUpgradeStats[[#This Row],[Level]] - 1))/20</f>
        <v>9.5024818874404069</v>
      </c>
    </row>
    <row r="23" spans="1:5" x14ac:dyDescent="0.3">
      <c r="A23" s="17">
        <v>22</v>
      </c>
      <c r="B23" s="19">
        <f>0.25 + 0.1 * (tblUpgradeStats[[#This Row],[Level]] - 1) + 0.017 * (tblUpgradeStats[[#This Row],[Level]] - 1)^2</f>
        <v>9.8470000000000013</v>
      </c>
      <c r="C23" s="19">
        <f>1 + 0.2 * (tblUpgradeStats[[#This Row],[Level]] - 1) + (1/75) * (tblUpgradeStats[[#This Row],[Level]] - 1)^2</f>
        <v>11.080000000000002</v>
      </c>
      <c r="D23" s="21">
        <f>ROUND(5 + 2 * (tblUpgradeStats[[#This Row],[Level]] - 1) + 0.1 * (tblUpgradeStats[[#This Row],[Level]] - 1)^2, 0)</f>
        <v>91</v>
      </c>
      <c r="E23" s="23">
        <f>(1.3 ^ (tblUpgradeStats[[#This Row],[Level]] - 1))/20</f>
        <v>12.35322645367253</v>
      </c>
    </row>
    <row r="24" spans="1:5" x14ac:dyDescent="0.3">
      <c r="A24" s="17">
        <v>23</v>
      </c>
      <c r="B24" s="19">
        <f>0.25 + 0.1 * (tblUpgradeStats[[#This Row],[Level]] - 1) + 0.017 * (tblUpgradeStats[[#This Row],[Level]] - 1)^2</f>
        <v>10.678000000000001</v>
      </c>
      <c r="C24" s="19">
        <f>1 + 0.2 * (tblUpgradeStats[[#This Row],[Level]] - 1) + (1/75) * (tblUpgradeStats[[#This Row],[Level]] - 1)^2</f>
        <v>11.853333333333335</v>
      </c>
      <c r="D24" s="21">
        <f>ROUND(5 + 2 * (tblUpgradeStats[[#This Row],[Level]] - 1) + 0.1 * (tblUpgradeStats[[#This Row],[Level]] - 1)^2, 0)</f>
        <v>97</v>
      </c>
      <c r="E24" s="23">
        <f>(1.3 ^ (tblUpgradeStats[[#This Row],[Level]] - 1))/20</f>
        <v>16.059194389774291</v>
      </c>
    </row>
    <row r="25" spans="1:5" x14ac:dyDescent="0.3">
      <c r="A25" s="17">
        <v>24</v>
      </c>
      <c r="B25" s="19">
        <f>0.25 + 0.1 * (tblUpgradeStats[[#This Row],[Level]] - 1) + 0.017 * (tblUpgradeStats[[#This Row],[Level]] - 1)^2</f>
        <v>11.543000000000001</v>
      </c>
      <c r="C25" s="19">
        <f>1 + 0.2 * (tblUpgradeStats[[#This Row],[Level]] - 1) + (1/75) * (tblUpgradeStats[[#This Row],[Level]] - 1)^2</f>
        <v>12.653333333333334</v>
      </c>
      <c r="D25" s="21">
        <f>ROUND(5 + 2 * (tblUpgradeStats[[#This Row],[Level]] - 1) + 0.1 * (tblUpgradeStats[[#This Row],[Level]] - 1)^2, 0)</f>
        <v>104</v>
      </c>
      <c r="E25" s="23">
        <f>(1.3 ^ (tblUpgradeStats[[#This Row],[Level]] - 1))/20</f>
        <v>20.876952706706582</v>
      </c>
    </row>
    <row r="26" spans="1:5" x14ac:dyDescent="0.3">
      <c r="A26" s="17">
        <v>25</v>
      </c>
      <c r="B26" s="19">
        <f>0.25 + 0.1 * (tblUpgradeStats[[#This Row],[Level]] - 1) + 0.017 * (tblUpgradeStats[[#This Row],[Level]] - 1)^2</f>
        <v>12.442000000000002</v>
      </c>
      <c r="C26" s="19">
        <f>1 + 0.2 * (tblUpgradeStats[[#This Row],[Level]] - 1) + (1/75) * (tblUpgradeStats[[#This Row],[Level]] - 1)^2</f>
        <v>13.48</v>
      </c>
      <c r="D26" s="21">
        <f>ROUND(5 + 2 * (tblUpgradeStats[[#This Row],[Level]] - 1) + 0.1 * (tblUpgradeStats[[#This Row],[Level]] - 1)^2, 0)</f>
        <v>111</v>
      </c>
      <c r="E26" s="23">
        <f>(1.3 ^ (tblUpgradeStats[[#This Row],[Level]] - 1))/20</f>
        <v>27.140038518718551</v>
      </c>
    </row>
    <row r="27" spans="1:5" x14ac:dyDescent="0.3">
      <c r="A27" s="17">
        <v>26</v>
      </c>
      <c r="B27" s="19">
        <f>0.25 + 0.1 * (tblUpgradeStats[[#This Row],[Level]] - 1) + 0.017 * (tblUpgradeStats[[#This Row],[Level]] - 1)^2</f>
        <v>13.375</v>
      </c>
      <c r="C27" s="19">
        <f>1 + 0.2 * (tblUpgradeStats[[#This Row],[Level]] - 1) + (1/75) * (tblUpgradeStats[[#This Row],[Level]] - 1)^2</f>
        <v>14.333333333333334</v>
      </c>
      <c r="D27" s="21">
        <f>ROUND(5 + 2 * (tblUpgradeStats[[#This Row],[Level]] - 1) + 0.1 * (tblUpgradeStats[[#This Row],[Level]] - 1)^2, 0)</f>
        <v>118</v>
      </c>
      <c r="E27" s="23">
        <f>(1.3 ^ (tblUpgradeStats[[#This Row],[Level]] - 1))/20</f>
        <v>35.282050074334123</v>
      </c>
    </row>
    <row r="28" spans="1:5" x14ac:dyDescent="0.3">
      <c r="A28" s="17">
        <v>27</v>
      </c>
      <c r="B28" s="19">
        <f>0.25 + 0.1 * (tblUpgradeStats[[#This Row],[Level]] - 1) + 0.017 * (tblUpgradeStats[[#This Row],[Level]] - 1)^2</f>
        <v>14.342000000000001</v>
      </c>
      <c r="C28" s="19">
        <f>1 + 0.2 * (tblUpgradeStats[[#This Row],[Level]] - 1) + (1/75) * (tblUpgradeStats[[#This Row],[Level]] - 1)^2</f>
        <v>15.213333333333335</v>
      </c>
      <c r="D28" s="21">
        <f>ROUND(5 + 2 * (tblUpgradeStats[[#This Row],[Level]] - 1) + 0.1 * (tblUpgradeStats[[#This Row],[Level]] - 1)^2, 0)</f>
        <v>125</v>
      </c>
      <c r="E28" s="23">
        <f>(1.3 ^ (tblUpgradeStats[[#This Row],[Level]] - 1))/20</f>
        <v>45.866665096634357</v>
      </c>
    </row>
    <row r="29" spans="1:5" x14ac:dyDescent="0.3">
      <c r="A29" s="17">
        <v>28</v>
      </c>
      <c r="B29" s="19">
        <f>0.25 + 0.1 * (tblUpgradeStats[[#This Row],[Level]] - 1) + 0.017 * (tblUpgradeStats[[#This Row],[Level]] - 1)^2</f>
        <v>15.343</v>
      </c>
      <c r="C29" s="19">
        <f>1 + 0.2 * (tblUpgradeStats[[#This Row],[Level]] - 1) + (1/75) * (tblUpgradeStats[[#This Row],[Level]] - 1)^2</f>
        <v>16.12</v>
      </c>
      <c r="D29" s="21">
        <f>ROUND(5 + 2 * (tblUpgradeStats[[#This Row],[Level]] - 1) + 0.1 * (tblUpgradeStats[[#This Row],[Level]] - 1)^2, 0)</f>
        <v>132</v>
      </c>
      <c r="E29" s="23">
        <f>(1.3 ^ (tblUpgradeStats[[#This Row],[Level]] - 1))/20</f>
        <v>59.626664625624677</v>
      </c>
    </row>
    <row r="30" spans="1:5" x14ac:dyDescent="0.3">
      <c r="A30" s="17">
        <v>29</v>
      </c>
      <c r="B30" s="19">
        <f>0.25 + 0.1 * (tblUpgradeStats[[#This Row],[Level]] - 1) + 0.017 * (tblUpgradeStats[[#This Row],[Level]] - 1)^2</f>
        <v>16.378</v>
      </c>
      <c r="C30" s="19">
        <f>1 + 0.2 * (tblUpgradeStats[[#This Row],[Level]] - 1) + (1/75) * (tblUpgradeStats[[#This Row],[Level]] - 1)^2</f>
        <v>17.053333333333335</v>
      </c>
      <c r="D30" s="21">
        <f>ROUND(5 + 2 * (tblUpgradeStats[[#This Row],[Level]] - 1) + 0.1 * (tblUpgradeStats[[#This Row],[Level]] - 1)^2, 0)</f>
        <v>139</v>
      </c>
      <c r="E30" s="23">
        <f>(1.3 ^ (tblUpgradeStats[[#This Row],[Level]] - 1))/20</f>
        <v>77.514664013312071</v>
      </c>
    </row>
    <row r="31" spans="1:5" x14ac:dyDescent="0.3">
      <c r="A31" s="17">
        <v>30</v>
      </c>
      <c r="B31" s="19">
        <f>0.25 + 0.1 * (tblUpgradeStats[[#This Row],[Level]] - 1) + 0.017 * (tblUpgradeStats[[#This Row],[Level]] - 1)^2</f>
        <v>17.447000000000003</v>
      </c>
      <c r="C31" s="19">
        <f>1 + 0.2 * (tblUpgradeStats[[#This Row],[Level]] - 1) + (1/75) * (tblUpgradeStats[[#This Row],[Level]] - 1)^2</f>
        <v>18.013333333333335</v>
      </c>
      <c r="D31" s="21">
        <f>ROUND(5 + 2 * (tblUpgradeStats[[#This Row],[Level]] - 1) + 0.1 * (tblUpgradeStats[[#This Row],[Level]] - 1)^2, 0)</f>
        <v>147</v>
      </c>
      <c r="E31" s="23">
        <f>(1.3 ^ (tblUpgradeStats[[#This Row],[Level]] - 1))/20</f>
        <v>100.76906321730571</v>
      </c>
    </row>
    <row r="32" spans="1:5" x14ac:dyDescent="0.3">
      <c r="A32" s="17">
        <v>31</v>
      </c>
      <c r="B32" s="19">
        <f>0.25 + 0.1 * (tblUpgradeStats[[#This Row],[Level]] - 1) + 0.017 * (tblUpgradeStats[[#This Row],[Level]] - 1)^2</f>
        <v>18.55</v>
      </c>
      <c r="C32" s="19">
        <f>1 + 0.2 * (tblUpgradeStats[[#This Row],[Level]] - 1) + (1/75) * (tblUpgradeStats[[#This Row],[Level]] - 1)^2</f>
        <v>19</v>
      </c>
      <c r="D32" s="21">
        <f>ROUND(5 + 2 * (tblUpgradeStats[[#This Row],[Level]] - 1) + 0.1 * (tblUpgradeStats[[#This Row],[Level]] - 1)^2, 0)</f>
        <v>155</v>
      </c>
      <c r="E32" s="23">
        <f>(1.3 ^ (tblUpgradeStats[[#This Row],[Level]] - 1))/20</f>
        <v>130.99978218249743</v>
      </c>
    </row>
    <row r="33" spans="1:5" x14ac:dyDescent="0.3">
      <c r="A33" s="17">
        <v>32</v>
      </c>
      <c r="B33" s="19">
        <f>0.25 + 0.1 * (tblUpgradeStats[[#This Row],[Level]] - 1) + 0.017 * (tblUpgradeStats[[#This Row],[Level]] - 1)^2</f>
        <v>19.687000000000001</v>
      </c>
      <c r="C33" s="19">
        <f>1 + 0.2 * (tblUpgradeStats[[#This Row],[Level]] - 1) + (1/75) * (tblUpgradeStats[[#This Row],[Level]] - 1)^2</f>
        <v>20.013333333333335</v>
      </c>
      <c r="D33" s="21">
        <f>ROUND(5 + 2 * (tblUpgradeStats[[#This Row],[Level]] - 1) + 0.1 * (tblUpgradeStats[[#This Row],[Level]] - 1)^2, 0)</f>
        <v>163</v>
      </c>
      <c r="E33" s="23">
        <f>(1.3 ^ (tblUpgradeStats[[#This Row],[Level]] - 1))/20</f>
        <v>170.29971683724665</v>
      </c>
    </row>
    <row r="34" spans="1:5" x14ac:dyDescent="0.3">
      <c r="A34" s="17">
        <v>33</v>
      </c>
      <c r="B34" s="19">
        <f>0.25 + 0.1 * (tblUpgradeStats[[#This Row],[Level]] - 1) + 0.017 * (tblUpgradeStats[[#This Row],[Level]] - 1)^2</f>
        <v>20.858000000000001</v>
      </c>
      <c r="C34" s="19">
        <f>1 + 0.2 * (tblUpgradeStats[[#This Row],[Level]] - 1) + (1/75) * (tblUpgradeStats[[#This Row],[Level]] - 1)^2</f>
        <v>21.053333333333335</v>
      </c>
      <c r="D34" s="21">
        <f>ROUND(5 + 2 * (tblUpgradeStats[[#This Row],[Level]] - 1) + 0.1 * (tblUpgradeStats[[#This Row],[Level]] - 1)^2, 0)</f>
        <v>171</v>
      </c>
      <c r="E34" s="23">
        <f>(1.3 ^ (tblUpgradeStats[[#This Row],[Level]] - 1))/20</f>
        <v>221.38963188842067</v>
      </c>
    </row>
    <row r="35" spans="1:5" x14ac:dyDescent="0.3">
      <c r="A35" s="17">
        <v>34</v>
      </c>
      <c r="B35" s="19">
        <f>0.25 + 0.1 * (tblUpgradeStats[[#This Row],[Level]] - 1) + 0.017 * (tblUpgradeStats[[#This Row],[Level]] - 1)^2</f>
        <v>22.063000000000002</v>
      </c>
      <c r="C35" s="19">
        <f>1 + 0.2 * (tblUpgradeStats[[#This Row],[Level]] - 1) + (1/75) * (tblUpgradeStats[[#This Row],[Level]] - 1)^2</f>
        <v>22.12</v>
      </c>
      <c r="D35" s="21">
        <f>ROUND(5 + 2 * (tblUpgradeStats[[#This Row],[Level]] - 1) + 0.1 * (tblUpgradeStats[[#This Row],[Level]] - 1)^2, 0)</f>
        <v>180</v>
      </c>
      <c r="E35" s="23">
        <f>(1.3 ^ (tblUpgradeStats[[#This Row],[Level]] - 1))/20</f>
        <v>287.80652145494685</v>
      </c>
    </row>
    <row r="36" spans="1:5" x14ac:dyDescent="0.3">
      <c r="A36" s="17">
        <v>35</v>
      </c>
      <c r="B36" s="19">
        <f>0.25 + 0.1 * (tblUpgradeStats[[#This Row],[Level]] - 1) + 0.017 * (tblUpgradeStats[[#This Row],[Level]] - 1)^2</f>
        <v>23.302</v>
      </c>
      <c r="C36" s="19">
        <f>1 + 0.2 * (tblUpgradeStats[[#This Row],[Level]] - 1) + (1/75) * (tblUpgradeStats[[#This Row],[Level]] - 1)^2</f>
        <v>23.213333333333335</v>
      </c>
      <c r="D36" s="21">
        <f>ROUND(5 + 2 * (tblUpgradeStats[[#This Row],[Level]] - 1) + 0.1 * (tblUpgradeStats[[#This Row],[Level]] - 1)^2, 0)</f>
        <v>189</v>
      </c>
      <c r="E36" s="23">
        <f>(1.3 ^ (tblUpgradeStats[[#This Row],[Level]] - 1))/20</f>
        <v>374.14847789143096</v>
      </c>
    </row>
    <row r="37" spans="1:5" x14ac:dyDescent="0.3">
      <c r="A37" s="17">
        <v>36</v>
      </c>
      <c r="B37" s="19">
        <f>0.25 + 0.1 * (tblUpgradeStats[[#This Row],[Level]] - 1) + 0.017 * (tblUpgradeStats[[#This Row],[Level]] - 1)^2</f>
        <v>24.575000000000003</v>
      </c>
      <c r="C37" s="19">
        <f>1 + 0.2 * (tblUpgradeStats[[#This Row],[Level]] - 1) + (1/75) * (tblUpgradeStats[[#This Row],[Level]] - 1)^2</f>
        <v>24.333333333333336</v>
      </c>
      <c r="D37" s="21">
        <f>ROUND(5 + 2 * (tblUpgradeStats[[#This Row],[Level]] - 1) + 0.1 * (tblUpgradeStats[[#This Row],[Level]] - 1)^2, 0)</f>
        <v>198</v>
      </c>
      <c r="E37" s="23">
        <f>(1.3 ^ (tblUpgradeStats[[#This Row],[Level]] - 1))/20</f>
        <v>486.39302125886036</v>
      </c>
    </row>
    <row r="38" spans="1:5" x14ac:dyDescent="0.3">
      <c r="A38" s="17">
        <v>37</v>
      </c>
      <c r="B38" s="19">
        <f>0.25 + 0.1 * (tblUpgradeStats[[#This Row],[Level]] - 1) + 0.017 * (tblUpgradeStats[[#This Row],[Level]] - 1)^2</f>
        <v>25.882000000000001</v>
      </c>
      <c r="C38" s="19">
        <f>1 + 0.2 * (tblUpgradeStats[[#This Row],[Level]] - 1) + (1/75) * (tblUpgradeStats[[#This Row],[Level]] - 1)^2</f>
        <v>25.48</v>
      </c>
      <c r="D38" s="21">
        <f>ROUND(5 + 2 * (tblUpgradeStats[[#This Row],[Level]] - 1) + 0.1 * (tblUpgradeStats[[#This Row],[Level]] - 1)^2, 0)</f>
        <v>207</v>
      </c>
      <c r="E38" s="23">
        <f>(1.3 ^ (tblUpgradeStats[[#This Row],[Level]] - 1))/20</f>
        <v>632.31092763651839</v>
      </c>
    </row>
    <row r="39" spans="1:5" x14ac:dyDescent="0.3">
      <c r="A39" s="17">
        <v>38</v>
      </c>
      <c r="B39" s="19">
        <f>0.25 + 0.1 * (tblUpgradeStats[[#This Row],[Level]] - 1) + 0.017 * (tblUpgradeStats[[#This Row],[Level]] - 1)^2</f>
        <v>27.223000000000003</v>
      </c>
      <c r="C39" s="19">
        <f>1 + 0.2 * (tblUpgradeStats[[#This Row],[Level]] - 1) + (1/75) * (tblUpgradeStats[[#This Row],[Level]] - 1)^2</f>
        <v>26.653333333333336</v>
      </c>
      <c r="D39" s="21">
        <f>ROUND(5 + 2 * (tblUpgradeStats[[#This Row],[Level]] - 1) + 0.1 * (tblUpgradeStats[[#This Row],[Level]] - 1)^2, 0)</f>
        <v>216</v>
      </c>
      <c r="E39" s="23">
        <f>(1.3 ^ (tblUpgradeStats[[#This Row],[Level]] - 1))/20</f>
        <v>822.004205927474</v>
      </c>
    </row>
    <row r="40" spans="1:5" x14ac:dyDescent="0.3">
      <c r="A40" s="17">
        <v>39</v>
      </c>
      <c r="B40" s="19">
        <f>0.25 + 0.1 * (tblUpgradeStats[[#This Row],[Level]] - 1) + 0.017 * (tblUpgradeStats[[#This Row],[Level]] - 1)^2</f>
        <v>28.598000000000003</v>
      </c>
      <c r="C40" s="19">
        <f>1 + 0.2 * (tblUpgradeStats[[#This Row],[Level]] - 1) + (1/75) * (tblUpgradeStats[[#This Row],[Level]] - 1)^2</f>
        <v>27.853333333333335</v>
      </c>
      <c r="D40" s="21">
        <f>ROUND(5 + 2 * (tblUpgradeStats[[#This Row],[Level]] - 1) + 0.1 * (tblUpgradeStats[[#This Row],[Level]] - 1)^2, 0)</f>
        <v>225</v>
      </c>
      <c r="E40" s="23">
        <f>(1.3 ^ (tblUpgradeStats[[#This Row],[Level]] - 1))/20</f>
        <v>1068.6054677057161</v>
      </c>
    </row>
    <row r="41" spans="1:5" x14ac:dyDescent="0.3">
      <c r="A41" s="17">
        <v>40</v>
      </c>
      <c r="B41" s="19">
        <f>0.25 + 0.1 * (tblUpgradeStats[[#This Row],[Level]] - 1) + 0.017 * (tblUpgradeStats[[#This Row],[Level]] - 1)^2</f>
        <v>30.007000000000005</v>
      </c>
      <c r="C41" s="19">
        <f>1 + 0.2 * (tblUpgradeStats[[#This Row],[Level]] - 1) + (1/75) * (tblUpgradeStats[[#This Row],[Level]] - 1)^2</f>
        <v>29.080000000000002</v>
      </c>
      <c r="D41" s="21">
        <f>ROUND(5 + 2 * (tblUpgradeStats[[#This Row],[Level]] - 1) + 0.1 * (tblUpgradeStats[[#This Row],[Level]] - 1)^2, 0)</f>
        <v>235</v>
      </c>
      <c r="E41" s="23">
        <f>(1.3 ^ (tblUpgradeStats[[#This Row],[Level]] - 1))/20</f>
        <v>1389.1871080174312</v>
      </c>
    </row>
    <row r="42" spans="1:5" x14ac:dyDescent="0.3">
      <c r="A42" s="17">
        <v>41</v>
      </c>
      <c r="B42" s="19">
        <f>0.25 + 0.1 * (tblUpgradeStats[[#This Row],[Level]] - 1) + 0.017 * (tblUpgradeStats[[#This Row],[Level]] - 1)^2</f>
        <v>31.450000000000003</v>
      </c>
      <c r="C42" s="19">
        <f>1 + 0.2 * (tblUpgradeStats[[#This Row],[Level]] - 1) + (1/75) * (tblUpgradeStats[[#This Row],[Level]] - 1)^2</f>
        <v>30.333333333333336</v>
      </c>
      <c r="D42" s="21">
        <f>ROUND(5 + 2 * (tblUpgradeStats[[#This Row],[Level]] - 1) + 0.1 * (tblUpgradeStats[[#This Row],[Level]] - 1)^2, 0)</f>
        <v>245</v>
      </c>
      <c r="E42" s="23">
        <f>(1.3 ^ (tblUpgradeStats[[#This Row],[Level]] - 1))/20</f>
        <v>1805.9432404226604</v>
      </c>
    </row>
    <row r="43" spans="1:5" x14ac:dyDescent="0.3">
      <c r="A43" s="17">
        <v>42</v>
      </c>
      <c r="B43" s="19">
        <f>0.25 + 0.1 * (tblUpgradeStats[[#This Row],[Level]] - 1) + 0.017 * (tblUpgradeStats[[#This Row],[Level]] - 1)^2</f>
        <v>32.927</v>
      </c>
      <c r="C43" s="19">
        <f>1 + 0.2 * (tblUpgradeStats[[#This Row],[Level]] - 1) + (1/75) * (tblUpgradeStats[[#This Row],[Level]] - 1)^2</f>
        <v>31.613333333333337</v>
      </c>
      <c r="D43" s="21">
        <f>ROUND(5 + 2 * (tblUpgradeStats[[#This Row],[Level]] - 1) + 0.1 * (tblUpgradeStats[[#This Row],[Level]] - 1)^2, 0)</f>
        <v>255</v>
      </c>
      <c r="E43" s="23">
        <f>(1.3 ^ (tblUpgradeStats[[#This Row],[Level]] - 1))/20</f>
        <v>2347.7262125494585</v>
      </c>
    </row>
    <row r="44" spans="1:5" x14ac:dyDescent="0.3">
      <c r="A44" s="17">
        <v>43</v>
      </c>
      <c r="B44" s="19">
        <f>0.25 + 0.1 * (tblUpgradeStats[[#This Row],[Level]] - 1) + 0.017 * (tblUpgradeStats[[#This Row],[Level]] - 1)^2</f>
        <v>34.438000000000002</v>
      </c>
      <c r="C44" s="19">
        <f>1 + 0.2 * (tblUpgradeStats[[#This Row],[Level]] - 1) + (1/75) * (tblUpgradeStats[[#This Row],[Level]] - 1)^2</f>
        <v>32.92</v>
      </c>
      <c r="D44" s="21">
        <f>ROUND(5 + 2 * (tblUpgradeStats[[#This Row],[Level]] - 1) + 0.1 * (tblUpgradeStats[[#This Row],[Level]] - 1)^2, 0)</f>
        <v>265</v>
      </c>
      <c r="E44" s="23">
        <f>(1.3 ^ (tblUpgradeStats[[#This Row],[Level]] - 1))/20</f>
        <v>3052.0440763142965</v>
      </c>
    </row>
    <row r="45" spans="1:5" x14ac:dyDescent="0.3">
      <c r="A45" s="17">
        <v>44</v>
      </c>
      <c r="B45" s="19">
        <f>0.25 + 0.1 * (tblUpgradeStats[[#This Row],[Level]] - 1) + 0.017 * (tblUpgradeStats[[#This Row],[Level]] - 1)^2</f>
        <v>35.983000000000004</v>
      </c>
      <c r="C45" s="19">
        <f>1 + 0.2 * (tblUpgradeStats[[#This Row],[Level]] - 1) + (1/75) * (tblUpgradeStats[[#This Row],[Level]] - 1)^2</f>
        <v>34.253333333333337</v>
      </c>
      <c r="D45" s="21">
        <f>ROUND(5 + 2 * (tblUpgradeStats[[#This Row],[Level]] - 1) + 0.1 * (tblUpgradeStats[[#This Row],[Level]] - 1)^2, 0)</f>
        <v>276</v>
      </c>
      <c r="E45" s="23">
        <f>(1.3 ^ (tblUpgradeStats[[#This Row],[Level]] - 1))/20</f>
        <v>3967.6572992085858</v>
      </c>
    </row>
    <row r="46" spans="1:5" x14ac:dyDescent="0.3">
      <c r="A46" s="17">
        <v>45</v>
      </c>
      <c r="B46" s="19">
        <f>0.25 + 0.1 * (tblUpgradeStats[[#This Row],[Level]] - 1) + 0.017 * (tblUpgradeStats[[#This Row],[Level]] - 1)^2</f>
        <v>37.561999999999998</v>
      </c>
      <c r="C46" s="19">
        <f>1 + 0.2 * (tblUpgradeStats[[#This Row],[Level]] - 1) + (1/75) * (tblUpgradeStats[[#This Row],[Level]] - 1)^2</f>
        <v>35.613333333333337</v>
      </c>
      <c r="D46" s="21">
        <f>ROUND(5 + 2 * (tblUpgradeStats[[#This Row],[Level]] - 1) + 0.1 * (tblUpgradeStats[[#This Row],[Level]] - 1)^2, 0)</f>
        <v>287</v>
      </c>
      <c r="E46" s="23">
        <f>(1.3 ^ (tblUpgradeStats[[#This Row],[Level]] - 1))/20</f>
        <v>5157.9544889711615</v>
      </c>
    </row>
    <row r="47" spans="1:5" x14ac:dyDescent="0.3">
      <c r="A47" s="17">
        <v>46</v>
      </c>
      <c r="B47" s="19">
        <f>0.25 + 0.1 * (tblUpgradeStats[[#This Row],[Level]] - 1) + 0.017 * (tblUpgradeStats[[#This Row],[Level]] - 1)^2</f>
        <v>39.175000000000004</v>
      </c>
      <c r="C47" s="19">
        <f>1 + 0.2 * (tblUpgradeStats[[#This Row],[Level]] - 1) + (1/75) * (tblUpgradeStats[[#This Row],[Level]] - 1)^2</f>
        <v>37</v>
      </c>
      <c r="D47" s="21">
        <f>ROUND(5 + 2 * (tblUpgradeStats[[#This Row],[Level]] - 1) + 0.1 * (tblUpgradeStats[[#This Row],[Level]] - 1)^2, 0)</f>
        <v>298</v>
      </c>
      <c r="E47" s="23">
        <f>(1.3 ^ (tblUpgradeStats[[#This Row],[Level]] - 1))/20</f>
        <v>6705.3408356625105</v>
      </c>
    </row>
    <row r="48" spans="1:5" x14ac:dyDescent="0.3">
      <c r="A48" s="17">
        <v>47</v>
      </c>
      <c r="B48" s="19">
        <f>0.25 + 0.1 * (tblUpgradeStats[[#This Row],[Level]] - 1) + 0.017 * (tblUpgradeStats[[#This Row],[Level]] - 1)^2</f>
        <v>40.822000000000003</v>
      </c>
      <c r="C48" s="19">
        <f>1 + 0.2 * (tblUpgradeStats[[#This Row],[Level]] - 1) + (1/75) * (tblUpgradeStats[[#This Row],[Level]] - 1)^2</f>
        <v>38.413333333333334</v>
      </c>
      <c r="D48" s="21">
        <f>ROUND(5 + 2 * (tblUpgradeStats[[#This Row],[Level]] - 1) + 0.1 * (tblUpgradeStats[[#This Row],[Level]] - 1)^2, 0)</f>
        <v>309</v>
      </c>
      <c r="E48" s="23">
        <f>(1.3 ^ (tblUpgradeStats[[#This Row],[Level]] - 1))/20</f>
        <v>8716.9430863612633</v>
      </c>
    </row>
    <row r="49" spans="1:5" x14ac:dyDescent="0.3">
      <c r="A49" s="17">
        <v>48</v>
      </c>
      <c r="B49" s="19">
        <f>0.25 + 0.1 * (tblUpgradeStats[[#This Row],[Level]] - 1) + 0.017 * (tblUpgradeStats[[#This Row],[Level]] - 1)^2</f>
        <v>42.503000000000007</v>
      </c>
      <c r="C49" s="19">
        <f>1 + 0.2 * (tblUpgradeStats[[#This Row],[Level]] - 1) + (1/75) * (tblUpgradeStats[[#This Row],[Level]] - 1)^2</f>
        <v>39.853333333333339</v>
      </c>
      <c r="D49" s="21">
        <f>ROUND(5 + 2 * (tblUpgradeStats[[#This Row],[Level]] - 1) + 0.1 * (tblUpgradeStats[[#This Row],[Level]] - 1)^2, 0)</f>
        <v>320</v>
      </c>
      <c r="E49" s="23">
        <f>(1.3 ^ (tblUpgradeStats[[#This Row],[Level]] - 1))/20</f>
        <v>11332.026012269645</v>
      </c>
    </row>
    <row r="50" spans="1:5" x14ac:dyDescent="0.3">
      <c r="A50" s="17">
        <v>49</v>
      </c>
      <c r="B50" s="19">
        <f>0.25 + 0.1 * (tblUpgradeStats[[#This Row],[Level]] - 1) + 0.017 * (tblUpgradeStats[[#This Row],[Level]] - 1)^2</f>
        <v>44.218000000000004</v>
      </c>
      <c r="C50" s="19">
        <f>1 + 0.2 * (tblUpgradeStats[[#This Row],[Level]] - 1) + (1/75) * (tblUpgradeStats[[#This Row],[Level]] - 1)^2</f>
        <v>41.320000000000007</v>
      </c>
      <c r="D50" s="21">
        <f>ROUND(5 + 2 * (tblUpgradeStats[[#This Row],[Level]] - 1) + 0.1 * (tblUpgradeStats[[#This Row],[Level]] - 1)^2, 0)</f>
        <v>331</v>
      </c>
      <c r="E50" s="23">
        <f>(1.3 ^ (tblUpgradeStats[[#This Row],[Level]] - 1))/20</f>
        <v>14731.633815950536</v>
      </c>
    </row>
    <row r="51" spans="1:5" x14ac:dyDescent="0.3">
      <c r="A51" s="17">
        <v>50</v>
      </c>
      <c r="B51" s="19">
        <f>0.25 + 0.1 * (tblUpgradeStats[[#This Row],[Level]] - 1) + 0.017 * (tblUpgradeStats[[#This Row],[Level]] - 1)^2</f>
        <v>45.966999999999999</v>
      </c>
      <c r="C51" s="19">
        <f>1 + 0.2 * (tblUpgradeStats[[#This Row],[Level]] - 1) + (1/75) * (tblUpgradeStats[[#This Row],[Level]] - 1)^2</f>
        <v>42.813333333333333</v>
      </c>
      <c r="D51" s="21">
        <f>ROUND(5 + 2 * (tblUpgradeStats[[#This Row],[Level]] - 1) + 0.1 * (tblUpgradeStats[[#This Row],[Level]] - 1)^2, 0)</f>
        <v>343</v>
      </c>
      <c r="E51" s="23">
        <f>(1.3 ^ (tblUpgradeStats[[#This Row],[Level]] - 1))/20</f>
        <v>19151.123960735698</v>
      </c>
    </row>
    <row r="52" spans="1:5" x14ac:dyDescent="0.3">
      <c r="A52" s="17">
        <v>51</v>
      </c>
      <c r="B52" s="19">
        <f>0.25 + 0.1 * (tblUpgradeStats[[#This Row],[Level]] - 1) + 0.017 * (tblUpgradeStats[[#This Row],[Level]] - 1)^2</f>
        <v>47.75</v>
      </c>
      <c r="C52" s="19">
        <f>1 + 0.2 * (tblUpgradeStats[[#This Row],[Level]] - 1) + (1/75) * (tblUpgradeStats[[#This Row],[Level]] - 1)^2</f>
        <v>44.333333333333336</v>
      </c>
      <c r="D52" s="21">
        <f>ROUND(5 + 2 * (tblUpgradeStats[[#This Row],[Level]] - 1) + 0.1 * (tblUpgradeStats[[#This Row],[Level]] - 1)^2, 0)</f>
        <v>355</v>
      </c>
      <c r="E52" s="23">
        <f>(1.3 ^ (tblUpgradeStats[[#This Row],[Level]] - 1))/20</f>
        <v>24896.461148956409</v>
      </c>
    </row>
    <row r="53" spans="1:5" x14ac:dyDescent="0.3">
      <c r="A53" s="17">
        <v>52</v>
      </c>
      <c r="B53" s="19">
        <f>0.25 + 0.1 * (tblUpgradeStats[[#This Row],[Level]] - 1) + 0.017 * (tblUpgradeStats[[#This Row],[Level]] - 1)^2</f>
        <v>49.567000000000007</v>
      </c>
      <c r="C53" s="19">
        <f>1 + 0.2 * (tblUpgradeStats[[#This Row],[Level]] - 1) + (1/75) * (tblUpgradeStats[[#This Row],[Level]] - 1)^2</f>
        <v>45.88</v>
      </c>
      <c r="D53" s="21">
        <f>ROUND(5 + 2 * (tblUpgradeStats[[#This Row],[Level]] - 1) + 0.1 * (tblUpgradeStats[[#This Row],[Level]] - 1)^2, 0)</f>
        <v>367</v>
      </c>
      <c r="E53" s="23">
        <f>(1.3 ^ (tblUpgradeStats[[#This Row],[Level]] - 1))/20</f>
        <v>32365.399493643337</v>
      </c>
    </row>
    <row r="54" spans="1:5" x14ac:dyDescent="0.3">
      <c r="A54" s="17">
        <v>53</v>
      </c>
      <c r="B54" s="19">
        <f>0.25 + 0.1 * (tblUpgradeStats[[#This Row],[Level]] - 1) + 0.017 * (tblUpgradeStats[[#This Row],[Level]] - 1)^2</f>
        <v>51.418000000000006</v>
      </c>
      <c r="C54" s="19">
        <f>1 + 0.2 * (tblUpgradeStats[[#This Row],[Level]] - 1) + (1/75) * (tblUpgradeStats[[#This Row],[Level]] - 1)^2</f>
        <v>47.453333333333333</v>
      </c>
      <c r="D54" s="21">
        <f>ROUND(5 + 2 * (tblUpgradeStats[[#This Row],[Level]] - 1) + 0.1 * (tblUpgradeStats[[#This Row],[Level]] - 1)^2, 0)</f>
        <v>379</v>
      </c>
      <c r="E54" s="23">
        <f>(1.3 ^ (tblUpgradeStats[[#This Row],[Level]] - 1))/20</f>
        <v>42075.019341736333</v>
      </c>
    </row>
    <row r="55" spans="1:5" x14ac:dyDescent="0.3">
      <c r="A55" s="17">
        <v>54</v>
      </c>
      <c r="B55" s="19">
        <f>0.25 + 0.1 * (tblUpgradeStats[[#This Row],[Level]] - 1) + 0.017 * (tblUpgradeStats[[#This Row],[Level]] - 1)^2</f>
        <v>53.302999999999997</v>
      </c>
      <c r="C55" s="19">
        <f>1 + 0.2 * (tblUpgradeStats[[#This Row],[Level]] - 1) + (1/75) * (tblUpgradeStats[[#This Row],[Level]] - 1)^2</f>
        <v>49.053333333333335</v>
      </c>
      <c r="D55" s="21">
        <f>ROUND(5 + 2 * (tblUpgradeStats[[#This Row],[Level]] - 1) + 0.1 * (tblUpgradeStats[[#This Row],[Level]] - 1)^2, 0)</f>
        <v>392</v>
      </c>
      <c r="E55" s="23">
        <f>(1.3 ^ (tblUpgradeStats[[#This Row],[Level]] - 1))/20</f>
        <v>54697.525144257233</v>
      </c>
    </row>
    <row r="56" spans="1:5" x14ac:dyDescent="0.3">
      <c r="A56" s="17">
        <v>55</v>
      </c>
      <c r="B56" s="19">
        <f>0.25 + 0.1 * (tblUpgradeStats[[#This Row],[Level]] - 1) + 0.017 * (tblUpgradeStats[[#This Row],[Level]] - 1)^2</f>
        <v>55.222000000000001</v>
      </c>
      <c r="C56" s="19">
        <f>1 + 0.2 * (tblUpgradeStats[[#This Row],[Level]] - 1) + (1/75) * (tblUpgradeStats[[#This Row],[Level]] - 1)^2</f>
        <v>50.680000000000007</v>
      </c>
      <c r="D56" s="21">
        <f>ROUND(5 + 2 * (tblUpgradeStats[[#This Row],[Level]] - 1) + 0.1 * (tblUpgradeStats[[#This Row],[Level]] - 1)^2, 0)</f>
        <v>405</v>
      </c>
      <c r="E56" s="23">
        <f>(1.3 ^ (tblUpgradeStats[[#This Row],[Level]] - 1))/20</f>
        <v>71106.782687534418</v>
      </c>
    </row>
    <row r="57" spans="1:5" x14ac:dyDescent="0.3">
      <c r="A57" s="17">
        <v>56</v>
      </c>
      <c r="B57" s="19">
        <f>0.25 + 0.1 * (tblUpgradeStats[[#This Row],[Level]] - 1) + 0.017 * (tblUpgradeStats[[#This Row],[Level]] - 1)^2</f>
        <v>57.175000000000004</v>
      </c>
      <c r="C57" s="19">
        <f>1 + 0.2 * (tblUpgradeStats[[#This Row],[Level]] - 1) + (1/75) * (tblUpgradeStats[[#This Row],[Level]] - 1)^2</f>
        <v>52.333333333333336</v>
      </c>
      <c r="D57" s="21">
        <f>ROUND(5 + 2 * (tblUpgradeStats[[#This Row],[Level]] - 1) + 0.1 * (tblUpgradeStats[[#This Row],[Level]] - 1)^2, 0)</f>
        <v>418</v>
      </c>
      <c r="E57" s="23">
        <f>(1.3 ^ (tblUpgradeStats[[#This Row],[Level]] - 1))/20</f>
        <v>92438.817493794748</v>
      </c>
    </row>
    <row r="58" spans="1:5" x14ac:dyDescent="0.3">
      <c r="A58" s="17">
        <v>57</v>
      </c>
      <c r="B58" s="19">
        <f>0.25 + 0.1 * (tblUpgradeStats[[#This Row],[Level]] - 1) + 0.017 * (tblUpgradeStats[[#This Row],[Level]] - 1)^2</f>
        <v>59.162000000000006</v>
      </c>
      <c r="C58" s="19">
        <f>1 + 0.2 * (tblUpgradeStats[[#This Row],[Level]] - 1) + (1/75) * (tblUpgradeStats[[#This Row],[Level]] - 1)^2</f>
        <v>54.013333333333335</v>
      </c>
      <c r="D58" s="21">
        <f>ROUND(5 + 2 * (tblUpgradeStats[[#This Row],[Level]] - 1) + 0.1 * (tblUpgradeStats[[#This Row],[Level]] - 1)^2, 0)</f>
        <v>431</v>
      </c>
      <c r="E58" s="23">
        <f>(1.3 ^ (tblUpgradeStats[[#This Row],[Level]] - 1))/20</f>
        <v>120170.46274193315</v>
      </c>
    </row>
    <row r="59" spans="1:5" x14ac:dyDescent="0.3">
      <c r="A59" s="17">
        <v>58</v>
      </c>
      <c r="B59" s="19">
        <f>0.25 + 0.1 * (tblUpgradeStats[[#This Row],[Level]] - 1) + 0.017 * (tblUpgradeStats[[#This Row],[Level]] - 1)^2</f>
        <v>61.183000000000007</v>
      </c>
      <c r="C59" s="19">
        <f>1 + 0.2 * (tblUpgradeStats[[#This Row],[Level]] - 1) + (1/75) * (tblUpgradeStats[[#This Row],[Level]] - 1)^2</f>
        <v>55.72</v>
      </c>
      <c r="D59" s="21">
        <f>ROUND(5 + 2 * (tblUpgradeStats[[#This Row],[Level]] - 1) + 0.1 * (tblUpgradeStats[[#This Row],[Level]] - 1)^2, 0)</f>
        <v>444</v>
      </c>
      <c r="E59" s="23">
        <f>(1.3 ^ (tblUpgradeStats[[#This Row],[Level]] - 1))/20</f>
        <v>156221.60156451311</v>
      </c>
    </row>
    <row r="60" spans="1:5" x14ac:dyDescent="0.3">
      <c r="A60" s="17">
        <v>59</v>
      </c>
      <c r="B60" s="19">
        <f>0.25 + 0.1 * (tblUpgradeStats[[#This Row],[Level]] - 1) + 0.017 * (tblUpgradeStats[[#This Row],[Level]] - 1)^2</f>
        <v>63.238</v>
      </c>
      <c r="C60" s="19">
        <f>1 + 0.2 * (tblUpgradeStats[[#This Row],[Level]] - 1) + (1/75) * (tblUpgradeStats[[#This Row],[Level]] - 1)^2</f>
        <v>57.45333333333334</v>
      </c>
      <c r="D60" s="21">
        <f>ROUND(5 + 2 * (tblUpgradeStats[[#This Row],[Level]] - 1) + 0.1 * (tblUpgradeStats[[#This Row],[Level]] - 1)^2, 0)</f>
        <v>457</v>
      </c>
      <c r="E60" s="23">
        <f>(1.3 ^ (tblUpgradeStats[[#This Row],[Level]] - 1))/20</f>
        <v>203088.08203386707</v>
      </c>
    </row>
    <row r="61" spans="1:5" x14ac:dyDescent="0.3">
      <c r="A61" s="17">
        <v>60</v>
      </c>
      <c r="B61" s="19">
        <f>0.25 + 0.1 * (tblUpgradeStats[[#This Row],[Level]] - 1) + 0.017 * (tblUpgradeStats[[#This Row],[Level]] - 1)^2</f>
        <v>65.327000000000012</v>
      </c>
      <c r="C61" s="19">
        <f>1 + 0.2 * (tblUpgradeStats[[#This Row],[Level]] - 1) + (1/75) * (tblUpgradeStats[[#This Row],[Level]] - 1)^2</f>
        <v>59.213333333333338</v>
      </c>
      <c r="D61" s="21">
        <f>ROUND(5 + 2 * (tblUpgradeStats[[#This Row],[Level]] - 1) + 0.1 * (tblUpgradeStats[[#This Row],[Level]] - 1)^2, 0)</f>
        <v>471</v>
      </c>
      <c r="E61" s="23">
        <f>(1.3 ^ (tblUpgradeStats[[#This Row],[Level]] - 1))/20</f>
        <v>264014.50664402719</v>
      </c>
    </row>
    <row r="62" spans="1:5" x14ac:dyDescent="0.3">
      <c r="A62" s="17">
        <v>61</v>
      </c>
      <c r="B62" s="19">
        <f>0.25 + 0.1 * (tblUpgradeStats[[#This Row],[Level]] - 1) + 0.017 * (tblUpgradeStats[[#This Row],[Level]] - 1)^2</f>
        <v>67.45</v>
      </c>
      <c r="C62" s="19">
        <f>1 + 0.2 * (tblUpgradeStats[[#This Row],[Level]] - 1) + (1/75) * (tblUpgradeStats[[#This Row],[Level]] - 1)^2</f>
        <v>61</v>
      </c>
      <c r="D62" s="21">
        <f>ROUND(5 + 2 * (tblUpgradeStats[[#This Row],[Level]] - 1) + 0.1 * (tblUpgradeStats[[#This Row],[Level]] - 1)^2, 0)</f>
        <v>485</v>
      </c>
      <c r="E62" s="23">
        <f>(1.3 ^ (tblUpgradeStats[[#This Row],[Level]] - 1))/20</f>
        <v>343218.85863723536</v>
      </c>
    </row>
    <row r="63" spans="1:5" x14ac:dyDescent="0.3">
      <c r="A63" s="17">
        <v>62</v>
      </c>
      <c r="B63" s="19">
        <f>0.25 + 0.1 * (tblUpgradeStats[[#This Row],[Level]] - 1) + 0.017 * (tblUpgradeStats[[#This Row],[Level]] - 1)^2</f>
        <v>69.606999999999999</v>
      </c>
      <c r="C63" s="19">
        <f>1 + 0.2 * (tblUpgradeStats[[#This Row],[Level]] - 1) + (1/75) * (tblUpgradeStats[[#This Row],[Level]] - 1)^2</f>
        <v>62.81333333333334</v>
      </c>
      <c r="D63" s="21">
        <f>ROUND(5 + 2 * (tblUpgradeStats[[#This Row],[Level]] - 1) + 0.1 * (tblUpgradeStats[[#This Row],[Level]] - 1)^2, 0)</f>
        <v>499</v>
      </c>
      <c r="E63" s="23">
        <f>(1.3 ^ (tblUpgradeStats[[#This Row],[Level]] - 1))/20</f>
        <v>446184.51622840605</v>
      </c>
    </row>
    <row r="64" spans="1:5" x14ac:dyDescent="0.3">
      <c r="A64" s="17">
        <v>63</v>
      </c>
      <c r="B64" s="19">
        <f>0.25 + 0.1 * (tblUpgradeStats[[#This Row],[Level]] - 1) + 0.017 * (tblUpgradeStats[[#This Row],[Level]] - 1)^2</f>
        <v>71.798000000000002</v>
      </c>
      <c r="C64" s="19">
        <f>1 + 0.2 * (tblUpgradeStats[[#This Row],[Level]] - 1) + (1/75) * (tblUpgradeStats[[#This Row],[Level]] - 1)^2</f>
        <v>64.653333333333336</v>
      </c>
      <c r="D64" s="21">
        <f>ROUND(5 + 2 * (tblUpgradeStats[[#This Row],[Level]] - 1) + 0.1 * (tblUpgradeStats[[#This Row],[Level]] - 1)^2, 0)</f>
        <v>513</v>
      </c>
      <c r="E64" s="23">
        <f>(1.3 ^ (tblUpgradeStats[[#This Row],[Level]] - 1))/20</f>
        <v>580039.87109692791</v>
      </c>
    </row>
    <row r="65" spans="1:5" x14ac:dyDescent="0.3">
      <c r="A65" s="17">
        <v>64</v>
      </c>
      <c r="B65" s="19">
        <f>0.25 + 0.1 * (tblUpgradeStats[[#This Row],[Level]] - 1) + 0.017 * (tblUpgradeStats[[#This Row],[Level]] - 1)^2</f>
        <v>74.022999999999996</v>
      </c>
      <c r="C65" s="19">
        <f>1 + 0.2 * (tblUpgradeStats[[#This Row],[Level]] - 1) + (1/75) * (tblUpgradeStats[[#This Row],[Level]] - 1)^2</f>
        <v>66.52000000000001</v>
      </c>
      <c r="D65" s="21">
        <f>ROUND(5 + 2 * (tblUpgradeStats[[#This Row],[Level]] - 1) + 0.1 * (tblUpgradeStats[[#This Row],[Level]] - 1)^2, 0)</f>
        <v>528</v>
      </c>
      <c r="E65" s="23">
        <f>(1.3 ^ (tblUpgradeStats[[#This Row],[Level]] - 1))/20</f>
        <v>754051.83242600621</v>
      </c>
    </row>
    <row r="66" spans="1:5" x14ac:dyDescent="0.3">
      <c r="A66" s="17">
        <v>65</v>
      </c>
      <c r="B66" s="19">
        <f>0.25 + 0.1 * (tblUpgradeStats[[#This Row],[Level]] - 1) + 0.017 * (tblUpgradeStats[[#This Row],[Level]] - 1)^2</f>
        <v>76.282000000000011</v>
      </c>
      <c r="C66" s="19">
        <f>1 + 0.2 * (tblUpgradeStats[[#This Row],[Level]] - 1) + (1/75) * (tblUpgradeStats[[#This Row],[Level]] - 1)^2</f>
        <v>68.413333333333341</v>
      </c>
      <c r="D66" s="21">
        <f>ROUND(5 + 2 * (tblUpgradeStats[[#This Row],[Level]] - 1) + 0.1 * (tblUpgradeStats[[#This Row],[Level]] - 1)^2, 0)</f>
        <v>543</v>
      </c>
      <c r="E66" s="23">
        <f>(1.3 ^ (tblUpgradeStats[[#This Row],[Level]] - 1))/20</f>
        <v>980267.38215380814</v>
      </c>
    </row>
    <row r="67" spans="1:5" x14ac:dyDescent="0.3">
      <c r="A67" s="17">
        <v>66</v>
      </c>
      <c r="B67" s="19">
        <f>0.25 + 0.1 * (tblUpgradeStats[[#This Row],[Level]] - 1) + 0.017 * (tblUpgradeStats[[#This Row],[Level]] - 1)^2</f>
        <v>78.575000000000003</v>
      </c>
      <c r="C67" s="19">
        <f>1 + 0.2 * (tblUpgradeStats[[#This Row],[Level]] - 1) + (1/75) * (tblUpgradeStats[[#This Row],[Level]] - 1)^2</f>
        <v>70.333333333333343</v>
      </c>
      <c r="D67" s="21">
        <f>ROUND(5 + 2 * (tblUpgradeStats[[#This Row],[Level]] - 1) + 0.1 * (tblUpgradeStats[[#This Row],[Level]] - 1)^2, 0)</f>
        <v>558</v>
      </c>
      <c r="E67" s="23">
        <f>(1.3 ^ (tblUpgradeStats[[#This Row],[Level]] - 1))/20</f>
        <v>1274347.5967999506</v>
      </c>
    </row>
    <row r="68" spans="1:5" x14ac:dyDescent="0.3">
      <c r="A68" s="17">
        <v>67</v>
      </c>
      <c r="B68" s="19">
        <f>0.25 + 0.1 * (tblUpgradeStats[[#This Row],[Level]] - 1) + 0.017 * (tblUpgradeStats[[#This Row],[Level]] - 1)^2</f>
        <v>80.902000000000001</v>
      </c>
      <c r="C68" s="19">
        <f>1 + 0.2 * (tblUpgradeStats[[#This Row],[Level]] - 1) + (1/75) * (tblUpgradeStats[[#This Row],[Level]] - 1)^2</f>
        <v>72.28</v>
      </c>
      <c r="D68" s="21">
        <f>ROUND(5 + 2 * (tblUpgradeStats[[#This Row],[Level]] - 1) + 0.1 * (tblUpgradeStats[[#This Row],[Level]] - 1)^2, 0)</f>
        <v>573</v>
      </c>
      <c r="E68" s="23">
        <f>(1.3 ^ (tblUpgradeStats[[#This Row],[Level]] - 1))/20</f>
        <v>1656651.8758399361</v>
      </c>
    </row>
    <row r="69" spans="1:5" x14ac:dyDescent="0.3">
      <c r="A69" s="17">
        <v>68</v>
      </c>
      <c r="B69" s="19">
        <f>0.25 + 0.1 * (tblUpgradeStats[[#This Row],[Level]] - 1) + 0.017 * (tblUpgradeStats[[#This Row],[Level]] - 1)^2</f>
        <v>83.263000000000005</v>
      </c>
      <c r="C69" s="19">
        <f>1 + 0.2 * (tblUpgradeStats[[#This Row],[Level]] - 1) + (1/75) * (tblUpgradeStats[[#This Row],[Level]] - 1)^2</f>
        <v>74.253333333333345</v>
      </c>
      <c r="D69" s="21">
        <f>ROUND(5 + 2 * (tblUpgradeStats[[#This Row],[Level]] - 1) + 0.1 * (tblUpgradeStats[[#This Row],[Level]] - 1)^2, 0)</f>
        <v>588</v>
      </c>
      <c r="E69" s="23">
        <f>(1.3 ^ (tblUpgradeStats[[#This Row],[Level]] - 1))/20</f>
        <v>2153647.438591917</v>
      </c>
    </row>
    <row r="70" spans="1:5" x14ac:dyDescent="0.3">
      <c r="A70" s="17">
        <v>69</v>
      </c>
      <c r="B70" s="19">
        <f>0.25 + 0.1 * (tblUpgradeStats[[#This Row],[Level]] - 1) + 0.017 * (tblUpgradeStats[[#This Row],[Level]] - 1)^2</f>
        <v>85.658000000000001</v>
      </c>
      <c r="C70" s="19">
        <f>1 + 0.2 * (tblUpgradeStats[[#This Row],[Level]] - 1) + (1/75) * (tblUpgradeStats[[#This Row],[Level]] - 1)^2</f>
        <v>76.25333333333333</v>
      </c>
      <c r="D70" s="21">
        <f>ROUND(5 + 2 * (tblUpgradeStats[[#This Row],[Level]] - 1) + 0.1 * (tblUpgradeStats[[#This Row],[Level]] - 1)^2, 0)</f>
        <v>603</v>
      </c>
      <c r="E70" s="23">
        <f>(1.3 ^ (tblUpgradeStats[[#This Row],[Level]] - 1))/20</f>
        <v>2799741.6701694923</v>
      </c>
    </row>
    <row r="71" spans="1:5" x14ac:dyDescent="0.3">
      <c r="A71" s="17">
        <v>70</v>
      </c>
      <c r="B71" s="19">
        <f>0.25 + 0.1 * (tblUpgradeStats[[#This Row],[Level]] - 1) + 0.017 * (tblUpgradeStats[[#This Row],[Level]] - 1)^2</f>
        <v>88.087000000000018</v>
      </c>
      <c r="C71" s="19">
        <f>1 + 0.2 * (tblUpgradeStats[[#This Row],[Level]] - 1) + (1/75) * (tblUpgradeStats[[#This Row],[Level]] - 1)^2</f>
        <v>78.28</v>
      </c>
      <c r="D71" s="21">
        <f>ROUND(5 + 2 * (tblUpgradeStats[[#This Row],[Level]] - 1) + 0.1 * (tblUpgradeStats[[#This Row],[Level]] - 1)^2, 0)</f>
        <v>619</v>
      </c>
      <c r="E71" s="23">
        <f>(1.3 ^ (tblUpgradeStats[[#This Row],[Level]] - 1))/20</f>
        <v>3639664.1712203398</v>
      </c>
    </row>
    <row r="72" spans="1:5" x14ac:dyDescent="0.3">
      <c r="A72" s="17">
        <v>71</v>
      </c>
      <c r="B72" s="19">
        <f>0.25 + 0.1 * (tblUpgradeStats[[#This Row],[Level]] - 1) + 0.017 * (tblUpgradeStats[[#This Row],[Level]] - 1)^2</f>
        <v>90.550000000000011</v>
      </c>
      <c r="C72" s="19">
        <f>1 + 0.2 * (tblUpgradeStats[[#This Row],[Level]] - 1) + (1/75) * (tblUpgradeStats[[#This Row],[Level]] - 1)^2</f>
        <v>80.333333333333343</v>
      </c>
      <c r="D72" s="21">
        <f>ROUND(5 + 2 * (tblUpgradeStats[[#This Row],[Level]] - 1) + 0.1 * (tblUpgradeStats[[#This Row],[Level]] - 1)^2, 0)</f>
        <v>635</v>
      </c>
      <c r="E72" s="23">
        <f>(1.3 ^ (tblUpgradeStats[[#This Row],[Level]] - 1))/20</f>
        <v>4731563.4225864429</v>
      </c>
    </row>
    <row r="73" spans="1:5" x14ac:dyDescent="0.3">
      <c r="A73" s="17">
        <v>72</v>
      </c>
      <c r="B73" s="19">
        <f>0.25 + 0.1 * (tblUpgradeStats[[#This Row],[Level]] - 1) + 0.017 * (tblUpgradeStats[[#This Row],[Level]] - 1)^2</f>
        <v>93.046999999999997</v>
      </c>
      <c r="C73" s="19">
        <f>1 + 0.2 * (tblUpgradeStats[[#This Row],[Level]] - 1) + (1/75) * (tblUpgradeStats[[#This Row],[Level]] - 1)^2</f>
        <v>82.413333333333341</v>
      </c>
      <c r="D73" s="21">
        <f>ROUND(5 + 2 * (tblUpgradeStats[[#This Row],[Level]] - 1) + 0.1 * (tblUpgradeStats[[#This Row],[Level]] - 1)^2, 0)</f>
        <v>651</v>
      </c>
      <c r="E73" s="23">
        <f>(1.3 ^ (tblUpgradeStats[[#This Row],[Level]] - 1))/20</f>
        <v>6151032.4493623758</v>
      </c>
    </row>
    <row r="74" spans="1:5" x14ac:dyDescent="0.3">
      <c r="A74" s="17">
        <v>73</v>
      </c>
      <c r="B74" s="19">
        <f>0.25 + 0.1 * (tblUpgradeStats[[#This Row],[Level]] - 1) + 0.017 * (tblUpgradeStats[[#This Row],[Level]] - 1)^2</f>
        <v>95.578000000000003</v>
      </c>
      <c r="C74" s="19">
        <f>1 + 0.2 * (tblUpgradeStats[[#This Row],[Level]] - 1) + (1/75) * (tblUpgradeStats[[#This Row],[Level]] - 1)^2</f>
        <v>84.52000000000001</v>
      </c>
      <c r="D74" s="21">
        <f>ROUND(5 + 2 * (tblUpgradeStats[[#This Row],[Level]] - 1) + 0.1 * (tblUpgradeStats[[#This Row],[Level]] - 1)^2, 0)</f>
        <v>667</v>
      </c>
      <c r="E74" s="23">
        <f>(1.3 ^ (tblUpgradeStats[[#This Row],[Level]] - 1))/20</f>
        <v>7996342.1841710862</v>
      </c>
    </row>
    <row r="75" spans="1:5" x14ac:dyDescent="0.3">
      <c r="A75" s="17">
        <v>74</v>
      </c>
      <c r="B75" s="19">
        <f>0.25 + 0.1 * (tblUpgradeStats[[#This Row],[Level]] - 1) + 0.017 * (tblUpgradeStats[[#This Row],[Level]] - 1)^2</f>
        <v>98.143000000000001</v>
      </c>
      <c r="C75" s="19">
        <f>1 + 0.2 * (tblUpgradeStats[[#This Row],[Level]] - 1) + (1/75) * (tblUpgradeStats[[#This Row],[Level]] - 1)^2</f>
        <v>86.653333333333336</v>
      </c>
      <c r="D75" s="21">
        <f>ROUND(5 + 2 * (tblUpgradeStats[[#This Row],[Level]] - 1) + 0.1 * (tblUpgradeStats[[#This Row],[Level]] - 1)^2, 0)</f>
        <v>684</v>
      </c>
      <c r="E75" s="23">
        <f>(1.3 ^ (tblUpgradeStats[[#This Row],[Level]] - 1))/20</f>
        <v>10395244.839422412</v>
      </c>
    </row>
    <row r="76" spans="1:5" x14ac:dyDescent="0.3">
      <c r="A76" s="17">
        <v>75</v>
      </c>
      <c r="B76" s="19">
        <f>0.25 + 0.1 * (tblUpgradeStats[[#This Row],[Level]] - 1) + 0.017 * (tblUpgradeStats[[#This Row],[Level]] - 1)^2</f>
        <v>100.74200000000002</v>
      </c>
      <c r="C76" s="19">
        <f>1 + 0.2 * (tblUpgradeStats[[#This Row],[Level]] - 1) + (1/75) * (tblUpgradeStats[[#This Row],[Level]] - 1)^2</f>
        <v>88.813333333333333</v>
      </c>
      <c r="D76" s="21">
        <f>ROUND(5 + 2 * (tblUpgradeStats[[#This Row],[Level]] - 1) + 0.1 * (tblUpgradeStats[[#This Row],[Level]] - 1)^2, 0)</f>
        <v>701</v>
      </c>
      <c r="E76" s="23">
        <f>(1.3 ^ (tblUpgradeStats[[#This Row],[Level]] - 1))/20</f>
        <v>13513818.291249137</v>
      </c>
    </row>
    <row r="77" spans="1:5" x14ac:dyDescent="0.3">
      <c r="A77" s="17">
        <v>76</v>
      </c>
      <c r="B77" s="19">
        <f>0.25 + 0.1 * (tblUpgradeStats[[#This Row],[Level]] - 1) + 0.017 * (tblUpgradeStats[[#This Row],[Level]] - 1)^2</f>
        <v>103.375</v>
      </c>
      <c r="C77" s="19">
        <f>1 + 0.2 * (tblUpgradeStats[[#This Row],[Level]] - 1) + (1/75) * (tblUpgradeStats[[#This Row],[Level]] - 1)^2</f>
        <v>91</v>
      </c>
      <c r="D77" s="21">
        <f>ROUND(5 + 2 * (tblUpgradeStats[[#This Row],[Level]] - 1) + 0.1 * (tblUpgradeStats[[#This Row],[Level]] - 1)^2, 0)</f>
        <v>718</v>
      </c>
      <c r="E77" s="23">
        <f>(1.3 ^ (tblUpgradeStats[[#This Row],[Level]] - 1))/20</f>
        <v>17567963.778623883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B3998-16A6-4F84-AA13-EFC67CAA8DA7}">
  <sheetPr codeName="Sheet8"/>
  <dimension ref="A1:O77"/>
  <sheetViews>
    <sheetView workbookViewId="0">
      <selection activeCell="E2" sqref="E2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40.44140625" bestFit="1" customWidth="1"/>
    <col min="4" max="4" width="19.21875" bestFit="1" customWidth="1"/>
    <col min="5" max="5" width="19.109375" style="39" bestFit="1" customWidth="1"/>
    <col min="6" max="6" width="18.5546875" style="59" bestFit="1" customWidth="1"/>
    <col min="7" max="7" width="23.88671875" style="37" hidden="1" customWidth="1"/>
    <col min="8" max="8" width="19.21875" style="39" hidden="1" customWidth="1"/>
    <col min="9" max="9" width="15.5546875" style="59" hidden="1" customWidth="1"/>
    <col min="10" max="10" width="22.21875" style="37" hidden="1" customWidth="1"/>
    <col min="11" max="13" width="19.109375" hidden="1" customWidth="1"/>
    <col min="14" max="15" width="21.88671875" hidden="1" customWidth="1"/>
  </cols>
  <sheetData>
    <row r="1" spans="1:15" x14ac:dyDescent="0.3">
      <c r="A1" s="26" t="s">
        <v>0</v>
      </c>
      <c r="B1" s="26" t="s">
        <v>155</v>
      </c>
      <c r="C1" s="38" t="s">
        <v>170</v>
      </c>
      <c r="D1" s="38" t="s">
        <v>171</v>
      </c>
      <c r="E1" s="26" t="s">
        <v>172</v>
      </c>
      <c r="F1" s="26" t="s">
        <v>175</v>
      </c>
      <c r="G1" s="26" t="s">
        <v>169</v>
      </c>
      <c r="H1" s="26" t="s">
        <v>132</v>
      </c>
      <c r="I1" s="57" t="s">
        <v>164</v>
      </c>
      <c r="J1" s="33" t="s">
        <v>160</v>
      </c>
      <c r="K1" s="57" t="s">
        <v>156</v>
      </c>
      <c r="L1" s="33" t="s">
        <v>161</v>
      </c>
      <c r="M1" s="57" t="s">
        <v>157</v>
      </c>
      <c r="N1" s="33" t="s">
        <v>162</v>
      </c>
      <c r="O1" s="26" t="s">
        <v>176</v>
      </c>
    </row>
    <row r="2" spans="1:15" x14ac:dyDescent="0.3">
      <c r="A2" s="24">
        <v>1</v>
      </c>
      <c r="B2" s="24" t="str">
        <f>_xlfn.XLOOKUP(tblprogress[[#This Row],[Planet '#]],tblPlanets[Planet '#],tblPlanets[Name])</f>
        <v>Balor</v>
      </c>
      <c r="C2" s="55" t="str">
        <f>IF(tblplaneteco[[#This Row],[Unlocked]]=1,"",tblplaneteco[[#This Row],[Unlock Price]])</f>
        <v/>
      </c>
      <c r="D2" s="55">
        <f>IF(tblplaneteco[[#This Row],[Unlocked]]=1,
   ROUND(tblplaneteco[[#This Row],[Mining Upgrade Cost]] * tblplaneteco[[#This Row],[Unlock Price]],0),
   ""
)</f>
        <v>10077</v>
      </c>
      <c r="E2" s="55">
        <f>IF(tblplaneteco[[#This Row],[Unlocked]]=1,
   ROUND(tblplaneteco[[#This Row],[Ship Upgrade Cost]] * tblplaneteco[[#This Row],[Unlock Price]],0),
   ""
)</f>
        <v>197</v>
      </c>
      <c r="F2" s="55">
        <f>IF(tblplaneteco[[#This Row],[Unlocked]]=1,
   ROUND(tblplaneteco[[#This Row],[Cargo Upgrade Cost]] * tblplaneteco[[#This Row],[Unlock Price]],0),
   ""
)</f>
        <v>731</v>
      </c>
      <c r="G2" s="56">
        <f>_xlfn.XLOOKUP(tblplaneteco[[#This Row],[Planet '#]],tblprogress[Planet '#],tblprogress[Unlocked])</f>
        <v>1</v>
      </c>
      <c r="H2" s="56">
        <f>_xlfn.XLOOKUP(tblplaneteco[[#This Row],[Planet '#]],tblPlanets[Planet '#],tblPlanets[Unlock Price])</f>
        <v>100</v>
      </c>
      <c r="I2" s="58">
        <f>_xlfn.XLOOKUP(tblplaneteco[[#This Row],[Planet '#]],tblprogress[Planet '#],tblprogress[Mining Level])</f>
        <v>30</v>
      </c>
      <c r="J2" s="15">
        <f>_xlfn.XLOOKUP(tblplaneteco[[#This Row],[Mining Level]],tblUpgradeStats[Level],tblUpgradeStats[Upgrade Price (per Level)],0)</f>
        <v>100.76906321730571</v>
      </c>
      <c r="K2" s="58">
        <f>_xlfn.XLOOKUP(tblplaneteco[[#This Row],[Planet '#]],tblprogress[Planet '#],tblprogress[Ship Level])</f>
        <v>15</v>
      </c>
      <c r="L2" s="15">
        <f>_xlfn.XLOOKUP(tblplaneteco[[#This Row],[Ship Level]],tblUpgradeStats[Level],tblUpgradeStats[Upgrade Price (per Level)],0)</f>
        <v>1.9686881928496458</v>
      </c>
      <c r="M2" s="58">
        <f>_xlfn.XLOOKUP(tblplaneteco[[#This Row],[Planet '#]],tblprogress[Planet '#],tblprogress[Cargo Level])</f>
        <v>20</v>
      </c>
      <c r="N2" s="15">
        <f>_xlfn.XLOOKUP(tblplaneteco[[#This Row],[Cargo Level]],tblUpgradeStats[Level],tblUpgradeStats[Upgrade Price (per Level)],0)</f>
        <v>7.3096014518772376</v>
      </c>
      <c r="O2" s="55" t="str">
        <f>IF(
   _xlfn.XLOOKUP(tblplaneteco[[#This Row],[Planet '#]], tblPlanets[Planet '#], tblPlanets[Name])=tblplaneteco[[#This Row],[Name]],
   "Match",
   "Mismatch"
)</f>
        <v>Match</v>
      </c>
    </row>
    <row r="3" spans="1:15" x14ac:dyDescent="0.3">
      <c r="A3" s="25">
        <v>2</v>
      </c>
      <c r="B3" s="25" t="str">
        <f>_xlfn.XLOOKUP(tblprogress[[#This Row],[Planet '#]],tblPlanets[Planet '#],tblPlanets[Name])</f>
        <v>Drasta</v>
      </c>
      <c r="C3" s="55" t="str">
        <f>IF(tblplaneteco[[#This Row],[Unlocked]]=1,"",tblplaneteco[[#This Row],[Unlock Price]])</f>
        <v/>
      </c>
      <c r="D3" s="55">
        <f>IF(tblplaneteco[[#This Row],[Unlocked]]=1,
   ROUND(tblplaneteco[[#This Row],[Mining Upgrade Cost]] * tblplaneteco[[#This Row],[Unlock Price]],0),
   ""
)</f>
        <v>11925</v>
      </c>
      <c r="E3" s="55">
        <f>IF(tblplaneteco[[#This Row],[Unlocked]]=1,
   ROUND(tblplaneteco[[#This Row],[Ship Upgrade Cost]] * tblplaneteco[[#This Row],[Unlock Price]],0),
   ""
)</f>
        <v>233</v>
      </c>
      <c r="F3" s="55">
        <f>IF(tblplaneteco[[#This Row],[Unlocked]]=1,
   ROUND(tblplaneteco[[#This Row],[Cargo Upgrade Cost]] * tblplaneteco[[#This Row],[Unlock Price]],0),
   ""
)</f>
        <v>665</v>
      </c>
      <c r="G3" s="14">
        <f>_xlfn.XLOOKUP(tblplaneteco[[#This Row],[Planet '#]],tblprogress[Planet '#],tblprogress[Unlocked])</f>
        <v>1</v>
      </c>
      <c r="H3" s="14">
        <f>_xlfn.XLOOKUP(tblplaneteco[[#This Row],[Planet '#]],tblPlanets[Planet '#],tblPlanets[Unlock Price])</f>
        <v>200</v>
      </c>
      <c r="I3" s="58">
        <f>_xlfn.XLOOKUP(tblplaneteco[[#This Row],[Planet '#]],tblprogress[Planet '#],tblprogress[Mining Level])</f>
        <v>28</v>
      </c>
      <c r="J3" s="15">
        <f>_xlfn.XLOOKUP(tblplaneteco[[#This Row],[Mining Level]],tblUpgradeStats[Level],tblUpgradeStats[Upgrade Price (per Level)],0)</f>
        <v>59.626664625624677</v>
      </c>
      <c r="K3" s="58">
        <f>_xlfn.XLOOKUP(tblplaneteco[[#This Row],[Planet '#]],tblprogress[Planet '#],tblprogress[Ship Level])</f>
        <v>13</v>
      </c>
      <c r="L3" s="15">
        <f>_xlfn.XLOOKUP(tblplaneteco[[#This Row],[Ship Level]],tblUpgradeStats[Level],tblUpgradeStats[Upgrade Price (per Level)],0)</f>
        <v>1.1649042561240506</v>
      </c>
      <c r="M3" s="58">
        <f>_xlfn.XLOOKUP(tblplaneteco[[#This Row],[Planet '#]],tblprogress[Planet '#],tblprogress[Cargo Level])</f>
        <v>17</v>
      </c>
      <c r="N3" s="15">
        <f>_xlfn.XLOOKUP(tblplaneteco[[#This Row],[Cargo Level]],tblUpgradeStats[Level],tblUpgradeStats[Upgrade Price (per Level)],0)</f>
        <v>3.3270830459159013</v>
      </c>
      <c r="O3" s="55" t="str">
        <f>IF(
   _xlfn.XLOOKUP(tblplaneteco[[#This Row],[Planet '#]], tblPlanets[Planet '#], tblPlanets[Name])=tblplaneteco[[#This Row],[Name]],
   "Match",
   "Mismatch"
)</f>
        <v>Match</v>
      </c>
    </row>
    <row r="4" spans="1:15" x14ac:dyDescent="0.3">
      <c r="A4" s="24">
        <v>3</v>
      </c>
      <c r="B4" s="24" t="str">
        <f>_xlfn.XLOOKUP(tblprogress[[#This Row],[Planet '#]],tblPlanets[Planet '#],tblPlanets[Name])</f>
        <v>Anadius</v>
      </c>
      <c r="C4" s="55" t="str">
        <f>IF(tblplaneteco[[#This Row],[Unlocked]]=1,"",tblplaneteco[[#This Row],[Unlock Price]])</f>
        <v/>
      </c>
      <c r="D4" s="55">
        <f>IF(tblplaneteco[[#This Row],[Unlocked]]=1,
   ROUND(tblplaneteco[[#This Row],[Mining Upgrade Cost]] * tblplaneteco[[#This Row],[Unlock Price]],0),
   ""
)</f>
        <v>10438</v>
      </c>
      <c r="E4" s="55">
        <f>IF(tblplaneteco[[#This Row],[Unlocked]]=1,
   ROUND(tblplaneteco[[#This Row],[Ship Upgrade Cost]] * tblplaneteco[[#This Row],[Unlock Price]],0),
   ""
)</f>
        <v>265</v>
      </c>
      <c r="F4" s="55">
        <f>IF(tblplaneteco[[#This Row],[Unlocked]]=1,
   ROUND(tblplaneteco[[#This Row],[Cargo Upgrade Cost]] * tblplaneteco[[#This Row],[Unlock Price]],0),
   ""
)</f>
        <v>1280</v>
      </c>
      <c r="G4" s="56">
        <f>_xlfn.XLOOKUP(tblplaneteco[[#This Row],[Planet '#]],tblprogress[Planet '#],tblprogress[Unlocked])</f>
        <v>1</v>
      </c>
      <c r="H4" s="56">
        <f>_xlfn.XLOOKUP(tblplaneteco[[#This Row],[Planet '#]],tblPlanets[Planet '#],tblPlanets[Unlock Price])</f>
        <v>500</v>
      </c>
      <c r="I4" s="58">
        <f>_xlfn.XLOOKUP(tblplaneteco[[#This Row],[Planet '#]],tblprogress[Planet '#],tblprogress[Mining Level])</f>
        <v>24</v>
      </c>
      <c r="J4" s="15">
        <f>_xlfn.XLOOKUP(tblplaneteco[[#This Row],[Mining Level]],tblUpgradeStats[Level],tblUpgradeStats[Upgrade Price (per Level)],0)</f>
        <v>20.876952706706582</v>
      </c>
      <c r="K4" s="58">
        <f>_xlfn.XLOOKUP(tblplaneteco[[#This Row],[Planet '#]],tblprogress[Planet '#],tblprogress[Ship Level])</f>
        <v>10</v>
      </c>
      <c r="L4" s="15">
        <f>_xlfn.XLOOKUP(tblplaneteco[[#This Row],[Ship Level]],tblUpgradeStats[Level],tblUpgradeStats[Upgrade Price (per Level)],0)</f>
        <v>0.53022496865000013</v>
      </c>
      <c r="M4" s="58">
        <f>_xlfn.XLOOKUP(tblplaneteco[[#This Row],[Planet '#]],tblprogress[Planet '#],tblprogress[Cargo Level])</f>
        <v>16</v>
      </c>
      <c r="N4" s="15">
        <f>_xlfn.XLOOKUP(tblplaneteco[[#This Row],[Cargo Level]],tblUpgradeStats[Level],tblUpgradeStats[Upgrade Price (per Level)],0)</f>
        <v>2.5592946507045395</v>
      </c>
      <c r="O4" s="55" t="str">
        <f>IF(
   _xlfn.XLOOKUP(tblplaneteco[[#This Row],[Planet '#]], tblPlanets[Planet '#], tblPlanets[Name])=tblplaneteco[[#This Row],[Name]],
   "Match",
   "Mismatch"
)</f>
        <v>Match</v>
      </c>
    </row>
    <row r="5" spans="1:15" x14ac:dyDescent="0.3">
      <c r="A5" s="25">
        <v>4</v>
      </c>
      <c r="B5" s="25" t="str">
        <f>_xlfn.XLOOKUP(tblprogress[[#This Row],[Planet '#]],tblPlanets[Planet '#],tblPlanets[Name])</f>
        <v>Dholen</v>
      </c>
      <c r="C5" s="55" t="str">
        <f>IF(tblplaneteco[[#This Row],[Unlocked]]=1,"",tblplaneteco[[#This Row],[Unlock Price]])</f>
        <v/>
      </c>
      <c r="D5" s="55">
        <f>IF(tblplaneteco[[#This Row],[Unlocked]]=1,
   ROUND(tblplaneteco[[#This Row],[Mining Upgrade Cost]] * tblplaneteco[[#This Row],[Unlock Price]],0),
   ""
)</f>
        <v>15442</v>
      </c>
      <c r="E5" s="55">
        <f>IF(tblplaneteco[[#This Row],[Unlocked]]=1,
   ROUND(tblplaneteco[[#This Row],[Ship Upgrade Cost]] * tblplaneteco[[#This Row],[Unlock Price]],0),
   ""
)</f>
        <v>1893</v>
      </c>
      <c r="F5" s="55">
        <f>IF(tblplaneteco[[#This Row],[Unlocked]]=1,
   ROUND(tblplaneteco[[#This Row],[Cargo Upgrade Cost]] * tblplaneteco[[#This Row],[Unlock Price]],0),
   ""
)</f>
        <v>74533</v>
      </c>
      <c r="G5" s="14">
        <f>_xlfn.XLOOKUP(tblplaneteco[[#This Row],[Planet '#]],tblprogress[Planet '#],tblprogress[Unlocked])</f>
        <v>1</v>
      </c>
      <c r="H5" s="14">
        <f>_xlfn.XLOOKUP(tblplaneteco[[#This Row],[Planet '#]],tblPlanets[Planet '#],tblPlanets[Unlock Price])</f>
        <v>1250</v>
      </c>
      <c r="I5" s="58">
        <f>_xlfn.XLOOKUP(tblplaneteco[[#This Row],[Planet '#]],tblprogress[Planet '#],tblprogress[Mining Level])</f>
        <v>22</v>
      </c>
      <c r="J5" s="15">
        <f>_xlfn.XLOOKUP(tblplaneteco[[#This Row],[Mining Level]],tblUpgradeStats[Level],tblUpgradeStats[Upgrade Price (per Level)],0)</f>
        <v>12.35322645367253</v>
      </c>
      <c r="K5" s="58">
        <f>_xlfn.XLOOKUP(tblplaneteco[[#This Row],[Planet '#]],tblprogress[Planet '#],tblprogress[Ship Level])</f>
        <v>14</v>
      </c>
      <c r="L5" s="15">
        <f>_xlfn.XLOOKUP(tblplaneteco[[#This Row],[Ship Level]],tblUpgradeStats[Level],tblUpgradeStats[Upgrade Price (per Level)],0)</f>
        <v>1.514375532961266</v>
      </c>
      <c r="M5" s="58">
        <f>_xlfn.XLOOKUP(tblplaneteco[[#This Row],[Planet '#]],tblprogress[Planet '#],tblprogress[Cargo Level])</f>
        <v>28</v>
      </c>
      <c r="N5" s="15">
        <f>_xlfn.XLOOKUP(tblplaneteco[[#This Row],[Cargo Level]],tblUpgradeStats[Level],tblUpgradeStats[Upgrade Price (per Level)],0)</f>
        <v>59.626664625624677</v>
      </c>
      <c r="O5" s="55" t="str">
        <f>IF(
   _xlfn.XLOOKUP(tblplaneteco[[#This Row],[Planet '#]], tblPlanets[Planet '#], tblPlanets[Name])=tblplaneteco[[#This Row],[Name]],
   "Match",
   "Mismatch"
)</f>
        <v>Match</v>
      </c>
    </row>
    <row r="6" spans="1:15" x14ac:dyDescent="0.3">
      <c r="A6" s="24">
        <v>5</v>
      </c>
      <c r="B6" s="24" t="str">
        <f>_xlfn.XLOOKUP(tblprogress[[#This Row],[Planet '#]],tblPlanets[Planet '#],tblPlanets[Name])</f>
        <v>Verr</v>
      </c>
      <c r="C6" s="55" t="str">
        <f>IF(tblplaneteco[[#This Row],[Unlocked]]=1,"",tblplaneteco[[#This Row],[Unlock Price]])</f>
        <v/>
      </c>
      <c r="D6" s="55">
        <f>IF(tblplaneteco[[#This Row],[Unlocked]]=1,
   ROUND(tblplaneteco[[#This Row],[Mining Upgrade Cost]] * tblplaneteco[[#This Row],[Unlock Price]],0),
   ""
)</f>
        <v>549</v>
      </c>
      <c r="E6" s="55">
        <f>IF(tblplaneteco[[#This Row],[Unlocked]]=1,
   ROUND(tblplaneteco[[#This Row],[Ship Upgrade Cost]] * tblplaneteco[[#This Row],[Unlock Price]],0),
   ""
)</f>
        <v>423</v>
      </c>
      <c r="F6" s="55">
        <f>IF(tblplaneteco[[#This Row],[Unlocked]]=1,
   ROUND(tblplaneteco[[#This Row],[Cargo Upgrade Cost]] * tblplaneteco[[#This Row],[Unlock Price]],0),
   ""
)</f>
        <v>325</v>
      </c>
      <c r="G6" s="56">
        <f>_xlfn.XLOOKUP(tblplaneteco[[#This Row],[Planet '#]],tblprogress[Planet '#],tblprogress[Unlocked])</f>
        <v>1</v>
      </c>
      <c r="H6" s="56">
        <f>_xlfn.XLOOKUP(tblplaneteco[[#This Row],[Planet '#]],tblPlanets[Planet '#],tblPlanets[Unlock Price])</f>
        <v>5000</v>
      </c>
      <c r="I6" s="58">
        <f>_xlfn.XLOOKUP(tblplaneteco[[#This Row],[Planet '#]],tblprogress[Planet '#],tblprogress[Mining Level])</f>
        <v>4</v>
      </c>
      <c r="J6" s="15">
        <f>_xlfn.XLOOKUP(tblplaneteco[[#This Row],[Mining Level]],tblUpgradeStats[Level],tblUpgradeStats[Upgrade Price (per Level)],0)</f>
        <v>0.10985000000000003</v>
      </c>
      <c r="K6" s="58">
        <f>_xlfn.XLOOKUP(tblplaneteco[[#This Row],[Planet '#]],tblprogress[Planet '#],tblprogress[Ship Level])</f>
        <v>3</v>
      </c>
      <c r="L6" s="15">
        <f>_xlfn.XLOOKUP(tblplaneteco[[#This Row],[Ship Level]],tblUpgradeStats[Level],tblUpgradeStats[Upgrade Price (per Level)],0)</f>
        <v>8.4500000000000006E-2</v>
      </c>
      <c r="M6" s="58">
        <f>_xlfn.XLOOKUP(tblplaneteco[[#This Row],[Planet '#]],tblprogress[Planet '#],tblprogress[Cargo Level])</f>
        <v>2</v>
      </c>
      <c r="N6" s="15">
        <f>_xlfn.XLOOKUP(tblplaneteco[[#This Row],[Cargo Level]],tblUpgradeStats[Level],tblUpgradeStats[Upgrade Price (per Level)],0)</f>
        <v>6.5000000000000002E-2</v>
      </c>
      <c r="O6" s="55" t="str">
        <f>IF(
   _xlfn.XLOOKUP(tblplaneteco[[#This Row],[Planet '#]], tblPlanets[Planet '#], tblPlanets[Name])=tblplaneteco[[#This Row],[Name]],
   "Match",
   "Mismatch"
)</f>
        <v>Match</v>
      </c>
    </row>
    <row r="7" spans="1:15" x14ac:dyDescent="0.3">
      <c r="A7" s="25">
        <v>6</v>
      </c>
      <c r="B7" s="25" t="str">
        <f>_xlfn.XLOOKUP(tblprogress[[#This Row],[Planet '#]],tblPlanets[Planet '#],tblPlanets[Name])</f>
        <v>Newton</v>
      </c>
      <c r="C7" s="55" t="str">
        <f>IF(tblplaneteco[[#This Row],[Unlocked]]=1,"",tblplaneteco[[#This Row],[Unlock Price]])</f>
        <v/>
      </c>
      <c r="D7" s="55">
        <f>IF(tblplaneteco[[#This Row],[Unlocked]]=1,
   ROUND(tblplaneteco[[#This Row],[Mining Upgrade Cost]] * tblplaneteco[[#This Row],[Unlock Price]],0),
   ""
)</f>
        <v>1671</v>
      </c>
      <c r="E7" s="55">
        <f>IF(tblplaneteco[[#This Row],[Unlocked]]=1,
   ROUND(tblplaneteco[[#This Row],[Ship Upgrade Cost]] * tblplaneteco[[#This Row],[Unlock Price]],0),
   ""
)</f>
        <v>989</v>
      </c>
      <c r="F7" s="55">
        <f>IF(tblplaneteco[[#This Row],[Unlocked]]=1,
   ROUND(tblplaneteco[[#This Row],[Cargo Upgrade Cost]] * tblplaneteco[[#This Row],[Unlock Price]],0),
   ""
)</f>
        <v>989</v>
      </c>
      <c r="G7" s="14">
        <f>_xlfn.XLOOKUP(tblplaneteco[[#This Row],[Planet '#]],tblprogress[Planet '#],tblprogress[Unlocked])</f>
        <v>1</v>
      </c>
      <c r="H7" s="14">
        <f>_xlfn.XLOOKUP(tblplaneteco[[#This Row],[Planet '#]],tblPlanets[Planet '#],tblPlanets[Unlock Price])</f>
        <v>9000</v>
      </c>
      <c r="I7" s="58">
        <f>_xlfn.XLOOKUP(tblplaneteco[[#This Row],[Planet '#]],tblprogress[Planet '#],tblprogress[Mining Level])</f>
        <v>6</v>
      </c>
      <c r="J7" s="15">
        <f>_xlfn.XLOOKUP(tblplaneteco[[#This Row],[Mining Level]],tblUpgradeStats[Level],tblUpgradeStats[Upgrade Price (per Level)],0)</f>
        <v>0.18564650000000005</v>
      </c>
      <c r="K7" s="58">
        <f>_xlfn.XLOOKUP(tblplaneteco[[#This Row],[Planet '#]],tblprogress[Planet '#],tblprogress[Ship Level])</f>
        <v>4</v>
      </c>
      <c r="L7" s="15">
        <f>_xlfn.XLOOKUP(tblplaneteco[[#This Row],[Ship Level]],tblUpgradeStats[Level],tblUpgradeStats[Upgrade Price (per Level)],0)</f>
        <v>0.10985000000000003</v>
      </c>
      <c r="M7" s="58">
        <f>_xlfn.XLOOKUP(tblplaneteco[[#This Row],[Planet '#]],tblprogress[Planet '#],tblprogress[Cargo Level])</f>
        <v>4</v>
      </c>
      <c r="N7" s="15">
        <f>_xlfn.XLOOKUP(tblplaneteco[[#This Row],[Cargo Level]],tblUpgradeStats[Level],tblUpgradeStats[Upgrade Price (per Level)],0)</f>
        <v>0.10985000000000003</v>
      </c>
      <c r="O7" s="55" t="str">
        <f>IF(
   _xlfn.XLOOKUP(tblplaneteco[[#This Row],[Planet '#]], tblPlanets[Planet '#], tblPlanets[Name])=tblplaneteco[[#This Row],[Name]],
   "Match",
   "Mismatch"
)</f>
        <v>Match</v>
      </c>
    </row>
    <row r="8" spans="1:15" x14ac:dyDescent="0.3">
      <c r="A8" s="24">
        <v>7</v>
      </c>
      <c r="B8" s="24" t="str">
        <f>_xlfn.XLOOKUP(tblprogress[[#This Row],[Planet '#]],tblPlanets[Planet '#],tblPlanets[Name])</f>
        <v>Widow</v>
      </c>
      <c r="C8" s="55" t="str">
        <f>IF(tblplaneteco[[#This Row],[Unlocked]]=1,"",tblplaneteco[[#This Row],[Unlock Price]])</f>
        <v/>
      </c>
      <c r="D8" s="55">
        <f>IF(tblplaneteco[[#This Row],[Unlocked]]=1,
   ROUND(tblplaneteco[[#This Row],[Mining Upgrade Cost]] * tblplaneteco[[#This Row],[Unlock Price]],0),
   ""
)</f>
        <v>975</v>
      </c>
      <c r="E8" s="55">
        <f>IF(tblplaneteco[[#This Row],[Unlocked]]=1,
   ROUND(tblplaneteco[[#This Row],[Ship Upgrade Cost]] * tblplaneteco[[#This Row],[Unlock Price]],0),
   ""
)</f>
        <v>750</v>
      </c>
      <c r="F8" s="55">
        <f>IF(tblplaneteco[[#This Row],[Unlocked]]=1,
   ROUND(tblplaneteco[[#This Row],[Cargo Upgrade Cost]] * tblplaneteco[[#This Row],[Unlock Price]],0),
   ""
)</f>
        <v>750</v>
      </c>
      <c r="G8" s="56">
        <f>_xlfn.XLOOKUP(tblplaneteco[[#This Row],[Planet '#]],tblprogress[Planet '#],tblprogress[Unlocked])</f>
        <v>1</v>
      </c>
      <c r="H8" s="56">
        <f>_xlfn.XLOOKUP(tblplaneteco[[#This Row],[Planet '#]],tblPlanets[Planet '#],tblPlanets[Unlock Price])</f>
        <v>15000</v>
      </c>
      <c r="I8" s="58">
        <f>_xlfn.XLOOKUP(tblplaneteco[[#This Row],[Planet '#]],tblprogress[Planet '#],tblprogress[Mining Level])</f>
        <v>2</v>
      </c>
      <c r="J8" s="15">
        <f>_xlfn.XLOOKUP(tblplaneteco[[#This Row],[Mining Level]],tblUpgradeStats[Level],tblUpgradeStats[Upgrade Price (per Level)],0)</f>
        <v>6.5000000000000002E-2</v>
      </c>
      <c r="K8" s="58">
        <f>_xlfn.XLOOKUP(tblplaneteco[[#This Row],[Planet '#]],tblprogress[Planet '#],tblprogress[Ship Level])</f>
        <v>1</v>
      </c>
      <c r="L8" s="15">
        <f>_xlfn.XLOOKUP(tblplaneteco[[#This Row],[Ship Level]],tblUpgradeStats[Level],tblUpgradeStats[Upgrade Price (per Level)],0)</f>
        <v>0.05</v>
      </c>
      <c r="M8" s="58">
        <f>_xlfn.XLOOKUP(tblplaneteco[[#This Row],[Planet '#]],tblprogress[Planet '#],tblprogress[Cargo Level])</f>
        <v>1</v>
      </c>
      <c r="N8" s="15">
        <f>_xlfn.XLOOKUP(tblplaneteco[[#This Row],[Cargo Level]],tblUpgradeStats[Level],tblUpgradeStats[Upgrade Price (per Level)],0)</f>
        <v>0.05</v>
      </c>
      <c r="O8" s="55" t="str">
        <f>IF(
   _xlfn.XLOOKUP(tblplaneteco[[#This Row],[Planet '#]], tblPlanets[Planet '#], tblPlanets[Name])=tblplaneteco[[#This Row],[Name]],
   "Match",
   "Mismatch"
)</f>
        <v>Match</v>
      </c>
    </row>
    <row r="9" spans="1:15" x14ac:dyDescent="0.3">
      <c r="A9" s="25">
        <v>8</v>
      </c>
      <c r="B9" s="25" t="str">
        <f>_xlfn.XLOOKUP(tblprogress[[#This Row],[Planet '#]],tblPlanets[Planet '#],tblPlanets[Name])</f>
        <v>Acheron</v>
      </c>
      <c r="C9" s="55">
        <f>IF(tblplaneteco[[#This Row],[Unlocked]]=1,"",tblplaneteco[[#This Row],[Unlock Price]])</f>
        <v>25000</v>
      </c>
      <c r="D9" s="55" t="str">
        <f>IF(tblplaneteco[[#This Row],[Unlocked]]=1,
   ROUND(tblplaneteco[[#This Row],[Mining Upgrade Cost]] * tblplaneteco[[#This Row],[Unlock Price]],0),
   ""
)</f>
        <v/>
      </c>
      <c r="E9" s="55" t="str">
        <f>IF(tblplaneteco[[#This Row],[Unlocked]]=1,
   ROUND(tblplaneteco[[#This Row],[Ship Upgrade Cost]] * tblplaneteco[[#This Row],[Unlock Price]],0),
   ""
)</f>
        <v/>
      </c>
      <c r="F9" s="55" t="str">
        <f>IF(tblplaneteco[[#This Row],[Unlocked]]=1,
   ROUND(tblplaneteco[[#This Row],[Cargo Upgrade Cost]] * tblplaneteco[[#This Row],[Unlock Price]],0),
   ""
)</f>
        <v/>
      </c>
      <c r="G9" s="14">
        <f>_xlfn.XLOOKUP(tblplaneteco[[#This Row],[Planet '#]],tblprogress[Planet '#],tblprogress[Unlocked])</f>
        <v>0</v>
      </c>
      <c r="H9" s="14">
        <f>_xlfn.XLOOKUP(tblplaneteco[[#This Row],[Planet '#]],tblPlanets[Planet '#],tblPlanets[Unlock Price])</f>
        <v>25000</v>
      </c>
      <c r="I9" s="58">
        <f>_xlfn.XLOOKUP(tblplaneteco[[#This Row],[Planet '#]],tblprogress[Planet '#],tblprogress[Mining Level])</f>
        <v>0</v>
      </c>
      <c r="J9" s="15">
        <f>_xlfn.XLOOKUP(tblplaneteco[[#This Row],[Mining Level]],tblUpgradeStats[Level],tblUpgradeStats[Upgrade Price (per Level)],0)</f>
        <v>0</v>
      </c>
      <c r="K9" s="58">
        <f>_xlfn.XLOOKUP(tblplaneteco[[#This Row],[Planet '#]],tblprogress[Planet '#],tblprogress[Ship Level])</f>
        <v>0</v>
      </c>
      <c r="L9" s="15">
        <f>_xlfn.XLOOKUP(tblplaneteco[[#This Row],[Ship Level]],tblUpgradeStats[Level],tblUpgradeStats[Upgrade Price (per Level)],0)</f>
        <v>0</v>
      </c>
      <c r="M9" s="58">
        <f>_xlfn.XLOOKUP(tblplaneteco[[#This Row],[Planet '#]],tblprogress[Planet '#],tblprogress[Cargo Level])</f>
        <v>0</v>
      </c>
      <c r="N9" s="15">
        <f>_xlfn.XLOOKUP(tblplaneteco[[#This Row],[Cargo Level]],tblUpgradeStats[Level],tblUpgradeStats[Upgrade Price (per Level)],0)</f>
        <v>0</v>
      </c>
      <c r="O9" s="55" t="str">
        <f>IF(
   _xlfn.XLOOKUP(tblplaneteco[[#This Row],[Planet '#]], tblPlanets[Planet '#], tblPlanets[Name])=tblplaneteco[[#This Row],[Name]],
   "Match",
   "Mismatch"
)</f>
        <v>Match</v>
      </c>
    </row>
    <row r="10" spans="1:15" x14ac:dyDescent="0.3">
      <c r="A10" s="24">
        <v>9</v>
      </c>
      <c r="B10" s="24" t="str">
        <f>_xlfn.XLOOKUP(tblprogress[[#This Row],[Planet '#]],tblPlanets[Planet '#],tblPlanets[Name])</f>
        <v>Yangtze</v>
      </c>
      <c r="C10" s="55">
        <f>IF(tblplaneteco[[#This Row],[Unlocked]]=1,"",tblplaneteco[[#This Row],[Unlock Price]])</f>
        <v>40000</v>
      </c>
      <c r="D10" s="55" t="str">
        <f>IF(tblplaneteco[[#This Row],[Unlocked]]=1,
   ROUND(tblplaneteco[[#This Row],[Mining Upgrade Cost]] * tblplaneteco[[#This Row],[Unlock Price]],0),
   ""
)</f>
        <v/>
      </c>
      <c r="E10" s="55" t="str">
        <f>IF(tblplaneteco[[#This Row],[Unlocked]]=1,
   ROUND(tblplaneteco[[#This Row],[Ship Upgrade Cost]] * tblplaneteco[[#This Row],[Unlock Price]],0),
   ""
)</f>
        <v/>
      </c>
      <c r="F10" s="55" t="str">
        <f>IF(tblplaneteco[[#This Row],[Unlocked]]=1,
   ROUND(tblplaneteco[[#This Row],[Cargo Upgrade Cost]] * tblplaneteco[[#This Row],[Unlock Price]],0),
   ""
)</f>
        <v/>
      </c>
      <c r="G10" s="56">
        <f>_xlfn.XLOOKUP(tblplaneteco[[#This Row],[Planet '#]],tblprogress[Planet '#],tblprogress[Unlocked])</f>
        <v>0</v>
      </c>
      <c r="H10" s="56">
        <f>_xlfn.XLOOKUP(tblplaneteco[[#This Row],[Planet '#]],tblPlanets[Planet '#],tblPlanets[Unlock Price])</f>
        <v>40000</v>
      </c>
      <c r="I10" s="58">
        <f>_xlfn.XLOOKUP(tblplaneteco[[#This Row],[Planet '#]],tblprogress[Planet '#],tblprogress[Mining Level])</f>
        <v>0</v>
      </c>
      <c r="J10" s="15">
        <f>_xlfn.XLOOKUP(tblplaneteco[[#This Row],[Mining Level]],tblUpgradeStats[Level],tblUpgradeStats[Upgrade Price (per Level)],0)</f>
        <v>0</v>
      </c>
      <c r="K10" s="58">
        <f>_xlfn.XLOOKUP(tblplaneteco[[#This Row],[Planet '#]],tblprogress[Planet '#],tblprogress[Ship Level])</f>
        <v>0</v>
      </c>
      <c r="L10" s="15">
        <f>_xlfn.XLOOKUP(tblplaneteco[[#This Row],[Ship Level]],tblUpgradeStats[Level],tblUpgradeStats[Upgrade Price (per Level)],0)</f>
        <v>0</v>
      </c>
      <c r="M10" s="58">
        <f>_xlfn.XLOOKUP(tblplaneteco[[#This Row],[Planet '#]],tblprogress[Planet '#],tblprogress[Cargo Level])</f>
        <v>0</v>
      </c>
      <c r="N10" s="15">
        <f>_xlfn.XLOOKUP(tblplaneteco[[#This Row],[Cargo Level]],tblUpgradeStats[Level],tblUpgradeStats[Upgrade Price (per Level)],0)</f>
        <v>0</v>
      </c>
      <c r="O10" s="55" t="str">
        <f>IF(
   _xlfn.XLOOKUP(tblplaneteco[[#This Row],[Planet '#]], tblPlanets[Planet '#], tblPlanets[Name])=tblplaneteco[[#This Row],[Name]],
   "Match",
   "Mismatch"
)</f>
        <v>Match</v>
      </c>
    </row>
    <row r="11" spans="1:15" x14ac:dyDescent="0.3">
      <c r="A11" s="25">
        <v>10</v>
      </c>
      <c r="B11" s="25" t="str">
        <f>_xlfn.XLOOKUP(tblprogress[[#This Row],[Planet '#]],tblPlanets[Planet '#],tblPlanets[Name])</f>
        <v>Solveig</v>
      </c>
      <c r="C11" s="55">
        <f>IF(tblplaneteco[[#This Row],[Unlocked]]=1,"",tblplaneteco[[#This Row],[Unlock Price]])</f>
        <v>75000</v>
      </c>
      <c r="D11" s="55" t="str">
        <f>IF(tblplaneteco[[#This Row],[Unlocked]]=1,
   ROUND(tblplaneteco[[#This Row],[Mining Upgrade Cost]] * tblplaneteco[[#This Row],[Unlock Price]],0),
   ""
)</f>
        <v/>
      </c>
      <c r="E11" s="55" t="str">
        <f>IF(tblplaneteco[[#This Row],[Unlocked]]=1,
   ROUND(tblplaneteco[[#This Row],[Ship Upgrade Cost]] * tblplaneteco[[#This Row],[Unlock Price]],0),
   ""
)</f>
        <v/>
      </c>
      <c r="F11" s="55" t="str">
        <f>IF(tblplaneteco[[#This Row],[Unlocked]]=1,
   ROUND(tblplaneteco[[#This Row],[Cargo Upgrade Cost]] * tblplaneteco[[#This Row],[Unlock Price]],0),
   ""
)</f>
        <v/>
      </c>
      <c r="G11" s="14">
        <f>_xlfn.XLOOKUP(tblplaneteco[[#This Row],[Planet '#]],tblprogress[Planet '#],tblprogress[Unlocked])</f>
        <v>0</v>
      </c>
      <c r="H11" s="14">
        <f>_xlfn.XLOOKUP(tblplaneteco[[#This Row],[Planet '#]],tblPlanets[Planet '#],tblPlanets[Unlock Price])</f>
        <v>75000</v>
      </c>
      <c r="I11" s="58">
        <f>_xlfn.XLOOKUP(tblplaneteco[[#This Row],[Planet '#]],tblprogress[Planet '#],tblprogress[Mining Level])</f>
        <v>0</v>
      </c>
      <c r="J11" s="15">
        <f>_xlfn.XLOOKUP(tblplaneteco[[#This Row],[Mining Level]],tblUpgradeStats[Level],tblUpgradeStats[Upgrade Price (per Level)],0)</f>
        <v>0</v>
      </c>
      <c r="K11" s="58">
        <f>_xlfn.XLOOKUP(tblplaneteco[[#This Row],[Planet '#]],tblprogress[Planet '#],tblprogress[Ship Level])</f>
        <v>0</v>
      </c>
      <c r="L11" s="15">
        <f>_xlfn.XLOOKUP(tblplaneteco[[#This Row],[Ship Level]],tblUpgradeStats[Level],tblUpgradeStats[Upgrade Price (per Level)],0)</f>
        <v>0</v>
      </c>
      <c r="M11" s="58">
        <f>_xlfn.XLOOKUP(tblplaneteco[[#This Row],[Planet '#]],tblprogress[Planet '#],tblprogress[Cargo Level])</f>
        <v>0</v>
      </c>
      <c r="N11" s="15">
        <f>_xlfn.XLOOKUP(tblplaneteco[[#This Row],[Cargo Level]],tblUpgradeStats[Level],tblUpgradeStats[Upgrade Price (per Level)],0)</f>
        <v>0</v>
      </c>
      <c r="O11" s="55" t="str">
        <f>IF(
   _xlfn.XLOOKUP(tblplaneteco[[#This Row],[Planet '#]], tblPlanets[Planet '#], tblPlanets[Name])=tblplaneteco[[#This Row],[Name]],
   "Match",
   "Mismatch"
)</f>
        <v>Match</v>
      </c>
    </row>
    <row r="12" spans="1:15" x14ac:dyDescent="0.3">
      <c r="A12" s="24">
        <v>11</v>
      </c>
      <c r="B12" s="24" t="str">
        <f>_xlfn.XLOOKUP(tblprogress[[#This Row],[Planet '#]],tblPlanets[Planet '#],tblPlanets[Name])</f>
        <v>Imir</v>
      </c>
      <c r="C12" s="55">
        <f>IF(tblplaneteco[[#This Row],[Unlocked]]=1,"",tblplaneteco[[#This Row],[Unlock Price]])</f>
        <v>150000</v>
      </c>
      <c r="D12" s="55" t="str">
        <f>IF(tblplaneteco[[#This Row],[Unlocked]]=1,
   ROUND(tblplaneteco[[#This Row],[Mining Upgrade Cost]] * tblplaneteco[[#This Row],[Unlock Price]],0),
   ""
)</f>
        <v/>
      </c>
      <c r="E12" s="55" t="str">
        <f>IF(tblplaneteco[[#This Row],[Unlocked]]=1,
   ROUND(tblplaneteco[[#This Row],[Ship Upgrade Cost]] * tblplaneteco[[#This Row],[Unlock Price]],0),
   ""
)</f>
        <v/>
      </c>
      <c r="F12" s="55" t="str">
        <f>IF(tblplaneteco[[#This Row],[Unlocked]]=1,
   ROUND(tblplaneteco[[#This Row],[Cargo Upgrade Cost]] * tblplaneteco[[#This Row],[Unlock Price]],0),
   ""
)</f>
        <v/>
      </c>
      <c r="G12" s="56">
        <f>_xlfn.XLOOKUP(tblplaneteco[[#This Row],[Planet '#]],tblprogress[Planet '#],tblprogress[Unlocked])</f>
        <v>0</v>
      </c>
      <c r="H12" s="56">
        <f>_xlfn.XLOOKUP(tblplaneteco[[#This Row],[Planet '#]],tblPlanets[Planet '#],tblPlanets[Unlock Price])</f>
        <v>150000</v>
      </c>
      <c r="I12" s="58">
        <f>_xlfn.XLOOKUP(tblplaneteco[[#This Row],[Planet '#]],tblprogress[Planet '#],tblprogress[Mining Level])</f>
        <v>0</v>
      </c>
      <c r="J12" s="15">
        <f>_xlfn.XLOOKUP(tblplaneteco[[#This Row],[Mining Level]],tblUpgradeStats[Level],tblUpgradeStats[Upgrade Price (per Level)],0)</f>
        <v>0</v>
      </c>
      <c r="K12" s="58">
        <f>_xlfn.XLOOKUP(tblplaneteco[[#This Row],[Planet '#]],tblprogress[Planet '#],tblprogress[Ship Level])</f>
        <v>0</v>
      </c>
      <c r="L12" s="15">
        <f>_xlfn.XLOOKUP(tblplaneteco[[#This Row],[Ship Level]],tblUpgradeStats[Level],tblUpgradeStats[Upgrade Price (per Level)],0)</f>
        <v>0</v>
      </c>
      <c r="M12" s="58">
        <f>_xlfn.XLOOKUP(tblplaneteco[[#This Row],[Planet '#]],tblprogress[Planet '#],tblprogress[Cargo Level])</f>
        <v>0</v>
      </c>
      <c r="N12" s="15">
        <f>_xlfn.XLOOKUP(tblplaneteco[[#This Row],[Cargo Level]],tblUpgradeStats[Level],tblUpgradeStats[Upgrade Price (per Level)],0)</f>
        <v>0</v>
      </c>
      <c r="O12" s="55" t="str">
        <f>IF(
   _xlfn.XLOOKUP(tblplaneteco[[#This Row],[Planet '#]], tblPlanets[Planet '#], tblPlanets[Name])=tblplaneteco[[#This Row],[Name]],
   "Match",
   "Mismatch"
)</f>
        <v>Match</v>
      </c>
    </row>
    <row r="13" spans="1:15" x14ac:dyDescent="0.3">
      <c r="A13" s="25">
        <v>12</v>
      </c>
      <c r="B13" s="25" t="str">
        <f>_xlfn.XLOOKUP(tblprogress[[#This Row],[Planet '#]],tblPlanets[Planet '#],tblPlanets[Name])</f>
        <v>Relic</v>
      </c>
      <c r="C13" s="55">
        <f>IF(tblplaneteco[[#This Row],[Unlocked]]=1,"",tblplaneteco[[#This Row],[Unlock Price]])</f>
        <v>250000</v>
      </c>
      <c r="D13" s="55" t="str">
        <f>IF(tblplaneteco[[#This Row],[Unlocked]]=1,
   ROUND(tblplaneteco[[#This Row],[Mining Upgrade Cost]] * tblplaneteco[[#This Row],[Unlock Price]],0),
   ""
)</f>
        <v/>
      </c>
      <c r="E13" s="55" t="str">
        <f>IF(tblplaneteco[[#This Row],[Unlocked]]=1,
   ROUND(tblplaneteco[[#This Row],[Ship Upgrade Cost]] * tblplaneteco[[#This Row],[Unlock Price]],0),
   ""
)</f>
        <v/>
      </c>
      <c r="F13" s="55" t="str">
        <f>IF(tblplaneteco[[#This Row],[Unlocked]]=1,
   ROUND(tblplaneteco[[#This Row],[Cargo Upgrade Cost]] * tblplaneteco[[#This Row],[Unlock Price]],0),
   ""
)</f>
        <v/>
      </c>
      <c r="G13" s="14">
        <f>_xlfn.XLOOKUP(tblplaneteco[[#This Row],[Planet '#]],tblprogress[Planet '#],tblprogress[Unlocked])</f>
        <v>0</v>
      </c>
      <c r="H13" s="14">
        <f>_xlfn.XLOOKUP(tblplaneteco[[#This Row],[Planet '#]],tblPlanets[Planet '#],tblPlanets[Unlock Price])</f>
        <v>250000</v>
      </c>
      <c r="I13" s="58">
        <f>_xlfn.XLOOKUP(tblplaneteco[[#This Row],[Planet '#]],tblprogress[Planet '#],tblprogress[Mining Level])</f>
        <v>0</v>
      </c>
      <c r="J13" s="15">
        <f>_xlfn.XLOOKUP(tblplaneteco[[#This Row],[Mining Level]],tblUpgradeStats[Level],tblUpgradeStats[Upgrade Price (per Level)],0)</f>
        <v>0</v>
      </c>
      <c r="K13" s="58">
        <f>_xlfn.XLOOKUP(tblplaneteco[[#This Row],[Planet '#]],tblprogress[Planet '#],tblprogress[Ship Level])</f>
        <v>0</v>
      </c>
      <c r="L13" s="15">
        <f>_xlfn.XLOOKUP(tblplaneteco[[#This Row],[Ship Level]],tblUpgradeStats[Level],tblUpgradeStats[Upgrade Price (per Level)],0)</f>
        <v>0</v>
      </c>
      <c r="M13" s="58">
        <f>_xlfn.XLOOKUP(tblplaneteco[[#This Row],[Planet '#]],tblprogress[Planet '#],tblprogress[Cargo Level])</f>
        <v>0</v>
      </c>
      <c r="N13" s="15">
        <f>_xlfn.XLOOKUP(tblplaneteco[[#This Row],[Cargo Level]],tblUpgradeStats[Level],tblUpgradeStats[Upgrade Price (per Level)],0)</f>
        <v>0</v>
      </c>
      <c r="O13" s="55" t="str">
        <f>IF(
   _xlfn.XLOOKUP(tblplaneteco[[#This Row],[Planet '#]], tblPlanets[Planet '#], tblPlanets[Name])=tblplaneteco[[#This Row],[Name]],
   "Match",
   "Mismatch"
)</f>
        <v>Match</v>
      </c>
    </row>
    <row r="14" spans="1:15" x14ac:dyDescent="0.3">
      <c r="A14" s="24">
        <v>13</v>
      </c>
      <c r="B14" s="24" t="str">
        <f>_xlfn.XLOOKUP(tblprogress[[#This Row],[Planet '#]],tblPlanets[Planet '#],tblPlanets[Name])</f>
        <v>Nith</v>
      </c>
      <c r="C14" s="55">
        <f>IF(tblplaneteco[[#This Row],[Unlocked]]=1,"",tblplaneteco[[#This Row],[Unlock Price]])</f>
        <v>400000</v>
      </c>
      <c r="D14" s="55" t="str">
        <f>IF(tblplaneteco[[#This Row],[Unlocked]]=1,
   ROUND(tblplaneteco[[#This Row],[Mining Upgrade Cost]] * tblplaneteco[[#This Row],[Unlock Price]],0),
   ""
)</f>
        <v/>
      </c>
      <c r="E14" s="55" t="str">
        <f>IF(tblplaneteco[[#This Row],[Unlocked]]=1,
   ROUND(tblplaneteco[[#This Row],[Ship Upgrade Cost]] * tblplaneteco[[#This Row],[Unlock Price]],0),
   ""
)</f>
        <v/>
      </c>
      <c r="F14" s="55" t="str">
        <f>IF(tblplaneteco[[#This Row],[Unlocked]]=1,
   ROUND(tblplaneteco[[#This Row],[Cargo Upgrade Cost]] * tblplaneteco[[#This Row],[Unlock Price]],0),
   ""
)</f>
        <v/>
      </c>
      <c r="G14" s="56">
        <f>_xlfn.XLOOKUP(tblplaneteco[[#This Row],[Planet '#]],tblprogress[Planet '#],tblprogress[Unlocked])</f>
        <v>0</v>
      </c>
      <c r="H14" s="56">
        <f>_xlfn.XLOOKUP(tblplaneteco[[#This Row],[Planet '#]],tblPlanets[Planet '#],tblPlanets[Unlock Price])</f>
        <v>400000</v>
      </c>
      <c r="I14" s="58">
        <f>_xlfn.XLOOKUP(tblplaneteco[[#This Row],[Planet '#]],tblprogress[Planet '#],tblprogress[Mining Level])</f>
        <v>0</v>
      </c>
      <c r="J14" s="15">
        <f>_xlfn.XLOOKUP(tblplaneteco[[#This Row],[Mining Level]],tblUpgradeStats[Level],tblUpgradeStats[Upgrade Price (per Level)],0)</f>
        <v>0</v>
      </c>
      <c r="K14" s="58">
        <f>_xlfn.XLOOKUP(tblplaneteco[[#This Row],[Planet '#]],tblprogress[Planet '#],tblprogress[Ship Level])</f>
        <v>0</v>
      </c>
      <c r="L14" s="15">
        <f>_xlfn.XLOOKUP(tblplaneteco[[#This Row],[Ship Level]],tblUpgradeStats[Level],tblUpgradeStats[Upgrade Price (per Level)],0)</f>
        <v>0</v>
      </c>
      <c r="M14" s="58">
        <f>_xlfn.XLOOKUP(tblplaneteco[[#This Row],[Planet '#]],tblprogress[Planet '#],tblprogress[Cargo Level])</f>
        <v>0</v>
      </c>
      <c r="N14" s="15">
        <f>_xlfn.XLOOKUP(tblplaneteco[[#This Row],[Cargo Level]],tblUpgradeStats[Level],tblUpgradeStats[Upgrade Price (per Level)],0)</f>
        <v>0</v>
      </c>
      <c r="O14" s="55" t="str">
        <f>IF(
   _xlfn.XLOOKUP(tblplaneteco[[#This Row],[Planet '#]], tblPlanets[Planet '#], tblPlanets[Name])=tblplaneteco[[#This Row],[Name]],
   "Match",
   "Mismatch"
)</f>
        <v>Match</v>
      </c>
    </row>
    <row r="15" spans="1:15" x14ac:dyDescent="0.3">
      <c r="A15" s="25">
        <v>14</v>
      </c>
      <c r="B15" s="25" t="str">
        <f>_xlfn.XLOOKUP(tblprogress[[#This Row],[Planet '#]],tblPlanets[Planet '#],tblPlanets[Name])</f>
        <v>Batalla</v>
      </c>
      <c r="C15" s="55">
        <f>IF(tblplaneteco[[#This Row],[Unlocked]]=1,"",tblplaneteco[[#This Row],[Unlock Price]])</f>
        <v>800000</v>
      </c>
      <c r="D15" s="55" t="str">
        <f>IF(tblplaneteco[[#This Row],[Unlocked]]=1,
   ROUND(tblplaneteco[[#This Row],[Mining Upgrade Cost]] * tblplaneteco[[#This Row],[Unlock Price]],0),
   ""
)</f>
        <v/>
      </c>
      <c r="E15" s="55" t="str">
        <f>IF(tblplaneteco[[#This Row],[Unlocked]]=1,
   ROUND(tblplaneteco[[#This Row],[Ship Upgrade Cost]] * tblplaneteco[[#This Row],[Unlock Price]],0),
   ""
)</f>
        <v/>
      </c>
      <c r="F15" s="55" t="str">
        <f>IF(tblplaneteco[[#This Row],[Unlocked]]=1,
   ROUND(tblplaneteco[[#This Row],[Cargo Upgrade Cost]] * tblplaneteco[[#This Row],[Unlock Price]],0),
   ""
)</f>
        <v/>
      </c>
      <c r="G15" s="14">
        <f>_xlfn.XLOOKUP(tblplaneteco[[#This Row],[Planet '#]],tblprogress[Planet '#],tblprogress[Unlocked])</f>
        <v>0</v>
      </c>
      <c r="H15" s="14">
        <f>_xlfn.XLOOKUP(tblplaneteco[[#This Row],[Planet '#]],tblPlanets[Planet '#],tblPlanets[Unlock Price])</f>
        <v>800000</v>
      </c>
      <c r="I15" s="58">
        <f>_xlfn.XLOOKUP(tblplaneteco[[#This Row],[Planet '#]],tblprogress[Planet '#],tblprogress[Mining Level])</f>
        <v>0</v>
      </c>
      <c r="J15" s="15">
        <f>_xlfn.XLOOKUP(tblplaneteco[[#This Row],[Mining Level]],tblUpgradeStats[Level],tblUpgradeStats[Upgrade Price (per Level)],0)</f>
        <v>0</v>
      </c>
      <c r="K15" s="58">
        <f>_xlfn.XLOOKUP(tblplaneteco[[#This Row],[Planet '#]],tblprogress[Planet '#],tblprogress[Ship Level])</f>
        <v>0</v>
      </c>
      <c r="L15" s="15">
        <f>_xlfn.XLOOKUP(tblplaneteco[[#This Row],[Ship Level]],tblUpgradeStats[Level],tblUpgradeStats[Upgrade Price (per Level)],0)</f>
        <v>0</v>
      </c>
      <c r="M15" s="58">
        <f>_xlfn.XLOOKUP(tblplaneteco[[#This Row],[Planet '#]],tblprogress[Planet '#],tblprogress[Cargo Level])</f>
        <v>0</v>
      </c>
      <c r="N15" s="15">
        <f>_xlfn.XLOOKUP(tblplaneteco[[#This Row],[Cargo Level]],tblUpgradeStats[Level],tblUpgradeStats[Upgrade Price (per Level)],0)</f>
        <v>0</v>
      </c>
      <c r="O15" s="55" t="str">
        <f>IF(
   _xlfn.XLOOKUP(tblplaneteco[[#This Row],[Planet '#]], tblPlanets[Planet '#], tblPlanets[Name])=tblplaneteco[[#This Row],[Name]],
   "Match",
   "Mismatch"
)</f>
        <v>Match</v>
      </c>
    </row>
    <row r="16" spans="1:15" x14ac:dyDescent="0.3">
      <c r="A16" s="24">
        <v>15</v>
      </c>
      <c r="B16" s="24" t="str">
        <f>_xlfn.XLOOKUP(tblprogress[[#This Row],[Planet '#]],tblPlanets[Planet '#],tblPlanets[Name])</f>
        <v>Micah</v>
      </c>
      <c r="C16" s="55">
        <f>IF(tblplaneteco[[#This Row],[Unlocked]]=1,"",tblplaneteco[[#This Row],[Unlock Price]])</f>
        <v>1500000</v>
      </c>
      <c r="D16" s="55" t="str">
        <f>IF(tblplaneteco[[#This Row],[Unlocked]]=1,
   ROUND(tblplaneteco[[#This Row],[Mining Upgrade Cost]] * tblplaneteco[[#This Row],[Unlock Price]],0),
   ""
)</f>
        <v/>
      </c>
      <c r="E16" s="55" t="str">
        <f>IF(tblplaneteco[[#This Row],[Unlocked]]=1,
   ROUND(tblplaneteco[[#This Row],[Ship Upgrade Cost]] * tblplaneteco[[#This Row],[Unlock Price]],0),
   ""
)</f>
        <v/>
      </c>
      <c r="F16" s="55" t="str">
        <f>IF(tblplaneteco[[#This Row],[Unlocked]]=1,
   ROUND(tblplaneteco[[#This Row],[Cargo Upgrade Cost]] * tblplaneteco[[#This Row],[Unlock Price]],0),
   ""
)</f>
        <v/>
      </c>
      <c r="G16" s="56">
        <f>_xlfn.XLOOKUP(tblplaneteco[[#This Row],[Planet '#]],tblprogress[Planet '#],tblprogress[Unlocked])</f>
        <v>0</v>
      </c>
      <c r="H16" s="56">
        <f>_xlfn.XLOOKUP(tblplaneteco[[#This Row],[Planet '#]],tblPlanets[Planet '#],tblPlanets[Unlock Price])</f>
        <v>1500000</v>
      </c>
      <c r="I16" s="58">
        <f>_xlfn.XLOOKUP(tblplaneteco[[#This Row],[Planet '#]],tblprogress[Planet '#],tblprogress[Mining Level])</f>
        <v>0</v>
      </c>
      <c r="J16" s="15">
        <f>_xlfn.XLOOKUP(tblplaneteco[[#This Row],[Mining Level]],tblUpgradeStats[Level],tblUpgradeStats[Upgrade Price (per Level)],0)</f>
        <v>0</v>
      </c>
      <c r="K16" s="58">
        <f>_xlfn.XLOOKUP(tblplaneteco[[#This Row],[Planet '#]],tblprogress[Planet '#],tblprogress[Ship Level])</f>
        <v>0</v>
      </c>
      <c r="L16" s="15">
        <f>_xlfn.XLOOKUP(tblplaneteco[[#This Row],[Ship Level]],tblUpgradeStats[Level],tblUpgradeStats[Upgrade Price (per Level)],0)</f>
        <v>0</v>
      </c>
      <c r="M16" s="58">
        <f>_xlfn.XLOOKUP(tblplaneteco[[#This Row],[Planet '#]],tblprogress[Planet '#],tblprogress[Cargo Level])</f>
        <v>0</v>
      </c>
      <c r="N16" s="15">
        <f>_xlfn.XLOOKUP(tblplaneteco[[#This Row],[Cargo Level]],tblUpgradeStats[Level],tblUpgradeStats[Upgrade Price (per Level)],0)</f>
        <v>0</v>
      </c>
      <c r="O16" s="55" t="str">
        <f>IF(
   _xlfn.XLOOKUP(tblplaneteco[[#This Row],[Planet '#]], tblPlanets[Planet '#], tblPlanets[Name])=tblplaneteco[[#This Row],[Name]],
   "Match",
   "Mismatch"
)</f>
        <v>Match</v>
      </c>
    </row>
    <row r="17" spans="1:15" x14ac:dyDescent="0.3">
      <c r="A17" s="25">
        <v>16</v>
      </c>
      <c r="B17" s="25" t="str">
        <f>_xlfn.XLOOKUP(tblprogress[[#This Row],[Planet '#]],tblPlanets[Planet '#],tblPlanets[Name])</f>
        <v>Pranas</v>
      </c>
      <c r="C17" s="55">
        <f>IF(tblplaneteco[[#This Row],[Unlocked]]=1,"",tblplaneteco[[#This Row],[Unlock Price]])</f>
        <v>3000000</v>
      </c>
      <c r="D17" s="55" t="str">
        <f>IF(tblplaneteco[[#This Row],[Unlocked]]=1,
   ROUND(tblplaneteco[[#This Row],[Mining Upgrade Cost]] * tblplaneteco[[#This Row],[Unlock Price]],0),
   ""
)</f>
        <v/>
      </c>
      <c r="E17" s="55" t="str">
        <f>IF(tblplaneteco[[#This Row],[Unlocked]]=1,
   ROUND(tblplaneteco[[#This Row],[Ship Upgrade Cost]] * tblplaneteco[[#This Row],[Unlock Price]],0),
   ""
)</f>
        <v/>
      </c>
      <c r="F17" s="55" t="str">
        <f>IF(tblplaneteco[[#This Row],[Unlocked]]=1,
   ROUND(tblplaneteco[[#This Row],[Cargo Upgrade Cost]] * tblplaneteco[[#This Row],[Unlock Price]],0),
   ""
)</f>
        <v/>
      </c>
      <c r="G17" s="14">
        <f>_xlfn.XLOOKUP(tblplaneteco[[#This Row],[Planet '#]],tblprogress[Planet '#],tblprogress[Unlocked])</f>
        <v>0</v>
      </c>
      <c r="H17" s="14">
        <f>_xlfn.XLOOKUP(tblplaneteco[[#This Row],[Planet '#]],tblPlanets[Planet '#],tblPlanets[Unlock Price])</f>
        <v>3000000</v>
      </c>
      <c r="I17" s="58">
        <f>_xlfn.XLOOKUP(tblplaneteco[[#This Row],[Planet '#]],tblprogress[Planet '#],tblprogress[Mining Level])</f>
        <v>0</v>
      </c>
      <c r="J17" s="15">
        <f>_xlfn.XLOOKUP(tblplaneteco[[#This Row],[Mining Level]],tblUpgradeStats[Level],tblUpgradeStats[Upgrade Price (per Level)],0)</f>
        <v>0</v>
      </c>
      <c r="K17" s="58">
        <f>_xlfn.XLOOKUP(tblplaneteco[[#This Row],[Planet '#]],tblprogress[Planet '#],tblprogress[Ship Level])</f>
        <v>0</v>
      </c>
      <c r="L17" s="15">
        <f>_xlfn.XLOOKUP(tblplaneteco[[#This Row],[Ship Level]],tblUpgradeStats[Level],tblUpgradeStats[Upgrade Price (per Level)],0)</f>
        <v>0</v>
      </c>
      <c r="M17" s="58">
        <f>_xlfn.XLOOKUP(tblplaneteco[[#This Row],[Planet '#]],tblprogress[Planet '#],tblprogress[Cargo Level])</f>
        <v>0</v>
      </c>
      <c r="N17" s="15">
        <f>_xlfn.XLOOKUP(tblplaneteco[[#This Row],[Cargo Level]],tblUpgradeStats[Level],tblUpgradeStats[Upgrade Price (per Level)],0)</f>
        <v>0</v>
      </c>
      <c r="O17" s="55" t="str">
        <f>IF(
   _xlfn.XLOOKUP(tblplaneteco[[#This Row],[Planet '#]], tblPlanets[Planet '#], tblPlanets[Name])=tblplaneteco[[#This Row],[Name]],
   "Match",
   "Mismatch"
)</f>
        <v>Match</v>
      </c>
    </row>
    <row r="18" spans="1:15" x14ac:dyDescent="0.3">
      <c r="A18" s="24">
        <v>17</v>
      </c>
      <c r="B18" s="24" t="str">
        <f>_xlfn.XLOOKUP(tblprogress[[#This Row],[Planet '#]],tblPlanets[Planet '#],tblPlanets[Name])</f>
        <v>Castellus</v>
      </c>
      <c r="C18" s="55">
        <f>IF(tblplaneteco[[#This Row],[Unlocked]]=1,"",tblplaneteco[[#This Row],[Unlock Price]])</f>
        <v>6000000</v>
      </c>
      <c r="D18" s="55" t="str">
        <f>IF(tblplaneteco[[#This Row],[Unlocked]]=1,
   ROUND(tblplaneteco[[#This Row],[Mining Upgrade Cost]] * tblplaneteco[[#This Row],[Unlock Price]],0),
   ""
)</f>
        <v/>
      </c>
      <c r="E18" s="55" t="str">
        <f>IF(tblplaneteco[[#This Row],[Unlocked]]=1,
   ROUND(tblplaneteco[[#This Row],[Ship Upgrade Cost]] * tblplaneteco[[#This Row],[Unlock Price]],0),
   ""
)</f>
        <v/>
      </c>
      <c r="F18" s="55" t="str">
        <f>IF(tblplaneteco[[#This Row],[Unlocked]]=1,
   ROUND(tblplaneteco[[#This Row],[Cargo Upgrade Cost]] * tblplaneteco[[#This Row],[Unlock Price]],0),
   ""
)</f>
        <v/>
      </c>
      <c r="G18" s="56">
        <f>_xlfn.XLOOKUP(tblplaneteco[[#This Row],[Planet '#]],tblprogress[Planet '#],tblprogress[Unlocked])</f>
        <v>0</v>
      </c>
      <c r="H18" s="56">
        <f>_xlfn.XLOOKUP(tblplaneteco[[#This Row],[Planet '#]],tblPlanets[Planet '#],tblPlanets[Unlock Price])</f>
        <v>6000000</v>
      </c>
      <c r="I18" s="58">
        <f>_xlfn.XLOOKUP(tblplaneteco[[#This Row],[Planet '#]],tblprogress[Planet '#],tblprogress[Mining Level])</f>
        <v>0</v>
      </c>
      <c r="J18" s="15">
        <f>_xlfn.XLOOKUP(tblplaneteco[[#This Row],[Mining Level]],tblUpgradeStats[Level],tblUpgradeStats[Upgrade Price (per Level)],0)</f>
        <v>0</v>
      </c>
      <c r="K18" s="58">
        <f>_xlfn.XLOOKUP(tblplaneteco[[#This Row],[Planet '#]],tblprogress[Planet '#],tblprogress[Ship Level])</f>
        <v>0</v>
      </c>
      <c r="L18" s="15">
        <f>_xlfn.XLOOKUP(tblplaneteco[[#This Row],[Ship Level]],tblUpgradeStats[Level],tblUpgradeStats[Upgrade Price (per Level)],0)</f>
        <v>0</v>
      </c>
      <c r="M18" s="58">
        <f>_xlfn.XLOOKUP(tblplaneteco[[#This Row],[Planet '#]],tblprogress[Planet '#],tblprogress[Cargo Level])</f>
        <v>0</v>
      </c>
      <c r="N18" s="15">
        <f>_xlfn.XLOOKUP(tblplaneteco[[#This Row],[Cargo Level]],tblUpgradeStats[Level],tblUpgradeStats[Upgrade Price (per Level)],0)</f>
        <v>0</v>
      </c>
      <c r="O18" s="55" t="str">
        <f>IF(
   _xlfn.XLOOKUP(tblplaneteco[[#This Row],[Planet '#]], tblPlanets[Planet '#], tblPlanets[Name])=tblplaneteco[[#This Row],[Name]],
   "Match",
   "Mismatch"
)</f>
        <v>Match</v>
      </c>
    </row>
    <row r="19" spans="1:15" x14ac:dyDescent="0.3">
      <c r="A19" s="25">
        <v>18</v>
      </c>
      <c r="B19" s="25" t="str">
        <f>_xlfn.XLOOKUP(tblprogress[[#This Row],[Planet '#]],tblPlanets[Planet '#],tblPlanets[Name])</f>
        <v>Gorgon</v>
      </c>
      <c r="C19" s="55">
        <f>IF(tblplaneteco[[#This Row],[Unlocked]]=1,"",tblplaneteco[[#This Row],[Unlock Price]])</f>
        <v>12000000</v>
      </c>
      <c r="D19" s="55" t="str">
        <f>IF(tblplaneteco[[#This Row],[Unlocked]]=1,
   ROUND(tblplaneteco[[#This Row],[Mining Upgrade Cost]] * tblplaneteco[[#This Row],[Unlock Price]],0),
   ""
)</f>
        <v/>
      </c>
      <c r="E19" s="55" t="str">
        <f>IF(tblplaneteco[[#This Row],[Unlocked]]=1,
   ROUND(tblplaneteco[[#This Row],[Ship Upgrade Cost]] * tblplaneteco[[#This Row],[Unlock Price]],0),
   ""
)</f>
        <v/>
      </c>
      <c r="F19" s="55" t="str">
        <f>IF(tblplaneteco[[#This Row],[Unlocked]]=1,
   ROUND(tblplaneteco[[#This Row],[Cargo Upgrade Cost]] * tblplaneteco[[#This Row],[Unlock Price]],0),
   ""
)</f>
        <v/>
      </c>
      <c r="G19" s="14">
        <f>_xlfn.XLOOKUP(tblplaneteco[[#This Row],[Planet '#]],tblprogress[Planet '#],tblprogress[Unlocked])</f>
        <v>0</v>
      </c>
      <c r="H19" s="14">
        <f>_xlfn.XLOOKUP(tblplaneteco[[#This Row],[Planet '#]],tblPlanets[Planet '#],tblPlanets[Unlock Price])</f>
        <v>12000000</v>
      </c>
      <c r="I19" s="58">
        <f>_xlfn.XLOOKUP(tblplaneteco[[#This Row],[Planet '#]],tblprogress[Planet '#],tblprogress[Mining Level])</f>
        <v>0</v>
      </c>
      <c r="J19" s="15">
        <f>_xlfn.XLOOKUP(tblplaneteco[[#This Row],[Mining Level]],tblUpgradeStats[Level],tblUpgradeStats[Upgrade Price (per Level)],0)</f>
        <v>0</v>
      </c>
      <c r="K19" s="58">
        <f>_xlfn.XLOOKUP(tblplaneteco[[#This Row],[Planet '#]],tblprogress[Planet '#],tblprogress[Ship Level])</f>
        <v>0</v>
      </c>
      <c r="L19" s="15">
        <f>_xlfn.XLOOKUP(tblplaneteco[[#This Row],[Ship Level]],tblUpgradeStats[Level],tblUpgradeStats[Upgrade Price (per Level)],0)</f>
        <v>0</v>
      </c>
      <c r="M19" s="58">
        <f>_xlfn.XLOOKUP(tblplaneteco[[#This Row],[Planet '#]],tblprogress[Planet '#],tblprogress[Cargo Level])</f>
        <v>0</v>
      </c>
      <c r="N19" s="15">
        <f>_xlfn.XLOOKUP(tblplaneteco[[#This Row],[Cargo Level]],tblUpgradeStats[Level],tblUpgradeStats[Upgrade Price (per Level)],0)</f>
        <v>0</v>
      </c>
      <c r="O19" s="55" t="str">
        <f>IF(
   _xlfn.XLOOKUP(tblplaneteco[[#This Row],[Planet '#]], tblPlanets[Planet '#], tblPlanets[Name])=tblplaneteco[[#This Row],[Name]],
   "Match",
   "Mismatch"
)</f>
        <v>Match</v>
      </c>
    </row>
    <row r="20" spans="1:15" x14ac:dyDescent="0.3">
      <c r="A20" s="24">
        <v>19</v>
      </c>
      <c r="B20" s="24" t="str">
        <f>_xlfn.XLOOKUP(tblprogress[[#This Row],[Planet '#]],tblPlanets[Planet '#],tblPlanets[Name])</f>
        <v>Parnitha</v>
      </c>
      <c r="C20" s="55">
        <f>IF(tblplaneteco[[#This Row],[Unlocked]]=1,"",tblplaneteco[[#This Row],[Unlock Price]])</f>
        <v>25000000</v>
      </c>
      <c r="D20" s="55" t="str">
        <f>IF(tblplaneteco[[#This Row],[Unlocked]]=1,
   ROUND(tblplaneteco[[#This Row],[Mining Upgrade Cost]] * tblplaneteco[[#This Row],[Unlock Price]],0),
   ""
)</f>
        <v/>
      </c>
      <c r="E20" s="55" t="str">
        <f>IF(tblplaneteco[[#This Row],[Unlocked]]=1,
   ROUND(tblplaneteco[[#This Row],[Ship Upgrade Cost]] * tblplaneteco[[#This Row],[Unlock Price]],0),
   ""
)</f>
        <v/>
      </c>
      <c r="F20" s="55" t="str">
        <f>IF(tblplaneteco[[#This Row],[Unlocked]]=1,
   ROUND(tblplaneteco[[#This Row],[Cargo Upgrade Cost]] * tblplaneteco[[#This Row],[Unlock Price]],0),
   ""
)</f>
        <v/>
      </c>
      <c r="G20" s="56">
        <f>_xlfn.XLOOKUP(tblplaneteco[[#This Row],[Planet '#]],tblprogress[Planet '#],tblprogress[Unlocked])</f>
        <v>0</v>
      </c>
      <c r="H20" s="56">
        <f>_xlfn.XLOOKUP(tblplaneteco[[#This Row],[Planet '#]],tblPlanets[Planet '#],tblPlanets[Unlock Price])</f>
        <v>25000000</v>
      </c>
      <c r="I20" s="58">
        <f>_xlfn.XLOOKUP(tblplaneteco[[#This Row],[Planet '#]],tblprogress[Planet '#],tblprogress[Mining Level])</f>
        <v>0</v>
      </c>
      <c r="J20" s="15">
        <f>_xlfn.XLOOKUP(tblplaneteco[[#This Row],[Mining Level]],tblUpgradeStats[Level],tblUpgradeStats[Upgrade Price (per Level)],0)</f>
        <v>0</v>
      </c>
      <c r="K20" s="58">
        <f>_xlfn.XLOOKUP(tblplaneteco[[#This Row],[Planet '#]],tblprogress[Planet '#],tblprogress[Ship Level])</f>
        <v>0</v>
      </c>
      <c r="L20" s="15">
        <f>_xlfn.XLOOKUP(tblplaneteco[[#This Row],[Ship Level]],tblUpgradeStats[Level],tblUpgradeStats[Upgrade Price (per Level)],0)</f>
        <v>0</v>
      </c>
      <c r="M20" s="58">
        <f>_xlfn.XLOOKUP(tblplaneteco[[#This Row],[Planet '#]],tblprogress[Planet '#],tblprogress[Cargo Level])</f>
        <v>0</v>
      </c>
      <c r="N20" s="15">
        <f>_xlfn.XLOOKUP(tblplaneteco[[#This Row],[Cargo Level]],tblUpgradeStats[Level],tblUpgradeStats[Upgrade Price (per Level)],0)</f>
        <v>0</v>
      </c>
      <c r="O20" s="55" t="str">
        <f>IF(
   _xlfn.XLOOKUP(tblplaneteco[[#This Row],[Planet '#]], tblPlanets[Planet '#], tblPlanets[Name])=tblplaneteco[[#This Row],[Name]],
   "Match",
   "Mismatch"
)</f>
        <v>Match</v>
      </c>
    </row>
    <row r="21" spans="1:15" x14ac:dyDescent="0.3">
      <c r="A21" s="25">
        <v>20</v>
      </c>
      <c r="B21" s="25" t="str">
        <f>_xlfn.XLOOKUP(tblprogress[[#This Row],[Planet '#]],tblPlanets[Planet '#],tblPlanets[Name])</f>
        <v>Orisoni</v>
      </c>
      <c r="C21" s="55">
        <f>IF(tblplaneteco[[#This Row],[Unlocked]]=1,"",tblplaneteco[[#This Row],[Unlock Price]])</f>
        <v>50000000</v>
      </c>
      <c r="D21" s="55" t="str">
        <f>IF(tblplaneteco[[#This Row],[Unlocked]]=1,
   ROUND(tblplaneteco[[#This Row],[Mining Upgrade Cost]] * tblplaneteco[[#This Row],[Unlock Price]],0),
   ""
)</f>
        <v/>
      </c>
      <c r="E21" s="55" t="str">
        <f>IF(tblplaneteco[[#This Row],[Unlocked]]=1,
   ROUND(tblplaneteco[[#This Row],[Ship Upgrade Cost]] * tblplaneteco[[#This Row],[Unlock Price]],0),
   ""
)</f>
        <v/>
      </c>
      <c r="F21" s="55" t="str">
        <f>IF(tblplaneteco[[#This Row],[Unlocked]]=1,
   ROUND(tblplaneteco[[#This Row],[Cargo Upgrade Cost]] * tblplaneteco[[#This Row],[Unlock Price]],0),
   ""
)</f>
        <v/>
      </c>
      <c r="G21" s="14">
        <f>_xlfn.XLOOKUP(tblplaneteco[[#This Row],[Planet '#]],tblprogress[Planet '#],tblprogress[Unlocked])</f>
        <v>0</v>
      </c>
      <c r="H21" s="14">
        <f>_xlfn.XLOOKUP(tblplaneteco[[#This Row],[Planet '#]],tblPlanets[Planet '#],tblPlanets[Unlock Price])</f>
        <v>50000000</v>
      </c>
      <c r="I21" s="58">
        <f>_xlfn.XLOOKUP(tblplaneteco[[#This Row],[Planet '#]],tblprogress[Planet '#],tblprogress[Mining Level])</f>
        <v>0</v>
      </c>
      <c r="J21" s="15">
        <f>_xlfn.XLOOKUP(tblplaneteco[[#This Row],[Mining Level]],tblUpgradeStats[Level],tblUpgradeStats[Upgrade Price (per Level)],0)</f>
        <v>0</v>
      </c>
      <c r="K21" s="58">
        <f>_xlfn.XLOOKUP(tblplaneteco[[#This Row],[Planet '#]],tblprogress[Planet '#],tblprogress[Ship Level])</f>
        <v>0</v>
      </c>
      <c r="L21" s="15">
        <f>_xlfn.XLOOKUP(tblplaneteco[[#This Row],[Ship Level]],tblUpgradeStats[Level],tblUpgradeStats[Upgrade Price (per Level)],0)</f>
        <v>0</v>
      </c>
      <c r="M21" s="58">
        <f>_xlfn.XLOOKUP(tblplaneteco[[#This Row],[Planet '#]],tblprogress[Planet '#],tblprogress[Cargo Level])</f>
        <v>0</v>
      </c>
      <c r="N21" s="15">
        <f>_xlfn.XLOOKUP(tblplaneteco[[#This Row],[Cargo Level]],tblUpgradeStats[Level],tblUpgradeStats[Upgrade Price (per Level)],0)</f>
        <v>0</v>
      </c>
      <c r="O21" s="55" t="str">
        <f>IF(
   _xlfn.XLOOKUP(tblplaneteco[[#This Row],[Planet '#]], tblPlanets[Planet '#], tblPlanets[Name])=tblplaneteco[[#This Row],[Name]],
   "Match",
   "Mismatch"
)</f>
        <v>Match</v>
      </c>
    </row>
    <row r="22" spans="1:15" x14ac:dyDescent="0.3">
      <c r="A22" s="24">
        <v>21</v>
      </c>
      <c r="B22" s="24" t="str">
        <f>_xlfn.XLOOKUP(tblprogress[[#This Row],[Planet '#]],tblPlanets[Planet '#],tblPlanets[Name])</f>
        <v>Theseus</v>
      </c>
      <c r="C22" s="55">
        <f>IF(tblplaneteco[[#This Row],[Unlocked]]=1,"",tblplaneteco[[#This Row],[Unlock Price]])</f>
        <v>100000000</v>
      </c>
      <c r="D22" s="55" t="str">
        <f>IF(tblplaneteco[[#This Row],[Unlocked]]=1,
   ROUND(tblplaneteco[[#This Row],[Mining Upgrade Cost]] * tblplaneteco[[#This Row],[Unlock Price]],0),
   ""
)</f>
        <v/>
      </c>
      <c r="E22" s="55" t="str">
        <f>IF(tblplaneteco[[#This Row],[Unlocked]]=1,
   ROUND(tblplaneteco[[#This Row],[Ship Upgrade Cost]] * tblplaneteco[[#This Row],[Unlock Price]],0),
   ""
)</f>
        <v/>
      </c>
      <c r="F22" s="55" t="str">
        <f>IF(tblplaneteco[[#This Row],[Unlocked]]=1,
   ROUND(tblplaneteco[[#This Row],[Cargo Upgrade Cost]] * tblplaneteco[[#This Row],[Unlock Price]],0),
   ""
)</f>
        <v/>
      </c>
      <c r="G22" s="56">
        <f>_xlfn.XLOOKUP(tblplaneteco[[#This Row],[Planet '#]],tblprogress[Planet '#],tblprogress[Unlocked])</f>
        <v>0</v>
      </c>
      <c r="H22" s="56">
        <f>_xlfn.XLOOKUP(tblplaneteco[[#This Row],[Planet '#]],tblPlanets[Planet '#],tblPlanets[Unlock Price])</f>
        <v>100000000</v>
      </c>
      <c r="I22" s="58">
        <f>_xlfn.XLOOKUP(tblplaneteco[[#This Row],[Planet '#]],tblprogress[Planet '#],tblprogress[Mining Level])</f>
        <v>0</v>
      </c>
      <c r="J22" s="15">
        <f>_xlfn.XLOOKUP(tblplaneteco[[#This Row],[Mining Level]],tblUpgradeStats[Level],tblUpgradeStats[Upgrade Price (per Level)],0)</f>
        <v>0</v>
      </c>
      <c r="K22" s="58">
        <f>_xlfn.XLOOKUP(tblplaneteco[[#This Row],[Planet '#]],tblprogress[Planet '#],tblprogress[Ship Level])</f>
        <v>0</v>
      </c>
      <c r="L22" s="15">
        <f>_xlfn.XLOOKUP(tblplaneteco[[#This Row],[Ship Level]],tblUpgradeStats[Level],tblUpgradeStats[Upgrade Price (per Level)],0)</f>
        <v>0</v>
      </c>
      <c r="M22" s="58">
        <f>_xlfn.XLOOKUP(tblplaneteco[[#This Row],[Planet '#]],tblprogress[Planet '#],tblprogress[Cargo Level])</f>
        <v>0</v>
      </c>
      <c r="N22" s="15">
        <f>_xlfn.XLOOKUP(tblplaneteco[[#This Row],[Cargo Level]],tblUpgradeStats[Level],tblUpgradeStats[Upgrade Price (per Level)],0)</f>
        <v>0</v>
      </c>
      <c r="O22" s="55" t="str">
        <f>IF(
   _xlfn.XLOOKUP(tblplaneteco[[#This Row],[Planet '#]], tblPlanets[Planet '#], tblPlanets[Name])=tblplaneteco[[#This Row],[Name]],
   "Match",
   "Mismatch"
)</f>
        <v>Match</v>
      </c>
    </row>
    <row r="23" spans="1:15" x14ac:dyDescent="0.3">
      <c r="A23" s="25">
        <v>22</v>
      </c>
      <c r="B23" s="25" t="str">
        <f>_xlfn.XLOOKUP(tblprogress[[#This Row],[Planet '#]],tblPlanets[Planet '#],tblPlanets[Name])</f>
        <v>Zelene</v>
      </c>
      <c r="C23" s="55">
        <f>IF(tblplaneteco[[#This Row],[Unlocked]]=1,"",tblplaneteco[[#This Row],[Unlock Price]])</f>
        <v>200000000</v>
      </c>
      <c r="D23" s="55" t="str">
        <f>IF(tblplaneteco[[#This Row],[Unlocked]]=1,
   ROUND(tblplaneteco[[#This Row],[Mining Upgrade Cost]] * tblplaneteco[[#This Row],[Unlock Price]],0),
   ""
)</f>
        <v/>
      </c>
      <c r="E23" s="55" t="str">
        <f>IF(tblplaneteco[[#This Row],[Unlocked]]=1,
   ROUND(tblplaneteco[[#This Row],[Ship Upgrade Cost]] * tblplaneteco[[#This Row],[Unlock Price]],0),
   ""
)</f>
        <v/>
      </c>
      <c r="F23" s="55" t="str">
        <f>IF(tblplaneteco[[#This Row],[Unlocked]]=1,
   ROUND(tblplaneteco[[#This Row],[Cargo Upgrade Cost]] * tblplaneteco[[#This Row],[Unlock Price]],0),
   ""
)</f>
        <v/>
      </c>
      <c r="G23" s="14">
        <f>_xlfn.XLOOKUP(tblplaneteco[[#This Row],[Planet '#]],tblprogress[Planet '#],tblprogress[Unlocked])</f>
        <v>0</v>
      </c>
      <c r="H23" s="14">
        <f>_xlfn.XLOOKUP(tblplaneteco[[#This Row],[Planet '#]],tblPlanets[Planet '#],tblPlanets[Unlock Price])</f>
        <v>200000000</v>
      </c>
      <c r="I23" s="58">
        <f>_xlfn.XLOOKUP(tblplaneteco[[#This Row],[Planet '#]],tblprogress[Planet '#],tblprogress[Mining Level])</f>
        <v>0</v>
      </c>
      <c r="J23" s="15">
        <f>_xlfn.XLOOKUP(tblplaneteco[[#This Row],[Mining Level]],tblUpgradeStats[Level],tblUpgradeStats[Upgrade Price (per Level)],0)</f>
        <v>0</v>
      </c>
      <c r="K23" s="58">
        <f>_xlfn.XLOOKUP(tblplaneteco[[#This Row],[Planet '#]],tblprogress[Planet '#],tblprogress[Ship Level])</f>
        <v>0</v>
      </c>
      <c r="L23" s="15">
        <f>_xlfn.XLOOKUP(tblplaneteco[[#This Row],[Ship Level]],tblUpgradeStats[Level],tblUpgradeStats[Upgrade Price (per Level)],0)</f>
        <v>0</v>
      </c>
      <c r="M23" s="58">
        <f>_xlfn.XLOOKUP(tblplaneteco[[#This Row],[Planet '#]],tblprogress[Planet '#],tblprogress[Cargo Level])</f>
        <v>0</v>
      </c>
      <c r="N23" s="15">
        <f>_xlfn.XLOOKUP(tblplaneteco[[#This Row],[Cargo Level]],tblUpgradeStats[Level],tblUpgradeStats[Upgrade Price (per Level)],0)</f>
        <v>0</v>
      </c>
      <c r="O23" s="55" t="str">
        <f>IF(
   _xlfn.XLOOKUP(tblplaneteco[[#This Row],[Planet '#]], tblPlanets[Planet '#], tblPlanets[Name])=tblplaneteco[[#This Row],[Name]],
   "Match",
   "Mismatch"
)</f>
        <v>Match</v>
      </c>
    </row>
    <row r="24" spans="1:15" x14ac:dyDescent="0.3">
      <c r="A24" s="24">
        <v>23</v>
      </c>
      <c r="B24" s="24" t="str">
        <f>_xlfn.XLOOKUP(tblprogress[[#This Row],[Planet '#]],tblPlanets[Planet '#],tblPlanets[Name])</f>
        <v>Han</v>
      </c>
      <c r="C24" s="55">
        <f>IF(tblplaneteco[[#This Row],[Unlocked]]=1,"",tblplaneteco[[#This Row],[Unlock Price]])</f>
        <v>400000000</v>
      </c>
      <c r="D24" s="55" t="str">
        <f>IF(tblplaneteco[[#This Row],[Unlocked]]=1,
   ROUND(tblplaneteco[[#This Row],[Mining Upgrade Cost]] * tblplaneteco[[#This Row],[Unlock Price]],0),
   ""
)</f>
        <v/>
      </c>
      <c r="E24" s="55" t="str">
        <f>IF(tblplaneteco[[#This Row],[Unlocked]]=1,
   ROUND(tblplaneteco[[#This Row],[Ship Upgrade Cost]] * tblplaneteco[[#This Row],[Unlock Price]],0),
   ""
)</f>
        <v/>
      </c>
      <c r="F24" s="55" t="str">
        <f>IF(tblplaneteco[[#This Row],[Unlocked]]=1,
   ROUND(tblplaneteco[[#This Row],[Cargo Upgrade Cost]] * tblplaneteco[[#This Row],[Unlock Price]],0),
   ""
)</f>
        <v/>
      </c>
      <c r="G24" s="56">
        <f>_xlfn.XLOOKUP(tblplaneteco[[#This Row],[Planet '#]],tblprogress[Planet '#],tblprogress[Unlocked])</f>
        <v>0</v>
      </c>
      <c r="H24" s="56">
        <f>_xlfn.XLOOKUP(tblplaneteco[[#This Row],[Planet '#]],tblPlanets[Planet '#],tblPlanets[Unlock Price])</f>
        <v>400000000</v>
      </c>
      <c r="I24" s="58">
        <f>_xlfn.XLOOKUP(tblplaneteco[[#This Row],[Planet '#]],tblprogress[Planet '#],tblprogress[Mining Level])</f>
        <v>0</v>
      </c>
      <c r="J24" s="15">
        <f>_xlfn.XLOOKUP(tblplaneteco[[#This Row],[Mining Level]],tblUpgradeStats[Level],tblUpgradeStats[Upgrade Price (per Level)],0)</f>
        <v>0</v>
      </c>
      <c r="K24" s="58">
        <f>_xlfn.XLOOKUP(tblplaneteco[[#This Row],[Planet '#]],tblprogress[Planet '#],tblprogress[Ship Level])</f>
        <v>0</v>
      </c>
      <c r="L24" s="15">
        <f>_xlfn.XLOOKUP(tblplaneteco[[#This Row],[Ship Level]],tblUpgradeStats[Level],tblUpgradeStats[Upgrade Price (per Level)],0)</f>
        <v>0</v>
      </c>
      <c r="M24" s="58">
        <f>_xlfn.XLOOKUP(tblplaneteco[[#This Row],[Planet '#]],tblprogress[Planet '#],tblprogress[Cargo Level])</f>
        <v>0</v>
      </c>
      <c r="N24" s="15">
        <f>_xlfn.XLOOKUP(tblplaneteco[[#This Row],[Cargo Level]],tblUpgradeStats[Level],tblUpgradeStats[Upgrade Price (per Level)],0)</f>
        <v>0</v>
      </c>
      <c r="O24" s="55" t="str">
        <f>IF(
   _xlfn.XLOOKUP(tblplaneteco[[#This Row],[Planet '#]], tblPlanets[Planet '#], tblPlanets[Name])=tblplaneteco[[#This Row],[Name]],
   "Match",
   "Mismatch"
)</f>
        <v>Match</v>
      </c>
    </row>
    <row r="25" spans="1:15" x14ac:dyDescent="0.3">
      <c r="A25" s="25">
        <v>24</v>
      </c>
      <c r="B25" s="25" t="str">
        <f>_xlfn.XLOOKUP(tblprogress[[#This Row],[Planet '#]],tblPlanets[Planet '#],tblPlanets[Name])</f>
        <v>Strennus</v>
      </c>
      <c r="C25" s="55">
        <f>IF(tblplaneteco[[#This Row],[Unlocked]]=1,"",tblplaneteco[[#This Row],[Unlock Price]])</f>
        <v>800000000</v>
      </c>
      <c r="D25" s="55" t="str">
        <f>IF(tblplaneteco[[#This Row],[Unlocked]]=1,
   ROUND(tblplaneteco[[#This Row],[Mining Upgrade Cost]] * tblplaneteco[[#This Row],[Unlock Price]],0),
   ""
)</f>
        <v/>
      </c>
      <c r="E25" s="55" t="str">
        <f>IF(tblplaneteco[[#This Row],[Unlocked]]=1,
   ROUND(tblplaneteco[[#This Row],[Ship Upgrade Cost]] * tblplaneteco[[#This Row],[Unlock Price]],0),
   ""
)</f>
        <v/>
      </c>
      <c r="F25" s="55" t="str">
        <f>IF(tblplaneteco[[#This Row],[Unlocked]]=1,
   ROUND(tblplaneteco[[#This Row],[Cargo Upgrade Cost]] * tblplaneteco[[#This Row],[Unlock Price]],0),
   ""
)</f>
        <v/>
      </c>
      <c r="G25" s="14">
        <f>_xlfn.XLOOKUP(tblplaneteco[[#This Row],[Planet '#]],tblprogress[Planet '#],tblprogress[Unlocked])</f>
        <v>0</v>
      </c>
      <c r="H25" s="14">
        <f>_xlfn.XLOOKUP(tblplaneteco[[#This Row],[Planet '#]],tblPlanets[Planet '#],tblPlanets[Unlock Price])</f>
        <v>800000000</v>
      </c>
      <c r="I25" s="58">
        <f>_xlfn.XLOOKUP(tblplaneteco[[#This Row],[Planet '#]],tblprogress[Planet '#],tblprogress[Mining Level])</f>
        <v>0</v>
      </c>
      <c r="J25" s="15">
        <f>_xlfn.XLOOKUP(tblplaneteco[[#This Row],[Mining Level]],tblUpgradeStats[Level],tblUpgradeStats[Upgrade Price (per Level)],0)</f>
        <v>0</v>
      </c>
      <c r="K25" s="58">
        <f>_xlfn.XLOOKUP(tblplaneteco[[#This Row],[Planet '#]],tblprogress[Planet '#],tblprogress[Ship Level])</f>
        <v>0</v>
      </c>
      <c r="L25" s="15">
        <f>_xlfn.XLOOKUP(tblplaneteco[[#This Row],[Ship Level]],tblUpgradeStats[Level],tblUpgradeStats[Upgrade Price (per Level)],0)</f>
        <v>0</v>
      </c>
      <c r="M25" s="58">
        <f>_xlfn.XLOOKUP(tblplaneteco[[#This Row],[Planet '#]],tblprogress[Planet '#],tblprogress[Cargo Level])</f>
        <v>0</v>
      </c>
      <c r="N25" s="15">
        <f>_xlfn.XLOOKUP(tblplaneteco[[#This Row],[Cargo Level]],tblUpgradeStats[Level],tblUpgradeStats[Upgrade Price (per Level)],0)</f>
        <v>0</v>
      </c>
      <c r="O25" s="55" t="str">
        <f>IF(
   _xlfn.XLOOKUP(tblplaneteco[[#This Row],[Planet '#]], tblPlanets[Planet '#], tblPlanets[Name])=tblplaneteco[[#This Row],[Name]],
   "Match",
   "Mismatch"
)</f>
        <v>Match</v>
      </c>
    </row>
    <row r="26" spans="1:15" x14ac:dyDescent="0.3">
      <c r="A26" s="24">
        <v>25</v>
      </c>
      <c r="B26" s="24" t="str">
        <f>_xlfn.XLOOKUP(tblprogress[[#This Row],[Planet '#]],tblPlanets[Planet '#],tblPlanets[Name])</f>
        <v>Osun</v>
      </c>
      <c r="C26" s="55">
        <f>IF(tblplaneteco[[#This Row],[Unlocked]]=1,"",tblplaneteco[[#This Row],[Unlock Price]])</f>
        <v>1600000000</v>
      </c>
      <c r="D26" s="55" t="str">
        <f>IF(tblplaneteco[[#This Row],[Unlocked]]=1,
   ROUND(tblplaneteco[[#This Row],[Mining Upgrade Cost]] * tblplaneteco[[#This Row],[Unlock Price]],0),
   ""
)</f>
        <v/>
      </c>
      <c r="E26" s="55" t="str">
        <f>IF(tblplaneteco[[#This Row],[Unlocked]]=1,
   ROUND(tblplaneteco[[#This Row],[Ship Upgrade Cost]] * tblplaneteco[[#This Row],[Unlock Price]],0),
   ""
)</f>
        <v/>
      </c>
      <c r="F26" s="55" t="str">
        <f>IF(tblplaneteco[[#This Row],[Unlocked]]=1,
   ROUND(tblplaneteco[[#This Row],[Cargo Upgrade Cost]] * tblplaneteco[[#This Row],[Unlock Price]],0),
   ""
)</f>
        <v/>
      </c>
      <c r="G26" s="56">
        <f>_xlfn.XLOOKUP(tblplaneteco[[#This Row],[Planet '#]],tblprogress[Planet '#],tblprogress[Unlocked])</f>
        <v>0</v>
      </c>
      <c r="H26" s="56">
        <f>_xlfn.XLOOKUP(tblplaneteco[[#This Row],[Planet '#]],tblPlanets[Planet '#],tblPlanets[Unlock Price])</f>
        <v>1600000000</v>
      </c>
      <c r="I26" s="58">
        <f>_xlfn.XLOOKUP(tblplaneteco[[#This Row],[Planet '#]],tblprogress[Planet '#],tblprogress[Mining Level])</f>
        <v>0</v>
      </c>
      <c r="J26" s="15">
        <f>_xlfn.XLOOKUP(tblplaneteco[[#This Row],[Mining Level]],tblUpgradeStats[Level],tblUpgradeStats[Upgrade Price (per Level)],0)</f>
        <v>0</v>
      </c>
      <c r="K26" s="58">
        <f>_xlfn.XLOOKUP(tblplaneteco[[#This Row],[Planet '#]],tblprogress[Planet '#],tblprogress[Ship Level])</f>
        <v>0</v>
      </c>
      <c r="L26" s="15">
        <f>_xlfn.XLOOKUP(tblplaneteco[[#This Row],[Ship Level]],tblUpgradeStats[Level],tblUpgradeStats[Upgrade Price (per Level)],0)</f>
        <v>0</v>
      </c>
      <c r="M26" s="58">
        <f>_xlfn.XLOOKUP(tblplaneteco[[#This Row],[Planet '#]],tblprogress[Planet '#],tblprogress[Cargo Level])</f>
        <v>0</v>
      </c>
      <c r="N26" s="15">
        <f>_xlfn.XLOOKUP(tblplaneteco[[#This Row],[Cargo Level]],tblUpgradeStats[Level],tblUpgradeStats[Upgrade Price (per Level)],0)</f>
        <v>0</v>
      </c>
      <c r="O26" s="55" t="str">
        <f>IF(
   _xlfn.XLOOKUP(tblplaneteco[[#This Row],[Planet '#]], tblPlanets[Planet '#], tblPlanets[Name])=tblplaneteco[[#This Row],[Name]],
   "Match",
   "Mismatch"
)</f>
        <v>Match</v>
      </c>
    </row>
    <row r="27" spans="1:15" x14ac:dyDescent="0.3">
      <c r="A27" s="25">
        <v>26</v>
      </c>
      <c r="B27" s="25" t="str">
        <f>_xlfn.XLOOKUP(tblprogress[[#This Row],[Planet '#]],tblPlanets[Planet '#],tblPlanets[Name])</f>
        <v>Ploitari</v>
      </c>
      <c r="C27" s="55">
        <f>IF(tblplaneteco[[#This Row],[Unlocked]]=1,"",tblplaneteco[[#This Row],[Unlock Price]])</f>
        <v>3200000000</v>
      </c>
      <c r="D27" s="55" t="str">
        <f>IF(tblplaneteco[[#This Row],[Unlocked]]=1,
   ROUND(tblplaneteco[[#This Row],[Mining Upgrade Cost]] * tblplaneteco[[#This Row],[Unlock Price]],0),
   ""
)</f>
        <v/>
      </c>
      <c r="E27" s="55" t="str">
        <f>IF(tblplaneteco[[#This Row],[Unlocked]]=1,
   ROUND(tblplaneteco[[#This Row],[Ship Upgrade Cost]] * tblplaneteco[[#This Row],[Unlock Price]],0),
   ""
)</f>
        <v/>
      </c>
      <c r="F27" s="55" t="str">
        <f>IF(tblplaneteco[[#This Row],[Unlocked]]=1,
   ROUND(tblplaneteco[[#This Row],[Cargo Upgrade Cost]] * tblplaneteco[[#This Row],[Unlock Price]],0),
   ""
)</f>
        <v/>
      </c>
      <c r="G27" s="14">
        <f>_xlfn.XLOOKUP(tblplaneteco[[#This Row],[Planet '#]],tblprogress[Planet '#],tblprogress[Unlocked])</f>
        <v>0</v>
      </c>
      <c r="H27" s="14">
        <f>_xlfn.XLOOKUP(tblplaneteco[[#This Row],[Planet '#]],tblPlanets[Planet '#],tblPlanets[Unlock Price])</f>
        <v>3200000000</v>
      </c>
      <c r="I27" s="58">
        <f>_xlfn.XLOOKUP(tblplaneteco[[#This Row],[Planet '#]],tblprogress[Planet '#],tblprogress[Mining Level])</f>
        <v>0</v>
      </c>
      <c r="J27" s="15">
        <f>_xlfn.XLOOKUP(tblplaneteco[[#This Row],[Mining Level]],tblUpgradeStats[Level],tblUpgradeStats[Upgrade Price (per Level)],0)</f>
        <v>0</v>
      </c>
      <c r="K27" s="58">
        <f>_xlfn.XLOOKUP(tblplaneteco[[#This Row],[Planet '#]],tblprogress[Planet '#],tblprogress[Ship Level])</f>
        <v>0</v>
      </c>
      <c r="L27" s="15">
        <f>_xlfn.XLOOKUP(tblplaneteco[[#This Row],[Ship Level]],tblUpgradeStats[Level],tblUpgradeStats[Upgrade Price (per Level)],0)</f>
        <v>0</v>
      </c>
      <c r="M27" s="58">
        <f>_xlfn.XLOOKUP(tblplaneteco[[#This Row],[Planet '#]],tblprogress[Planet '#],tblprogress[Cargo Level])</f>
        <v>0</v>
      </c>
      <c r="N27" s="15">
        <f>_xlfn.XLOOKUP(tblplaneteco[[#This Row],[Cargo Level]],tblUpgradeStats[Level],tblUpgradeStats[Upgrade Price (per Level)],0)</f>
        <v>0</v>
      </c>
      <c r="O27" s="55" t="str">
        <f>IF(
   _xlfn.XLOOKUP(tblplaneteco[[#This Row],[Planet '#]], tblPlanets[Planet '#], tblPlanets[Name])=tblplaneteco[[#This Row],[Name]],
   "Match",
   "Mismatch"
)</f>
        <v>Match</v>
      </c>
    </row>
    <row r="28" spans="1:15" x14ac:dyDescent="0.3">
      <c r="A28" s="24">
        <v>27</v>
      </c>
      <c r="B28" s="24" t="str">
        <f>_xlfn.XLOOKUP(tblprogress[[#This Row],[Planet '#]],tblPlanets[Planet '#],tblPlanets[Name])</f>
        <v>Elysta</v>
      </c>
      <c r="C28" s="55">
        <f>IF(tblplaneteco[[#This Row],[Unlocked]]=1,"",tblplaneteco[[#This Row],[Unlock Price]])</f>
        <v>6400000000</v>
      </c>
      <c r="D28" s="55" t="str">
        <f>IF(tblplaneteco[[#This Row],[Unlocked]]=1,
   ROUND(tblplaneteco[[#This Row],[Mining Upgrade Cost]] * tblplaneteco[[#This Row],[Unlock Price]],0),
   ""
)</f>
        <v/>
      </c>
      <c r="E28" s="55" t="str">
        <f>IF(tblplaneteco[[#This Row],[Unlocked]]=1,
   ROUND(tblplaneteco[[#This Row],[Ship Upgrade Cost]] * tblplaneteco[[#This Row],[Unlock Price]],0),
   ""
)</f>
        <v/>
      </c>
      <c r="F28" s="55" t="str">
        <f>IF(tblplaneteco[[#This Row],[Unlocked]]=1,
   ROUND(tblplaneteco[[#This Row],[Cargo Upgrade Cost]] * tblplaneteco[[#This Row],[Unlock Price]],0),
   ""
)</f>
        <v/>
      </c>
      <c r="G28" s="56">
        <f>_xlfn.XLOOKUP(tblplaneteco[[#This Row],[Planet '#]],tblprogress[Planet '#],tblprogress[Unlocked])</f>
        <v>0</v>
      </c>
      <c r="H28" s="56">
        <f>_xlfn.XLOOKUP(tblplaneteco[[#This Row],[Planet '#]],tblPlanets[Planet '#],tblPlanets[Unlock Price])</f>
        <v>6400000000</v>
      </c>
      <c r="I28" s="58">
        <f>_xlfn.XLOOKUP(tblplaneteco[[#This Row],[Planet '#]],tblprogress[Planet '#],tblprogress[Mining Level])</f>
        <v>0</v>
      </c>
      <c r="J28" s="15">
        <f>_xlfn.XLOOKUP(tblplaneteco[[#This Row],[Mining Level]],tblUpgradeStats[Level],tblUpgradeStats[Upgrade Price (per Level)],0)</f>
        <v>0</v>
      </c>
      <c r="K28" s="58">
        <f>_xlfn.XLOOKUP(tblplaneteco[[#This Row],[Planet '#]],tblprogress[Planet '#],tblprogress[Ship Level])</f>
        <v>0</v>
      </c>
      <c r="L28" s="15">
        <f>_xlfn.XLOOKUP(tblplaneteco[[#This Row],[Ship Level]],tblUpgradeStats[Level],tblUpgradeStats[Upgrade Price (per Level)],0)</f>
        <v>0</v>
      </c>
      <c r="M28" s="58">
        <f>_xlfn.XLOOKUP(tblplaneteco[[#This Row],[Planet '#]],tblprogress[Planet '#],tblprogress[Cargo Level])</f>
        <v>0</v>
      </c>
      <c r="N28" s="15">
        <f>_xlfn.XLOOKUP(tblplaneteco[[#This Row],[Cargo Level]],tblUpgradeStats[Level],tblUpgradeStats[Upgrade Price (per Level)],0)</f>
        <v>0</v>
      </c>
      <c r="O28" s="55" t="str">
        <f>IF(
   _xlfn.XLOOKUP(tblplaneteco[[#This Row],[Planet '#]], tblPlanets[Planet '#], tblPlanets[Name])=tblplaneteco[[#This Row],[Name]],
   "Match",
   "Mismatch"
)</f>
        <v>Match</v>
      </c>
    </row>
    <row r="29" spans="1:15" x14ac:dyDescent="0.3">
      <c r="A29" s="25">
        <v>28</v>
      </c>
      <c r="B29" s="25" t="str">
        <f>_xlfn.XLOOKUP(tblprogress[[#This Row],[Planet '#]],tblPlanets[Planet '#],tblPlanets[Name])</f>
        <v>Tikkun</v>
      </c>
      <c r="C29" s="55">
        <f>IF(tblplaneteco[[#This Row],[Unlocked]]=1,"",tblplaneteco[[#This Row],[Unlock Price]])</f>
        <v>12500000000</v>
      </c>
      <c r="D29" s="55" t="str">
        <f>IF(tblplaneteco[[#This Row],[Unlocked]]=1,
   ROUND(tblplaneteco[[#This Row],[Mining Upgrade Cost]] * tblplaneteco[[#This Row],[Unlock Price]],0),
   ""
)</f>
        <v/>
      </c>
      <c r="E29" s="55" t="str">
        <f>IF(tblplaneteco[[#This Row],[Unlocked]]=1,
   ROUND(tblplaneteco[[#This Row],[Ship Upgrade Cost]] * tblplaneteco[[#This Row],[Unlock Price]],0),
   ""
)</f>
        <v/>
      </c>
      <c r="F29" s="55" t="str">
        <f>IF(tblplaneteco[[#This Row],[Unlocked]]=1,
   ROUND(tblplaneteco[[#This Row],[Cargo Upgrade Cost]] * tblplaneteco[[#This Row],[Unlock Price]],0),
   ""
)</f>
        <v/>
      </c>
      <c r="G29" s="14">
        <f>_xlfn.XLOOKUP(tblplaneteco[[#This Row],[Planet '#]],tblprogress[Planet '#],tblprogress[Unlocked])</f>
        <v>0</v>
      </c>
      <c r="H29" s="14">
        <f>_xlfn.XLOOKUP(tblplaneteco[[#This Row],[Planet '#]],tblPlanets[Planet '#],tblPlanets[Unlock Price])</f>
        <v>12500000000</v>
      </c>
      <c r="I29" s="58">
        <f>_xlfn.XLOOKUP(tblplaneteco[[#This Row],[Planet '#]],tblprogress[Planet '#],tblprogress[Mining Level])</f>
        <v>0</v>
      </c>
      <c r="J29" s="15">
        <f>_xlfn.XLOOKUP(tblplaneteco[[#This Row],[Mining Level]],tblUpgradeStats[Level],tblUpgradeStats[Upgrade Price (per Level)],0)</f>
        <v>0</v>
      </c>
      <c r="K29" s="58">
        <f>_xlfn.XLOOKUP(tblplaneteco[[#This Row],[Planet '#]],tblprogress[Planet '#],tblprogress[Ship Level])</f>
        <v>0</v>
      </c>
      <c r="L29" s="15">
        <f>_xlfn.XLOOKUP(tblplaneteco[[#This Row],[Ship Level]],tblUpgradeStats[Level],tblUpgradeStats[Upgrade Price (per Level)],0)</f>
        <v>0</v>
      </c>
      <c r="M29" s="58">
        <f>_xlfn.XLOOKUP(tblplaneteco[[#This Row],[Planet '#]],tblprogress[Planet '#],tblprogress[Cargo Level])</f>
        <v>0</v>
      </c>
      <c r="N29" s="15">
        <f>_xlfn.XLOOKUP(tblplaneteco[[#This Row],[Cargo Level]],tblUpgradeStats[Level],tblUpgradeStats[Upgrade Price (per Level)],0)</f>
        <v>0</v>
      </c>
      <c r="O29" s="55" t="str">
        <f>IF(
   _xlfn.XLOOKUP(tblplaneteco[[#This Row],[Planet '#]], tblPlanets[Planet '#], tblPlanets[Name])=tblplaneteco[[#This Row],[Name]],
   "Match",
   "Mismatch"
)</f>
        <v>Match</v>
      </c>
    </row>
    <row r="30" spans="1:15" x14ac:dyDescent="0.3">
      <c r="A30" s="24">
        <v>29</v>
      </c>
      <c r="B30" s="24" t="str">
        <f>_xlfn.XLOOKUP(tblprogress[[#This Row],[Planet '#]],tblPlanets[Planet '#],tblPlanets[Name])</f>
        <v>Satent</v>
      </c>
      <c r="C30" s="55">
        <f>IF(tblplaneteco[[#This Row],[Unlocked]]=1,"",tblplaneteco[[#This Row],[Unlock Price]])</f>
        <v>25000000000</v>
      </c>
      <c r="D30" s="55" t="str">
        <f>IF(tblplaneteco[[#This Row],[Unlocked]]=1,
   ROUND(tblplaneteco[[#This Row],[Mining Upgrade Cost]] * tblplaneteco[[#This Row],[Unlock Price]],0),
   ""
)</f>
        <v/>
      </c>
      <c r="E30" s="55" t="str">
        <f>IF(tblplaneteco[[#This Row],[Unlocked]]=1,
   ROUND(tblplaneteco[[#This Row],[Ship Upgrade Cost]] * tblplaneteco[[#This Row],[Unlock Price]],0),
   ""
)</f>
        <v/>
      </c>
      <c r="F30" s="55" t="str">
        <f>IF(tblplaneteco[[#This Row],[Unlocked]]=1,
   ROUND(tblplaneteco[[#This Row],[Cargo Upgrade Cost]] * tblplaneteco[[#This Row],[Unlock Price]],0),
   ""
)</f>
        <v/>
      </c>
      <c r="G30" s="56">
        <f>_xlfn.XLOOKUP(tblplaneteco[[#This Row],[Planet '#]],tblprogress[Planet '#],tblprogress[Unlocked])</f>
        <v>0</v>
      </c>
      <c r="H30" s="56">
        <f>_xlfn.XLOOKUP(tblplaneteco[[#This Row],[Planet '#]],tblPlanets[Planet '#],tblPlanets[Unlock Price])</f>
        <v>25000000000</v>
      </c>
      <c r="I30" s="58">
        <f>_xlfn.XLOOKUP(tblplaneteco[[#This Row],[Planet '#]],tblprogress[Planet '#],tblprogress[Mining Level])</f>
        <v>0</v>
      </c>
      <c r="J30" s="15">
        <f>_xlfn.XLOOKUP(tblplaneteco[[#This Row],[Mining Level]],tblUpgradeStats[Level],tblUpgradeStats[Upgrade Price (per Level)],0)</f>
        <v>0</v>
      </c>
      <c r="K30" s="58">
        <f>_xlfn.XLOOKUP(tblplaneteco[[#This Row],[Planet '#]],tblprogress[Planet '#],tblprogress[Ship Level])</f>
        <v>0</v>
      </c>
      <c r="L30" s="15">
        <f>_xlfn.XLOOKUP(tblplaneteco[[#This Row],[Ship Level]],tblUpgradeStats[Level],tblUpgradeStats[Upgrade Price (per Level)],0)</f>
        <v>0</v>
      </c>
      <c r="M30" s="58">
        <f>_xlfn.XLOOKUP(tblplaneteco[[#This Row],[Planet '#]],tblprogress[Planet '#],tblprogress[Cargo Level])</f>
        <v>0</v>
      </c>
      <c r="N30" s="15">
        <f>_xlfn.XLOOKUP(tblplaneteco[[#This Row],[Cargo Level]],tblUpgradeStats[Level],tblUpgradeStats[Upgrade Price (per Level)],0)</f>
        <v>0</v>
      </c>
      <c r="O30" s="55" t="str">
        <f>IF(
   _xlfn.XLOOKUP(tblplaneteco[[#This Row],[Planet '#]], tblPlanets[Planet '#], tblPlanets[Name])=tblplaneteco[[#This Row],[Name]],
   "Match",
   "Mismatch"
)</f>
        <v>Match</v>
      </c>
    </row>
    <row r="31" spans="1:15" x14ac:dyDescent="0.3">
      <c r="A31" s="25">
        <v>30</v>
      </c>
      <c r="B31" s="25" t="str">
        <f>_xlfn.XLOOKUP(tblprogress[[#This Row],[Planet '#]],tblPlanets[Planet '#],tblPlanets[Name])</f>
        <v>Urla Rast</v>
      </c>
      <c r="C31" s="55">
        <f>IF(tblplaneteco[[#This Row],[Unlocked]]=1,"",tblplaneteco[[#This Row],[Unlock Price]])</f>
        <v>50000000000</v>
      </c>
      <c r="D31" s="55" t="str">
        <f>IF(tblplaneteco[[#This Row],[Unlocked]]=1,
   ROUND(tblplaneteco[[#This Row],[Mining Upgrade Cost]] * tblplaneteco[[#This Row],[Unlock Price]],0),
   ""
)</f>
        <v/>
      </c>
      <c r="E31" s="55" t="str">
        <f>IF(tblplaneteco[[#This Row],[Unlocked]]=1,
   ROUND(tblplaneteco[[#This Row],[Ship Upgrade Cost]] * tblplaneteco[[#This Row],[Unlock Price]],0),
   ""
)</f>
        <v/>
      </c>
      <c r="F31" s="55" t="str">
        <f>IF(tblplaneteco[[#This Row],[Unlocked]]=1,
   ROUND(tblplaneteco[[#This Row],[Cargo Upgrade Cost]] * tblplaneteco[[#This Row],[Unlock Price]],0),
   ""
)</f>
        <v/>
      </c>
      <c r="G31" s="14">
        <f>_xlfn.XLOOKUP(tblplaneteco[[#This Row],[Planet '#]],tblprogress[Planet '#],tblprogress[Unlocked])</f>
        <v>0</v>
      </c>
      <c r="H31" s="14">
        <f>_xlfn.XLOOKUP(tblplaneteco[[#This Row],[Planet '#]],tblPlanets[Planet '#],tblPlanets[Unlock Price])</f>
        <v>50000000000</v>
      </c>
      <c r="I31" s="58">
        <f>_xlfn.XLOOKUP(tblplaneteco[[#This Row],[Planet '#]],tblprogress[Planet '#],tblprogress[Mining Level])</f>
        <v>0</v>
      </c>
      <c r="J31" s="15">
        <f>_xlfn.XLOOKUP(tblplaneteco[[#This Row],[Mining Level]],tblUpgradeStats[Level],tblUpgradeStats[Upgrade Price (per Level)],0)</f>
        <v>0</v>
      </c>
      <c r="K31" s="58">
        <f>_xlfn.XLOOKUP(tblplaneteco[[#This Row],[Planet '#]],tblprogress[Planet '#],tblprogress[Ship Level])</f>
        <v>0</v>
      </c>
      <c r="L31" s="15">
        <f>_xlfn.XLOOKUP(tblplaneteco[[#This Row],[Ship Level]],tblUpgradeStats[Level],tblUpgradeStats[Upgrade Price (per Level)],0)</f>
        <v>0</v>
      </c>
      <c r="M31" s="58">
        <f>_xlfn.XLOOKUP(tblplaneteco[[#This Row],[Planet '#]],tblprogress[Planet '#],tblprogress[Cargo Level])</f>
        <v>0</v>
      </c>
      <c r="N31" s="15">
        <f>_xlfn.XLOOKUP(tblplaneteco[[#This Row],[Cargo Level]],tblUpgradeStats[Level],tblUpgradeStats[Upgrade Price (per Level)],0)</f>
        <v>0</v>
      </c>
      <c r="O31" s="55" t="str">
        <f>IF(
   _xlfn.XLOOKUP(tblplaneteco[[#This Row],[Planet '#]], tblPlanets[Planet '#], tblPlanets[Name])=tblplaneteco[[#This Row],[Name]],
   "Match",
   "Mismatch"
)</f>
        <v>Match</v>
      </c>
    </row>
    <row r="32" spans="1:15" x14ac:dyDescent="0.3">
      <c r="A32" s="24">
        <v>31</v>
      </c>
      <c r="B32" s="24" t="str">
        <f>_xlfn.XLOOKUP(tblprogress[[#This Row],[Planet '#]],tblPlanets[Planet '#],tblPlanets[Name])</f>
        <v>Vular</v>
      </c>
      <c r="C32" s="55">
        <f>IF(tblplaneteco[[#This Row],[Unlocked]]=1,"",tblplaneteco[[#This Row],[Unlock Price]])</f>
        <v>100000000000</v>
      </c>
      <c r="D32" s="55" t="str">
        <f>IF(tblplaneteco[[#This Row],[Unlocked]]=1,
   ROUND(tblplaneteco[[#This Row],[Mining Upgrade Cost]] * tblplaneteco[[#This Row],[Unlock Price]],0),
   ""
)</f>
        <v/>
      </c>
      <c r="E32" s="55" t="str">
        <f>IF(tblplaneteco[[#This Row],[Unlocked]]=1,
   ROUND(tblplaneteco[[#This Row],[Ship Upgrade Cost]] * tblplaneteco[[#This Row],[Unlock Price]],0),
   ""
)</f>
        <v/>
      </c>
      <c r="F32" s="55" t="str">
        <f>IF(tblplaneteco[[#This Row],[Unlocked]]=1,
   ROUND(tblplaneteco[[#This Row],[Cargo Upgrade Cost]] * tblplaneteco[[#This Row],[Unlock Price]],0),
   ""
)</f>
        <v/>
      </c>
      <c r="G32" s="56">
        <f>_xlfn.XLOOKUP(tblplaneteco[[#This Row],[Planet '#]],tblprogress[Planet '#],tblprogress[Unlocked])</f>
        <v>0</v>
      </c>
      <c r="H32" s="56">
        <f>_xlfn.XLOOKUP(tblplaneteco[[#This Row],[Planet '#]],tblPlanets[Planet '#],tblPlanets[Unlock Price])</f>
        <v>100000000000</v>
      </c>
      <c r="I32" s="58">
        <f>_xlfn.XLOOKUP(tblplaneteco[[#This Row],[Planet '#]],tblprogress[Planet '#],tblprogress[Mining Level])</f>
        <v>0</v>
      </c>
      <c r="J32" s="15">
        <f>_xlfn.XLOOKUP(tblplaneteco[[#This Row],[Mining Level]],tblUpgradeStats[Level],tblUpgradeStats[Upgrade Price (per Level)],0)</f>
        <v>0</v>
      </c>
      <c r="K32" s="58">
        <f>_xlfn.XLOOKUP(tblplaneteco[[#This Row],[Planet '#]],tblprogress[Planet '#],tblprogress[Ship Level])</f>
        <v>0</v>
      </c>
      <c r="L32" s="15">
        <f>_xlfn.XLOOKUP(tblplaneteco[[#This Row],[Ship Level]],tblUpgradeStats[Level],tblUpgradeStats[Upgrade Price (per Level)],0)</f>
        <v>0</v>
      </c>
      <c r="M32" s="58">
        <f>_xlfn.XLOOKUP(tblplaneteco[[#This Row],[Planet '#]],tblprogress[Planet '#],tblprogress[Cargo Level])</f>
        <v>0</v>
      </c>
      <c r="N32" s="15">
        <f>_xlfn.XLOOKUP(tblplaneteco[[#This Row],[Cargo Level]],tblUpgradeStats[Level],tblUpgradeStats[Upgrade Price (per Level)],0)</f>
        <v>0</v>
      </c>
      <c r="O32" s="55" t="str">
        <f>IF(
   _xlfn.XLOOKUP(tblplaneteco[[#This Row],[Planet '#]], tblPlanets[Planet '#], tblPlanets[Name])=tblplaneteco[[#This Row],[Name]],
   "Match",
   "Mismatch"
)</f>
        <v>Match</v>
      </c>
    </row>
    <row r="33" spans="1:15" x14ac:dyDescent="0.3">
      <c r="A33" s="25">
        <v>32</v>
      </c>
      <c r="B33" s="25" t="str">
        <f>_xlfn.XLOOKUP(tblprogress[[#This Row],[Planet '#]],tblPlanets[Planet '#],tblPlanets[Name])</f>
        <v>Nibiru</v>
      </c>
      <c r="C33" s="55">
        <f>IF(tblplaneteco[[#This Row],[Unlocked]]=1,"",tblplaneteco[[#This Row],[Unlock Price]])</f>
        <v>250000000000</v>
      </c>
      <c r="D33" s="55" t="str">
        <f>IF(tblplaneteco[[#This Row],[Unlocked]]=1,
   ROUND(tblplaneteco[[#This Row],[Mining Upgrade Cost]] * tblplaneteco[[#This Row],[Unlock Price]],0),
   ""
)</f>
        <v/>
      </c>
      <c r="E33" s="55" t="str">
        <f>IF(tblplaneteco[[#This Row],[Unlocked]]=1,
   ROUND(tblplaneteco[[#This Row],[Ship Upgrade Cost]] * tblplaneteco[[#This Row],[Unlock Price]],0),
   ""
)</f>
        <v/>
      </c>
      <c r="F33" s="55" t="str">
        <f>IF(tblplaneteco[[#This Row],[Unlocked]]=1,
   ROUND(tblplaneteco[[#This Row],[Cargo Upgrade Cost]] * tblplaneteco[[#This Row],[Unlock Price]],0),
   ""
)</f>
        <v/>
      </c>
      <c r="G33" s="14">
        <f>_xlfn.XLOOKUP(tblplaneteco[[#This Row],[Planet '#]],tblprogress[Planet '#],tblprogress[Unlocked])</f>
        <v>0</v>
      </c>
      <c r="H33" s="14">
        <f>_xlfn.XLOOKUP(tblplaneteco[[#This Row],[Planet '#]],tblPlanets[Planet '#],tblPlanets[Unlock Price])</f>
        <v>250000000000</v>
      </c>
      <c r="I33" s="58">
        <f>_xlfn.XLOOKUP(tblplaneteco[[#This Row],[Planet '#]],tblprogress[Planet '#],tblprogress[Mining Level])</f>
        <v>0</v>
      </c>
      <c r="J33" s="15">
        <f>_xlfn.XLOOKUP(tblplaneteco[[#This Row],[Mining Level]],tblUpgradeStats[Level],tblUpgradeStats[Upgrade Price (per Level)],0)</f>
        <v>0</v>
      </c>
      <c r="K33" s="58">
        <f>_xlfn.XLOOKUP(tblplaneteco[[#This Row],[Planet '#]],tblprogress[Planet '#],tblprogress[Ship Level])</f>
        <v>0</v>
      </c>
      <c r="L33" s="15">
        <f>_xlfn.XLOOKUP(tblplaneteco[[#This Row],[Ship Level]],tblUpgradeStats[Level],tblUpgradeStats[Upgrade Price (per Level)],0)</f>
        <v>0</v>
      </c>
      <c r="M33" s="58">
        <f>_xlfn.XLOOKUP(tblplaneteco[[#This Row],[Planet '#]],tblprogress[Planet '#],tblprogress[Cargo Level])</f>
        <v>0</v>
      </c>
      <c r="N33" s="15">
        <f>_xlfn.XLOOKUP(tblplaneteco[[#This Row],[Cargo Level]],tblUpgradeStats[Level],tblUpgradeStats[Upgrade Price (per Level)],0)</f>
        <v>0</v>
      </c>
      <c r="O33" s="55" t="str">
        <f>IF(
   _xlfn.XLOOKUP(tblplaneteco[[#This Row],[Planet '#]], tblPlanets[Planet '#], tblPlanets[Name])=tblplaneteco[[#This Row],[Name]],
   "Match",
   "Mismatch"
)</f>
        <v>Match</v>
      </c>
    </row>
    <row r="34" spans="1:15" x14ac:dyDescent="0.3">
      <c r="A34" s="24">
        <v>33</v>
      </c>
      <c r="B34" s="24" t="str">
        <f>_xlfn.XLOOKUP(tblprogress[[#This Row],[Planet '#]],tblPlanets[Planet '#],tblPlanets[Name])</f>
        <v>Xena</v>
      </c>
      <c r="C34" s="55">
        <f>IF(tblplaneteco[[#This Row],[Unlocked]]=1,"",tblplaneteco[[#This Row],[Unlock Price]])</f>
        <v>600000000000</v>
      </c>
      <c r="D34" s="55" t="str">
        <f>IF(tblplaneteco[[#This Row],[Unlocked]]=1,
   ROUND(tblplaneteco[[#This Row],[Mining Upgrade Cost]] * tblplaneteco[[#This Row],[Unlock Price]],0),
   ""
)</f>
        <v/>
      </c>
      <c r="E34" s="55" t="str">
        <f>IF(tblplaneteco[[#This Row],[Unlocked]]=1,
   ROUND(tblplaneteco[[#This Row],[Ship Upgrade Cost]] * tblplaneteco[[#This Row],[Unlock Price]],0),
   ""
)</f>
        <v/>
      </c>
      <c r="F34" s="55" t="str">
        <f>IF(tblplaneteco[[#This Row],[Unlocked]]=1,
   ROUND(tblplaneteco[[#This Row],[Cargo Upgrade Cost]] * tblplaneteco[[#This Row],[Unlock Price]],0),
   ""
)</f>
        <v/>
      </c>
      <c r="G34" s="56">
        <f>_xlfn.XLOOKUP(tblplaneteco[[#This Row],[Planet '#]],tblprogress[Planet '#],tblprogress[Unlocked])</f>
        <v>0</v>
      </c>
      <c r="H34" s="56">
        <f>_xlfn.XLOOKUP(tblplaneteco[[#This Row],[Planet '#]],tblPlanets[Planet '#],tblPlanets[Unlock Price])</f>
        <v>600000000000</v>
      </c>
      <c r="I34" s="58">
        <f>_xlfn.XLOOKUP(tblplaneteco[[#This Row],[Planet '#]],tblprogress[Planet '#],tblprogress[Mining Level])</f>
        <v>0</v>
      </c>
      <c r="J34" s="15">
        <f>_xlfn.XLOOKUP(tblplaneteco[[#This Row],[Mining Level]],tblUpgradeStats[Level],tblUpgradeStats[Upgrade Price (per Level)],0)</f>
        <v>0</v>
      </c>
      <c r="K34" s="58">
        <f>_xlfn.XLOOKUP(tblplaneteco[[#This Row],[Planet '#]],tblprogress[Planet '#],tblprogress[Ship Level])</f>
        <v>0</v>
      </c>
      <c r="L34" s="15">
        <f>_xlfn.XLOOKUP(tblplaneteco[[#This Row],[Ship Level]],tblUpgradeStats[Level],tblUpgradeStats[Upgrade Price (per Level)],0)</f>
        <v>0</v>
      </c>
      <c r="M34" s="58">
        <f>_xlfn.XLOOKUP(tblplaneteco[[#This Row],[Planet '#]],tblprogress[Planet '#],tblprogress[Cargo Level])</f>
        <v>0</v>
      </c>
      <c r="N34" s="15">
        <f>_xlfn.XLOOKUP(tblplaneteco[[#This Row],[Cargo Level]],tblUpgradeStats[Level],tblUpgradeStats[Upgrade Price (per Level)],0)</f>
        <v>0</v>
      </c>
      <c r="O34" s="55" t="str">
        <f>IF(
   _xlfn.XLOOKUP(tblplaneteco[[#This Row],[Planet '#]], tblPlanets[Planet '#], tblPlanets[Name])=tblplaneteco[[#This Row],[Name]],
   "Match",
   "Mismatch"
)</f>
        <v>Match</v>
      </c>
    </row>
    <row r="35" spans="1:15" x14ac:dyDescent="0.3">
      <c r="A35" s="25">
        <v>34</v>
      </c>
      <c r="B35" s="25" t="str">
        <f>_xlfn.XLOOKUP(tblprogress[[#This Row],[Planet '#]],tblPlanets[Planet '#],tblPlanets[Name])</f>
        <v>Rupert</v>
      </c>
      <c r="C35" s="55">
        <f>IF(tblplaneteco[[#This Row],[Unlocked]]=1,"",tblplaneteco[[#This Row],[Unlock Price]])</f>
        <v>1500000000000</v>
      </c>
      <c r="D35" s="55" t="str">
        <f>IF(tblplaneteco[[#This Row],[Unlocked]]=1,
   ROUND(tblplaneteco[[#This Row],[Mining Upgrade Cost]] * tblplaneteco[[#This Row],[Unlock Price]],0),
   ""
)</f>
        <v/>
      </c>
      <c r="E35" s="55" t="str">
        <f>IF(tblplaneteco[[#This Row],[Unlocked]]=1,
   ROUND(tblplaneteco[[#This Row],[Ship Upgrade Cost]] * tblplaneteco[[#This Row],[Unlock Price]],0),
   ""
)</f>
        <v/>
      </c>
      <c r="F35" s="55" t="str">
        <f>IF(tblplaneteco[[#This Row],[Unlocked]]=1,
   ROUND(tblplaneteco[[#This Row],[Cargo Upgrade Cost]] * tblplaneteco[[#This Row],[Unlock Price]],0),
   ""
)</f>
        <v/>
      </c>
      <c r="G35" s="14">
        <f>_xlfn.XLOOKUP(tblplaneteco[[#This Row],[Planet '#]],tblprogress[Planet '#],tblprogress[Unlocked])</f>
        <v>0</v>
      </c>
      <c r="H35" s="14">
        <f>_xlfn.XLOOKUP(tblplaneteco[[#This Row],[Planet '#]],tblPlanets[Planet '#],tblPlanets[Unlock Price])</f>
        <v>1500000000000</v>
      </c>
      <c r="I35" s="58">
        <f>_xlfn.XLOOKUP(tblplaneteco[[#This Row],[Planet '#]],tblprogress[Planet '#],tblprogress[Mining Level])</f>
        <v>0</v>
      </c>
      <c r="J35" s="15">
        <f>_xlfn.XLOOKUP(tblplaneteco[[#This Row],[Mining Level]],tblUpgradeStats[Level],tblUpgradeStats[Upgrade Price (per Level)],0)</f>
        <v>0</v>
      </c>
      <c r="K35" s="58">
        <f>_xlfn.XLOOKUP(tblplaneteco[[#This Row],[Planet '#]],tblprogress[Planet '#],tblprogress[Ship Level])</f>
        <v>0</v>
      </c>
      <c r="L35" s="15">
        <f>_xlfn.XLOOKUP(tblplaneteco[[#This Row],[Ship Level]],tblUpgradeStats[Level],tblUpgradeStats[Upgrade Price (per Level)],0)</f>
        <v>0</v>
      </c>
      <c r="M35" s="58">
        <f>_xlfn.XLOOKUP(tblplaneteco[[#This Row],[Planet '#]],tblprogress[Planet '#],tblprogress[Cargo Level])</f>
        <v>0</v>
      </c>
      <c r="N35" s="15">
        <f>_xlfn.XLOOKUP(tblplaneteco[[#This Row],[Cargo Level]],tblUpgradeStats[Level],tblUpgradeStats[Upgrade Price (per Level)],0)</f>
        <v>0</v>
      </c>
      <c r="O35" s="55" t="str">
        <f>IF(
   _xlfn.XLOOKUP(tblplaneteco[[#This Row],[Planet '#]], tblPlanets[Planet '#], tblPlanets[Name])=tblplaneteco[[#This Row],[Name]],
   "Match",
   "Mismatch"
)</f>
        <v>Match</v>
      </c>
    </row>
    <row r="36" spans="1:15" x14ac:dyDescent="0.3">
      <c r="A36" s="24">
        <v>35</v>
      </c>
      <c r="B36" s="24" t="str">
        <f>_xlfn.XLOOKUP(tblprogress[[#This Row],[Planet '#]],tblPlanets[Planet '#],tblPlanets[Name])</f>
        <v>Pax</v>
      </c>
      <c r="C36" s="55">
        <f>IF(tblplaneteco[[#This Row],[Unlocked]]=1,"",tblplaneteco[[#This Row],[Unlock Price]])</f>
        <v>4000000000000</v>
      </c>
      <c r="D36" s="55" t="str">
        <f>IF(tblplaneteco[[#This Row],[Unlocked]]=1,
   ROUND(tblplaneteco[[#This Row],[Mining Upgrade Cost]] * tblplaneteco[[#This Row],[Unlock Price]],0),
   ""
)</f>
        <v/>
      </c>
      <c r="E36" s="55" t="str">
        <f>IF(tblplaneteco[[#This Row],[Unlocked]]=1,
   ROUND(tblplaneteco[[#This Row],[Ship Upgrade Cost]] * tblplaneteco[[#This Row],[Unlock Price]],0),
   ""
)</f>
        <v/>
      </c>
      <c r="F36" s="55" t="str">
        <f>IF(tblplaneteco[[#This Row],[Unlocked]]=1,
   ROUND(tblplaneteco[[#This Row],[Cargo Upgrade Cost]] * tblplaneteco[[#This Row],[Unlock Price]],0),
   ""
)</f>
        <v/>
      </c>
      <c r="G36" s="56">
        <f>_xlfn.XLOOKUP(tblplaneteco[[#This Row],[Planet '#]],tblprogress[Planet '#],tblprogress[Unlocked])</f>
        <v>0</v>
      </c>
      <c r="H36" s="56">
        <f>_xlfn.XLOOKUP(tblplaneteco[[#This Row],[Planet '#]],tblPlanets[Planet '#],tblPlanets[Unlock Price])</f>
        <v>4000000000000</v>
      </c>
      <c r="I36" s="58">
        <f>_xlfn.XLOOKUP(tblplaneteco[[#This Row],[Planet '#]],tblprogress[Planet '#],tblprogress[Mining Level])</f>
        <v>0</v>
      </c>
      <c r="J36" s="15">
        <f>_xlfn.XLOOKUP(tblplaneteco[[#This Row],[Mining Level]],tblUpgradeStats[Level],tblUpgradeStats[Upgrade Price (per Level)],0)</f>
        <v>0</v>
      </c>
      <c r="K36" s="58">
        <f>_xlfn.XLOOKUP(tblplaneteco[[#This Row],[Planet '#]],tblprogress[Planet '#],tblprogress[Ship Level])</f>
        <v>0</v>
      </c>
      <c r="L36" s="15">
        <f>_xlfn.XLOOKUP(tblplaneteco[[#This Row],[Ship Level]],tblUpgradeStats[Level],tblUpgradeStats[Upgrade Price (per Level)],0)</f>
        <v>0</v>
      </c>
      <c r="M36" s="58">
        <f>_xlfn.XLOOKUP(tblplaneteco[[#This Row],[Planet '#]],tblprogress[Planet '#],tblprogress[Cargo Level])</f>
        <v>0</v>
      </c>
      <c r="N36" s="15">
        <f>_xlfn.XLOOKUP(tblplaneteco[[#This Row],[Cargo Level]],tblUpgradeStats[Level],tblUpgradeStats[Upgrade Price (per Level)],0)</f>
        <v>0</v>
      </c>
      <c r="O36" s="55" t="str">
        <f>IF(
   _xlfn.XLOOKUP(tblplaneteco[[#This Row],[Planet '#]], tblPlanets[Planet '#], tblPlanets[Name])=tblplaneteco[[#This Row],[Name]],
   "Match",
   "Mismatch"
)</f>
        <v>Match</v>
      </c>
    </row>
    <row r="37" spans="1:15" x14ac:dyDescent="0.3">
      <c r="A37" s="25">
        <v>36</v>
      </c>
      <c r="B37" s="25" t="str">
        <f>_xlfn.XLOOKUP(tblprogress[[#This Row],[Planet '#]],tblPlanets[Planet '#],tblPlanets[Name])</f>
        <v>Ivyra</v>
      </c>
      <c r="C37" s="55">
        <f>IF(tblplaneteco[[#This Row],[Unlocked]]=1,"",tblplaneteco[[#This Row],[Unlock Price]])</f>
        <v>10000000000000</v>
      </c>
      <c r="D37" s="55" t="str">
        <f>IF(tblplaneteco[[#This Row],[Unlocked]]=1,
   ROUND(tblplaneteco[[#This Row],[Mining Upgrade Cost]] * tblplaneteco[[#This Row],[Unlock Price]],0),
   ""
)</f>
        <v/>
      </c>
      <c r="E37" s="55" t="str">
        <f>IF(tblplaneteco[[#This Row],[Unlocked]]=1,
   ROUND(tblplaneteco[[#This Row],[Ship Upgrade Cost]] * tblplaneteco[[#This Row],[Unlock Price]],0),
   ""
)</f>
        <v/>
      </c>
      <c r="F37" s="55" t="str">
        <f>IF(tblplaneteco[[#This Row],[Unlocked]]=1,
   ROUND(tblplaneteco[[#This Row],[Cargo Upgrade Cost]] * tblplaneteco[[#This Row],[Unlock Price]],0),
   ""
)</f>
        <v/>
      </c>
      <c r="G37" s="14">
        <f>_xlfn.XLOOKUP(tblplaneteco[[#This Row],[Planet '#]],tblprogress[Planet '#],tblprogress[Unlocked])</f>
        <v>0</v>
      </c>
      <c r="H37" s="14">
        <f>_xlfn.XLOOKUP(tblplaneteco[[#This Row],[Planet '#]],tblPlanets[Planet '#],tblPlanets[Unlock Price])</f>
        <v>10000000000000</v>
      </c>
      <c r="I37" s="58">
        <f>_xlfn.XLOOKUP(tblplaneteco[[#This Row],[Planet '#]],tblprogress[Planet '#],tblprogress[Mining Level])</f>
        <v>0</v>
      </c>
      <c r="J37" s="15">
        <f>_xlfn.XLOOKUP(tblplaneteco[[#This Row],[Mining Level]],tblUpgradeStats[Level],tblUpgradeStats[Upgrade Price (per Level)],0)</f>
        <v>0</v>
      </c>
      <c r="K37" s="58">
        <f>_xlfn.XLOOKUP(tblplaneteco[[#This Row],[Planet '#]],tblprogress[Planet '#],tblprogress[Ship Level])</f>
        <v>0</v>
      </c>
      <c r="L37" s="15">
        <f>_xlfn.XLOOKUP(tblplaneteco[[#This Row],[Ship Level]],tblUpgradeStats[Level],tblUpgradeStats[Upgrade Price (per Level)],0)</f>
        <v>0</v>
      </c>
      <c r="M37" s="58">
        <f>_xlfn.XLOOKUP(tblplaneteco[[#This Row],[Planet '#]],tblprogress[Planet '#],tblprogress[Cargo Level])</f>
        <v>0</v>
      </c>
      <c r="N37" s="15">
        <f>_xlfn.XLOOKUP(tblplaneteco[[#This Row],[Cargo Level]],tblUpgradeStats[Level],tblUpgradeStats[Upgrade Price (per Level)],0)</f>
        <v>0</v>
      </c>
      <c r="O37" s="55" t="str">
        <f>IF(
   _xlfn.XLOOKUP(tblplaneteco[[#This Row],[Planet '#]], tblPlanets[Planet '#], tblPlanets[Name])=tblplaneteco[[#This Row],[Name]],
   "Match",
   "Mismatch"
)</f>
        <v>Match</v>
      </c>
    </row>
    <row r="38" spans="1:15" x14ac:dyDescent="0.3">
      <c r="A38" s="24">
        <v>37</v>
      </c>
      <c r="B38" s="24" t="str">
        <f>_xlfn.XLOOKUP(tblprogress[[#This Row],[Planet '#]],tblPlanets[Planet '#],tblPlanets[Name])</f>
        <v>Utritis</v>
      </c>
      <c r="C38" s="55">
        <f>IF(tblplaneteco[[#This Row],[Unlocked]]=1,"",tblplaneteco[[#This Row],[Unlock Price]])</f>
        <v>25000000000000</v>
      </c>
      <c r="D38" s="55" t="str">
        <f>IF(tblplaneteco[[#This Row],[Unlocked]]=1,
   ROUND(tblplaneteco[[#This Row],[Mining Upgrade Cost]] * tblplaneteco[[#This Row],[Unlock Price]],0),
   ""
)</f>
        <v/>
      </c>
      <c r="E38" s="55" t="str">
        <f>IF(tblplaneteco[[#This Row],[Unlocked]]=1,
   ROUND(tblplaneteco[[#This Row],[Ship Upgrade Cost]] * tblplaneteco[[#This Row],[Unlock Price]],0),
   ""
)</f>
        <v/>
      </c>
      <c r="F38" s="55" t="str">
        <f>IF(tblplaneteco[[#This Row],[Unlocked]]=1,
   ROUND(tblplaneteco[[#This Row],[Cargo Upgrade Cost]] * tblplaneteco[[#This Row],[Unlock Price]],0),
   ""
)</f>
        <v/>
      </c>
      <c r="G38" s="56">
        <f>_xlfn.XLOOKUP(tblplaneteco[[#This Row],[Planet '#]],tblprogress[Planet '#],tblprogress[Unlocked])</f>
        <v>0</v>
      </c>
      <c r="H38" s="56">
        <f>_xlfn.XLOOKUP(tblplaneteco[[#This Row],[Planet '#]],tblPlanets[Planet '#],tblPlanets[Unlock Price])</f>
        <v>25000000000000</v>
      </c>
      <c r="I38" s="58">
        <f>_xlfn.XLOOKUP(tblplaneteco[[#This Row],[Planet '#]],tblprogress[Planet '#],tblprogress[Mining Level])</f>
        <v>0</v>
      </c>
      <c r="J38" s="15">
        <f>_xlfn.XLOOKUP(tblplaneteco[[#This Row],[Mining Level]],tblUpgradeStats[Level],tblUpgradeStats[Upgrade Price (per Level)],0)</f>
        <v>0</v>
      </c>
      <c r="K38" s="58">
        <f>_xlfn.XLOOKUP(tblplaneteco[[#This Row],[Planet '#]],tblprogress[Planet '#],tblprogress[Ship Level])</f>
        <v>0</v>
      </c>
      <c r="L38" s="15">
        <f>_xlfn.XLOOKUP(tblplaneteco[[#This Row],[Ship Level]],tblUpgradeStats[Level],tblUpgradeStats[Upgrade Price (per Level)],0)</f>
        <v>0</v>
      </c>
      <c r="M38" s="58">
        <f>_xlfn.XLOOKUP(tblplaneteco[[#This Row],[Planet '#]],tblprogress[Planet '#],tblprogress[Cargo Level])</f>
        <v>0</v>
      </c>
      <c r="N38" s="15">
        <f>_xlfn.XLOOKUP(tblplaneteco[[#This Row],[Cargo Level]],tblUpgradeStats[Level],tblUpgradeStats[Upgrade Price (per Level)],0)</f>
        <v>0</v>
      </c>
      <c r="O38" s="55" t="str">
        <f>IF(
   _xlfn.XLOOKUP(tblplaneteco[[#This Row],[Planet '#]], tblPlanets[Planet '#], tblPlanets[Name])=tblplaneteco[[#This Row],[Name]],
   "Match",
   "Mismatch"
)</f>
        <v>Match</v>
      </c>
    </row>
    <row r="39" spans="1:15" x14ac:dyDescent="0.3">
      <c r="A39" s="25">
        <v>38</v>
      </c>
      <c r="B39" s="25" t="str">
        <f>_xlfn.XLOOKUP(tblprogress[[#This Row],[Planet '#]],tblPlanets[Planet '#],tblPlanets[Name])</f>
        <v>Dosie</v>
      </c>
      <c r="C39" s="55">
        <f>IF(tblplaneteco[[#This Row],[Unlocked]]=1,"",tblplaneteco[[#This Row],[Unlock Price]])</f>
        <v>62000000000000</v>
      </c>
      <c r="D39" s="55" t="str">
        <f>IF(tblplaneteco[[#This Row],[Unlocked]]=1,
   ROUND(tblplaneteco[[#This Row],[Mining Upgrade Cost]] * tblplaneteco[[#This Row],[Unlock Price]],0),
   ""
)</f>
        <v/>
      </c>
      <c r="E39" s="55" t="str">
        <f>IF(tblplaneteco[[#This Row],[Unlocked]]=1,
   ROUND(tblplaneteco[[#This Row],[Ship Upgrade Cost]] * tblplaneteco[[#This Row],[Unlock Price]],0),
   ""
)</f>
        <v/>
      </c>
      <c r="F39" s="55" t="str">
        <f>IF(tblplaneteco[[#This Row],[Unlocked]]=1,
   ROUND(tblplaneteco[[#This Row],[Cargo Upgrade Cost]] * tblplaneteco[[#This Row],[Unlock Price]],0),
   ""
)</f>
        <v/>
      </c>
      <c r="G39" s="14">
        <f>_xlfn.XLOOKUP(tblplaneteco[[#This Row],[Planet '#]],tblprogress[Planet '#],tblprogress[Unlocked])</f>
        <v>0</v>
      </c>
      <c r="H39" s="14">
        <f>_xlfn.XLOOKUP(tblplaneteco[[#This Row],[Planet '#]],tblPlanets[Planet '#],tblPlanets[Unlock Price])</f>
        <v>62000000000000</v>
      </c>
      <c r="I39" s="58">
        <f>_xlfn.XLOOKUP(tblplaneteco[[#This Row],[Planet '#]],tblprogress[Planet '#],tblprogress[Mining Level])</f>
        <v>0</v>
      </c>
      <c r="J39" s="15">
        <f>_xlfn.XLOOKUP(tblplaneteco[[#This Row],[Mining Level]],tblUpgradeStats[Level],tblUpgradeStats[Upgrade Price (per Level)],0)</f>
        <v>0</v>
      </c>
      <c r="K39" s="58">
        <f>_xlfn.XLOOKUP(tblplaneteco[[#This Row],[Planet '#]],tblprogress[Planet '#],tblprogress[Ship Level])</f>
        <v>0</v>
      </c>
      <c r="L39" s="15">
        <f>_xlfn.XLOOKUP(tblplaneteco[[#This Row],[Ship Level]],tblUpgradeStats[Level],tblUpgradeStats[Upgrade Price (per Level)],0)</f>
        <v>0</v>
      </c>
      <c r="M39" s="58">
        <f>_xlfn.XLOOKUP(tblplaneteco[[#This Row],[Planet '#]],tblprogress[Planet '#],tblprogress[Cargo Level])</f>
        <v>0</v>
      </c>
      <c r="N39" s="15">
        <f>_xlfn.XLOOKUP(tblplaneteco[[#This Row],[Cargo Level]],tblUpgradeStats[Level],tblUpgradeStats[Upgrade Price (per Level)],0)</f>
        <v>0</v>
      </c>
      <c r="O39" s="55" t="str">
        <f>IF(
   _xlfn.XLOOKUP(tblplaneteco[[#This Row],[Planet '#]], tblPlanets[Planet '#], tblPlanets[Name])=tblplaneteco[[#This Row],[Name]],
   "Match",
   "Mismatch"
)</f>
        <v>Match</v>
      </c>
    </row>
    <row r="40" spans="1:15" x14ac:dyDescent="0.3">
      <c r="A40" s="24">
        <v>39</v>
      </c>
      <c r="B40" s="24" t="str">
        <f>_xlfn.XLOOKUP(tblprogress[[#This Row],[Planet '#]],tblPlanets[Planet '#],tblPlanets[Name])</f>
        <v>Zulu</v>
      </c>
      <c r="C40" s="55">
        <f>IF(tblplaneteco[[#This Row],[Unlocked]]=1,"",tblplaneteco[[#This Row],[Unlock Price]])</f>
        <v>160000000000000</v>
      </c>
      <c r="D40" s="55" t="str">
        <f>IF(tblplaneteco[[#This Row],[Unlocked]]=1,
   ROUND(tblplaneteco[[#This Row],[Mining Upgrade Cost]] * tblplaneteco[[#This Row],[Unlock Price]],0),
   ""
)</f>
        <v/>
      </c>
      <c r="E40" s="55" t="str">
        <f>IF(tblplaneteco[[#This Row],[Unlocked]]=1,
   ROUND(tblplaneteco[[#This Row],[Ship Upgrade Cost]] * tblplaneteco[[#This Row],[Unlock Price]],0),
   ""
)</f>
        <v/>
      </c>
      <c r="F40" s="55" t="str">
        <f>IF(tblplaneteco[[#This Row],[Unlocked]]=1,
   ROUND(tblplaneteco[[#This Row],[Cargo Upgrade Cost]] * tblplaneteco[[#This Row],[Unlock Price]],0),
   ""
)</f>
        <v/>
      </c>
      <c r="G40" s="56">
        <f>_xlfn.XLOOKUP(tblplaneteco[[#This Row],[Planet '#]],tblprogress[Planet '#],tblprogress[Unlocked])</f>
        <v>0</v>
      </c>
      <c r="H40" s="56">
        <f>_xlfn.XLOOKUP(tblplaneteco[[#This Row],[Planet '#]],tblPlanets[Planet '#],tblPlanets[Unlock Price])</f>
        <v>160000000000000</v>
      </c>
      <c r="I40" s="58">
        <f>_xlfn.XLOOKUP(tblplaneteco[[#This Row],[Planet '#]],tblprogress[Planet '#],tblprogress[Mining Level])</f>
        <v>0</v>
      </c>
      <c r="J40" s="15">
        <f>_xlfn.XLOOKUP(tblplaneteco[[#This Row],[Mining Level]],tblUpgradeStats[Level],tblUpgradeStats[Upgrade Price (per Level)],0)</f>
        <v>0</v>
      </c>
      <c r="K40" s="58">
        <f>_xlfn.XLOOKUP(tblplaneteco[[#This Row],[Planet '#]],tblprogress[Planet '#],tblprogress[Ship Level])</f>
        <v>0</v>
      </c>
      <c r="L40" s="15">
        <f>_xlfn.XLOOKUP(tblplaneteco[[#This Row],[Ship Level]],tblUpgradeStats[Level],tblUpgradeStats[Upgrade Price (per Level)],0)</f>
        <v>0</v>
      </c>
      <c r="M40" s="58">
        <f>_xlfn.XLOOKUP(tblplaneteco[[#This Row],[Planet '#]],tblprogress[Planet '#],tblprogress[Cargo Level])</f>
        <v>0</v>
      </c>
      <c r="N40" s="15">
        <f>_xlfn.XLOOKUP(tblplaneteco[[#This Row],[Cargo Level]],tblUpgradeStats[Level],tblUpgradeStats[Upgrade Price (per Level)],0)</f>
        <v>0</v>
      </c>
      <c r="O40" s="55" t="str">
        <f>IF(
   _xlfn.XLOOKUP(tblplaneteco[[#This Row],[Planet '#]], tblPlanets[Planet '#], tblPlanets[Name])=tblplaneteco[[#This Row],[Name]],
   "Match",
   "Mismatch"
)</f>
        <v>Match</v>
      </c>
    </row>
    <row r="41" spans="1:15" x14ac:dyDescent="0.3">
      <c r="A41" s="25">
        <v>40</v>
      </c>
      <c r="B41" s="25" t="str">
        <f>_xlfn.XLOOKUP(tblprogress[[#This Row],[Planet '#]],tblPlanets[Planet '#],tblPlanets[Name])</f>
        <v>Unicae</v>
      </c>
      <c r="C41" s="55">
        <f>IF(tblplaneteco[[#This Row],[Unlocked]]=1,"",tblplaneteco[[#This Row],[Unlock Price]])</f>
        <v>400000000000000</v>
      </c>
      <c r="D41" s="55" t="str">
        <f>IF(tblplaneteco[[#This Row],[Unlocked]]=1,
   ROUND(tblplaneteco[[#This Row],[Mining Upgrade Cost]] * tblplaneteco[[#This Row],[Unlock Price]],0),
   ""
)</f>
        <v/>
      </c>
      <c r="E41" s="55" t="str">
        <f>IF(tblplaneteco[[#This Row],[Unlocked]]=1,
   ROUND(tblplaneteco[[#This Row],[Ship Upgrade Cost]] * tblplaneteco[[#This Row],[Unlock Price]],0),
   ""
)</f>
        <v/>
      </c>
      <c r="F41" s="55" t="str">
        <f>IF(tblplaneteco[[#This Row],[Unlocked]]=1,
   ROUND(tblplaneteco[[#This Row],[Cargo Upgrade Cost]] * tblplaneteco[[#This Row],[Unlock Price]],0),
   ""
)</f>
        <v/>
      </c>
      <c r="G41" s="14">
        <f>_xlfn.XLOOKUP(tblplaneteco[[#This Row],[Planet '#]],tblprogress[Planet '#],tblprogress[Unlocked])</f>
        <v>0</v>
      </c>
      <c r="H41" s="14">
        <f>_xlfn.XLOOKUP(tblplaneteco[[#This Row],[Planet '#]],tblPlanets[Planet '#],tblPlanets[Unlock Price])</f>
        <v>400000000000000</v>
      </c>
      <c r="I41" s="58">
        <f>_xlfn.XLOOKUP(tblplaneteco[[#This Row],[Planet '#]],tblprogress[Planet '#],tblprogress[Mining Level])</f>
        <v>0</v>
      </c>
      <c r="J41" s="15">
        <f>_xlfn.XLOOKUP(tblplaneteco[[#This Row],[Mining Level]],tblUpgradeStats[Level],tblUpgradeStats[Upgrade Price (per Level)],0)</f>
        <v>0</v>
      </c>
      <c r="K41" s="58">
        <f>_xlfn.XLOOKUP(tblplaneteco[[#This Row],[Planet '#]],tblprogress[Planet '#],tblprogress[Ship Level])</f>
        <v>0</v>
      </c>
      <c r="L41" s="15">
        <f>_xlfn.XLOOKUP(tblplaneteco[[#This Row],[Ship Level]],tblUpgradeStats[Level],tblUpgradeStats[Upgrade Price (per Level)],0)</f>
        <v>0</v>
      </c>
      <c r="M41" s="58">
        <f>_xlfn.XLOOKUP(tblplaneteco[[#This Row],[Planet '#]],tblprogress[Planet '#],tblprogress[Cargo Level])</f>
        <v>0</v>
      </c>
      <c r="N41" s="15">
        <f>_xlfn.XLOOKUP(tblplaneteco[[#This Row],[Cargo Level]],tblUpgradeStats[Level],tblUpgradeStats[Upgrade Price (per Level)],0)</f>
        <v>0</v>
      </c>
      <c r="O41" s="55" t="str">
        <f>IF(
   _xlfn.XLOOKUP(tblplaneteco[[#This Row],[Planet '#]], tblPlanets[Planet '#], tblPlanets[Name])=tblplaneteco[[#This Row],[Name]],
   "Match",
   "Mismatch"
)</f>
        <v>Match</v>
      </c>
    </row>
    <row r="42" spans="1:15" x14ac:dyDescent="0.3">
      <c r="A42" s="24">
        <v>41</v>
      </c>
      <c r="B42" s="24" t="str">
        <f>_xlfn.XLOOKUP(tblprogress[[#This Row],[Planet '#]],tblPlanets[Planet '#],tblPlanets[Name])</f>
        <v>Dune</v>
      </c>
      <c r="C42" s="55">
        <f>IF(tblplaneteco[[#This Row],[Unlocked]]=1,"",tblplaneteco[[#This Row],[Unlock Price]])</f>
        <v>1000000000000000</v>
      </c>
      <c r="D42" s="55" t="str">
        <f>IF(tblplaneteco[[#This Row],[Unlocked]]=1,
   ROUND(tblplaneteco[[#This Row],[Mining Upgrade Cost]] * tblplaneteco[[#This Row],[Unlock Price]],0),
   ""
)</f>
        <v/>
      </c>
      <c r="E42" s="55" t="str">
        <f>IF(tblplaneteco[[#This Row],[Unlocked]]=1,
   ROUND(tblplaneteco[[#This Row],[Ship Upgrade Cost]] * tblplaneteco[[#This Row],[Unlock Price]],0),
   ""
)</f>
        <v/>
      </c>
      <c r="F42" s="55" t="str">
        <f>IF(tblplaneteco[[#This Row],[Unlocked]]=1,
   ROUND(tblplaneteco[[#This Row],[Cargo Upgrade Cost]] * tblplaneteco[[#This Row],[Unlock Price]],0),
   ""
)</f>
        <v/>
      </c>
      <c r="G42" s="56">
        <f>_xlfn.XLOOKUP(tblplaneteco[[#This Row],[Planet '#]],tblprogress[Planet '#],tblprogress[Unlocked])</f>
        <v>0</v>
      </c>
      <c r="H42" s="56">
        <f>_xlfn.XLOOKUP(tblplaneteco[[#This Row],[Planet '#]],tblPlanets[Planet '#],tblPlanets[Unlock Price])</f>
        <v>1000000000000000</v>
      </c>
      <c r="I42" s="58">
        <f>_xlfn.XLOOKUP(tblplaneteco[[#This Row],[Planet '#]],tblprogress[Planet '#],tblprogress[Mining Level])</f>
        <v>0</v>
      </c>
      <c r="J42" s="15">
        <f>_xlfn.XLOOKUP(tblplaneteco[[#This Row],[Mining Level]],tblUpgradeStats[Level],tblUpgradeStats[Upgrade Price (per Level)],0)</f>
        <v>0</v>
      </c>
      <c r="K42" s="58">
        <f>_xlfn.XLOOKUP(tblplaneteco[[#This Row],[Planet '#]],tblprogress[Planet '#],tblprogress[Ship Level])</f>
        <v>0</v>
      </c>
      <c r="L42" s="15">
        <f>_xlfn.XLOOKUP(tblplaneteco[[#This Row],[Ship Level]],tblUpgradeStats[Level],tblUpgradeStats[Upgrade Price (per Level)],0)</f>
        <v>0</v>
      </c>
      <c r="M42" s="58">
        <f>_xlfn.XLOOKUP(tblplaneteco[[#This Row],[Planet '#]],tblprogress[Planet '#],tblprogress[Cargo Level])</f>
        <v>0</v>
      </c>
      <c r="N42" s="15">
        <f>_xlfn.XLOOKUP(tblplaneteco[[#This Row],[Cargo Level]],tblUpgradeStats[Level],tblUpgradeStats[Upgrade Price (per Level)],0)</f>
        <v>0</v>
      </c>
      <c r="O42" s="55" t="str">
        <f>IF(
   _xlfn.XLOOKUP(tblplaneteco[[#This Row],[Planet '#]], tblPlanets[Planet '#], tblPlanets[Name])=tblplaneteco[[#This Row],[Name]],
   "Match",
   "Mismatch"
)</f>
        <v>Match</v>
      </c>
    </row>
    <row r="43" spans="1:15" x14ac:dyDescent="0.3">
      <c r="A43" s="25">
        <v>42</v>
      </c>
      <c r="B43" s="25" t="str">
        <f>_xlfn.XLOOKUP(tblprogress[[#This Row],[Planet '#]],tblPlanets[Planet '#],tblPlanets[Name])</f>
        <v>Naraka</v>
      </c>
      <c r="C43" s="55">
        <f>IF(tblplaneteco[[#This Row],[Unlocked]]=1,"",tblplaneteco[[#This Row],[Unlock Price]])</f>
        <v>2500000000000000</v>
      </c>
      <c r="D43" s="55" t="str">
        <f>IF(tblplaneteco[[#This Row],[Unlocked]]=1,
   ROUND(tblplaneteco[[#This Row],[Mining Upgrade Cost]] * tblplaneteco[[#This Row],[Unlock Price]],0),
   ""
)</f>
        <v/>
      </c>
      <c r="E43" s="55" t="str">
        <f>IF(tblplaneteco[[#This Row],[Unlocked]]=1,
   ROUND(tblplaneteco[[#This Row],[Ship Upgrade Cost]] * tblplaneteco[[#This Row],[Unlock Price]],0),
   ""
)</f>
        <v/>
      </c>
      <c r="F43" s="55" t="str">
        <f>IF(tblplaneteco[[#This Row],[Unlocked]]=1,
   ROUND(tblplaneteco[[#This Row],[Cargo Upgrade Cost]] * tblplaneteco[[#This Row],[Unlock Price]],0),
   ""
)</f>
        <v/>
      </c>
      <c r="G43" s="14">
        <f>_xlfn.XLOOKUP(tblplaneteco[[#This Row],[Planet '#]],tblprogress[Planet '#],tblprogress[Unlocked])</f>
        <v>0</v>
      </c>
      <c r="H43" s="14">
        <f>_xlfn.XLOOKUP(tblplaneteco[[#This Row],[Planet '#]],tblPlanets[Planet '#],tblPlanets[Unlock Price])</f>
        <v>2500000000000000</v>
      </c>
      <c r="I43" s="58">
        <f>_xlfn.XLOOKUP(tblplaneteco[[#This Row],[Planet '#]],tblprogress[Planet '#],tblprogress[Mining Level])</f>
        <v>0</v>
      </c>
      <c r="J43" s="15">
        <f>_xlfn.XLOOKUP(tblplaneteco[[#This Row],[Mining Level]],tblUpgradeStats[Level],tblUpgradeStats[Upgrade Price (per Level)],0)</f>
        <v>0</v>
      </c>
      <c r="K43" s="58">
        <f>_xlfn.XLOOKUP(tblplaneteco[[#This Row],[Planet '#]],tblprogress[Planet '#],tblprogress[Ship Level])</f>
        <v>0</v>
      </c>
      <c r="L43" s="15">
        <f>_xlfn.XLOOKUP(tblplaneteco[[#This Row],[Ship Level]],tblUpgradeStats[Level],tblUpgradeStats[Upgrade Price (per Level)],0)</f>
        <v>0</v>
      </c>
      <c r="M43" s="58">
        <f>_xlfn.XLOOKUP(tblplaneteco[[#This Row],[Planet '#]],tblprogress[Planet '#],tblprogress[Cargo Level])</f>
        <v>0</v>
      </c>
      <c r="N43" s="15">
        <f>_xlfn.XLOOKUP(tblplaneteco[[#This Row],[Cargo Level]],tblUpgradeStats[Level],tblUpgradeStats[Upgrade Price (per Level)],0)</f>
        <v>0</v>
      </c>
      <c r="O43" s="55" t="str">
        <f>IF(
   _xlfn.XLOOKUP(tblplaneteco[[#This Row],[Planet '#]], tblPlanets[Planet '#], tblPlanets[Name])=tblplaneteco[[#This Row],[Name]],
   "Match",
   "Mismatch"
)</f>
        <v>Match</v>
      </c>
    </row>
    <row r="44" spans="1:15" x14ac:dyDescent="0.3">
      <c r="A44" s="24">
        <v>43</v>
      </c>
      <c r="B44" s="24" t="str">
        <f>_xlfn.XLOOKUP(tblprogress[[#This Row],[Planet '#]],tblPlanets[Planet '#],tblPlanets[Name])</f>
        <v>Daedalus</v>
      </c>
      <c r="C44" s="55">
        <f>IF(tblplaneteco[[#This Row],[Unlocked]]=1,"",tblplaneteco[[#This Row],[Unlock Price]])</f>
        <v>6200000000000000</v>
      </c>
      <c r="D44" s="55" t="str">
        <f>IF(tblplaneteco[[#This Row],[Unlocked]]=1,
   ROUND(tblplaneteco[[#This Row],[Mining Upgrade Cost]] * tblplaneteco[[#This Row],[Unlock Price]],0),
   ""
)</f>
        <v/>
      </c>
      <c r="E44" s="55" t="str">
        <f>IF(tblplaneteco[[#This Row],[Unlocked]]=1,
   ROUND(tblplaneteco[[#This Row],[Ship Upgrade Cost]] * tblplaneteco[[#This Row],[Unlock Price]],0),
   ""
)</f>
        <v/>
      </c>
      <c r="F44" s="55" t="str">
        <f>IF(tblplaneteco[[#This Row],[Unlocked]]=1,
   ROUND(tblplaneteco[[#This Row],[Cargo Upgrade Cost]] * tblplaneteco[[#This Row],[Unlock Price]],0),
   ""
)</f>
        <v/>
      </c>
      <c r="G44" s="56">
        <f>_xlfn.XLOOKUP(tblplaneteco[[#This Row],[Planet '#]],tblprogress[Planet '#],tblprogress[Unlocked])</f>
        <v>0</v>
      </c>
      <c r="H44" s="56">
        <f>_xlfn.XLOOKUP(tblplaneteco[[#This Row],[Planet '#]],tblPlanets[Planet '#],tblPlanets[Unlock Price])</f>
        <v>6200000000000000</v>
      </c>
      <c r="I44" s="58">
        <f>_xlfn.XLOOKUP(tblplaneteco[[#This Row],[Planet '#]],tblprogress[Planet '#],tblprogress[Mining Level])</f>
        <v>0</v>
      </c>
      <c r="J44" s="15">
        <f>_xlfn.XLOOKUP(tblplaneteco[[#This Row],[Mining Level]],tblUpgradeStats[Level],tblUpgradeStats[Upgrade Price (per Level)],0)</f>
        <v>0</v>
      </c>
      <c r="K44" s="58">
        <f>_xlfn.XLOOKUP(tblplaneteco[[#This Row],[Planet '#]],tblprogress[Planet '#],tblprogress[Ship Level])</f>
        <v>0</v>
      </c>
      <c r="L44" s="15">
        <f>_xlfn.XLOOKUP(tblplaneteco[[#This Row],[Ship Level]],tblUpgradeStats[Level],tblUpgradeStats[Upgrade Price (per Level)],0)</f>
        <v>0</v>
      </c>
      <c r="M44" s="58">
        <f>_xlfn.XLOOKUP(tblplaneteco[[#This Row],[Planet '#]],tblprogress[Planet '#],tblprogress[Cargo Level])</f>
        <v>0</v>
      </c>
      <c r="N44" s="15">
        <f>_xlfn.XLOOKUP(tblplaneteco[[#This Row],[Cargo Level]],tblUpgradeStats[Level],tblUpgradeStats[Upgrade Price (per Level)],0)</f>
        <v>0</v>
      </c>
      <c r="O44" s="55" t="str">
        <f>IF(
   _xlfn.XLOOKUP(tblplaneteco[[#This Row],[Planet '#]], tblPlanets[Planet '#], tblPlanets[Name])=tblplaneteco[[#This Row],[Name]],
   "Match",
   "Mismatch"
)</f>
        <v>Match</v>
      </c>
    </row>
    <row r="45" spans="1:15" x14ac:dyDescent="0.3">
      <c r="A45" s="25">
        <v>44</v>
      </c>
      <c r="B45" s="25" t="str">
        <f>_xlfn.XLOOKUP(tblprogress[[#This Row],[Planet '#]],tblPlanets[Planet '#],tblPlanets[Name])</f>
        <v>Clovis</v>
      </c>
      <c r="C45" s="55">
        <f>IF(tblplaneteco[[#This Row],[Unlocked]]=1,"",tblplaneteco[[#This Row],[Unlock Price]])</f>
        <v>1.5E+16</v>
      </c>
      <c r="D45" s="55" t="str">
        <f>IF(tblplaneteco[[#This Row],[Unlocked]]=1,
   ROUND(tblplaneteco[[#This Row],[Mining Upgrade Cost]] * tblplaneteco[[#This Row],[Unlock Price]],0),
   ""
)</f>
        <v/>
      </c>
      <c r="E45" s="55" t="str">
        <f>IF(tblplaneteco[[#This Row],[Unlocked]]=1,
   ROUND(tblplaneteco[[#This Row],[Ship Upgrade Cost]] * tblplaneteco[[#This Row],[Unlock Price]],0),
   ""
)</f>
        <v/>
      </c>
      <c r="F45" s="55" t="str">
        <f>IF(tblplaneteco[[#This Row],[Unlocked]]=1,
   ROUND(tblplaneteco[[#This Row],[Cargo Upgrade Cost]] * tblplaneteco[[#This Row],[Unlock Price]],0),
   ""
)</f>
        <v/>
      </c>
      <c r="G45" s="14">
        <f>_xlfn.XLOOKUP(tblplaneteco[[#This Row],[Planet '#]],tblprogress[Planet '#],tblprogress[Unlocked])</f>
        <v>0</v>
      </c>
      <c r="H45" s="14">
        <f>_xlfn.XLOOKUP(tblplaneteco[[#This Row],[Planet '#]],tblPlanets[Planet '#],tblPlanets[Unlock Price])</f>
        <v>1.5E+16</v>
      </c>
      <c r="I45" s="58">
        <f>_xlfn.XLOOKUP(tblplaneteco[[#This Row],[Planet '#]],tblprogress[Planet '#],tblprogress[Mining Level])</f>
        <v>0</v>
      </c>
      <c r="J45" s="15">
        <f>_xlfn.XLOOKUP(tblplaneteco[[#This Row],[Mining Level]],tblUpgradeStats[Level],tblUpgradeStats[Upgrade Price (per Level)],0)</f>
        <v>0</v>
      </c>
      <c r="K45" s="58">
        <f>_xlfn.XLOOKUP(tblplaneteco[[#This Row],[Planet '#]],tblprogress[Planet '#],tblprogress[Ship Level])</f>
        <v>0</v>
      </c>
      <c r="L45" s="15">
        <f>_xlfn.XLOOKUP(tblplaneteco[[#This Row],[Ship Level]],tblUpgradeStats[Level],tblUpgradeStats[Upgrade Price (per Level)],0)</f>
        <v>0</v>
      </c>
      <c r="M45" s="58">
        <f>_xlfn.XLOOKUP(tblplaneteco[[#This Row],[Planet '#]],tblprogress[Planet '#],tblprogress[Cargo Level])</f>
        <v>0</v>
      </c>
      <c r="N45" s="15">
        <f>_xlfn.XLOOKUP(tblplaneteco[[#This Row],[Cargo Level]],tblUpgradeStats[Level],tblUpgradeStats[Upgrade Price (per Level)],0)</f>
        <v>0</v>
      </c>
      <c r="O45" s="55" t="str">
        <f>IF(
   _xlfn.XLOOKUP(tblplaneteco[[#This Row],[Planet '#]], tblPlanets[Planet '#], tblPlanets[Name])=tblplaneteco[[#This Row],[Name]],
   "Match",
   "Mismatch"
)</f>
        <v>Match</v>
      </c>
    </row>
    <row r="46" spans="1:15" x14ac:dyDescent="0.3">
      <c r="A46" s="24">
        <v>45</v>
      </c>
      <c r="B46" s="24" t="str">
        <f>_xlfn.XLOOKUP(tblprogress[[#This Row],[Planet '#]],tblPlanets[Planet '#],tblPlanets[Name])</f>
        <v>Zero</v>
      </c>
      <c r="C46" s="55">
        <f>IF(tblplaneteco[[#This Row],[Unlocked]]=1,"",tblplaneteco[[#This Row],[Unlock Price]])</f>
        <v>4E+16</v>
      </c>
      <c r="D46" s="55" t="str">
        <f>IF(tblplaneteco[[#This Row],[Unlocked]]=1,
   ROUND(tblplaneteco[[#This Row],[Mining Upgrade Cost]] * tblplaneteco[[#This Row],[Unlock Price]],0),
   ""
)</f>
        <v/>
      </c>
      <c r="E46" s="55" t="str">
        <f>IF(tblplaneteco[[#This Row],[Unlocked]]=1,
   ROUND(tblplaneteco[[#This Row],[Ship Upgrade Cost]] * tblplaneteco[[#This Row],[Unlock Price]],0),
   ""
)</f>
        <v/>
      </c>
      <c r="F46" s="55" t="str">
        <f>IF(tblplaneteco[[#This Row],[Unlocked]]=1,
   ROUND(tblplaneteco[[#This Row],[Cargo Upgrade Cost]] * tblplaneteco[[#This Row],[Unlock Price]],0),
   ""
)</f>
        <v/>
      </c>
      <c r="G46" s="56">
        <f>_xlfn.XLOOKUP(tblplaneteco[[#This Row],[Planet '#]],tblprogress[Planet '#],tblprogress[Unlocked])</f>
        <v>0</v>
      </c>
      <c r="H46" s="56">
        <f>_xlfn.XLOOKUP(tblplaneteco[[#This Row],[Planet '#]],tblPlanets[Planet '#],tblPlanets[Unlock Price])</f>
        <v>4E+16</v>
      </c>
      <c r="I46" s="58">
        <f>_xlfn.XLOOKUP(tblplaneteco[[#This Row],[Planet '#]],tblprogress[Planet '#],tblprogress[Mining Level])</f>
        <v>0</v>
      </c>
      <c r="J46" s="15">
        <f>_xlfn.XLOOKUP(tblplaneteco[[#This Row],[Mining Level]],tblUpgradeStats[Level],tblUpgradeStats[Upgrade Price (per Level)],0)</f>
        <v>0</v>
      </c>
      <c r="K46" s="58">
        <f>_xlfn.XLOOKUP(tblplaneteco[[#This Row],[Planet '#]],tblprogress[Planet '#],tblprogress[Ship Level])</f>
        <v>0</v>
      </c>
      <c r="L46" s="15">
        <f>_xlfn.XLOOKUP(tblplaneteco[[#This Row],[Ship Level]],tblUpgradeStats[Level],tblUpgradeStats[Upgrade Price (per Level)],0)</f>
        <v>0</v>
      </c>
      <c r="M46" s="58">
        <f>_xlfn.XLOOKUP(tblplaneteco[[#This Row],[Planet '#]],tblprogress[Planet '#],tblprogress[Cargo Level])</f>
        <v>0</v>
      </c>
      <c r="N46" s="15">
        <f>_xlfn.XLOOKUP(tblplaneteco[[#This Row],[Cargo Level]],tblUpgradeStats[Level],tblUpgradeStats[Upgrade Price (per Level)],0)</f>
        <v>0</v>
      </c>
      <c r="O46" s="55" t="str">
        <f>IF(
   _xlfn.XLOOKUP(tblplaneteco[[#This Row],[Planet '#]], tblPlanets[Planet '#], tblPlanets[Name])=tblplaneteco[[#This Row],[Name]],
   "Match",
   "Mismatch"
)</f>
        <v>Match</v>
      </c>
    </row>
    <row r="47" spans="1:15" x14ac:dyDescent="0.3">
      <c r="A47" s="25">
        <v>46</v>
      </c>
      <c r="B47" s="25" t="str">
        <f>_xlfn.XLOOKUP(tblprogress[[#This Row],[Planet '#]],tblPlanets[Planet '#],tblPlanets[Name])</f>
        <v>Sotomi</v>
      </c>
      <c r="C47" s="55">
        <f>IF(tblplaneteco[[#This Row],[Unlocked]]=1,"",tblplaneteco[[#This Row],[Unlock Price]])</f>
        <v>1E+17</v>
      </c>
      <c r="D47" s="55" t="str">
        <f>IF(tblplaneteco[[#This Row],[Unlocked]]=1,
   ROUND(tblplaneteco[[#This Row],[Mining Upgrade Cost]] * tblplaneteco[[#This Row],[Unlock Price]],0),
   ""
)</f>
        <v/>
      </c>
      <c r="E47" s="55" t="str">
        <f>IF(tblplaneteco[[#This Row],[Unlocked]]=1,
   ROUND(tblplaneteco[[#This Row],[Ship Upgrade Cost]] * tblplaneteco[[#This Row],[Unlock Price]],0),
   ""
)</f>
        <v/>
      </c>
      <c r="F47" s="55" t="str">
        <f>IF(tblplaneteco[[#This Row],[Unlocked]]=1,
   ROUND(tblplaneteco[[#This Row],[Cargo Upgrade Cost]] * tblplaneteco[[#This Row],[Unlock Price]],0),
   ""
)</f>
        <v/>
      </c>
      <c r="G47" s="14">
        <f>_xlfn.XLOOKUP(tblplaneteco[[#This Row],[Planet '#]],tblprogress[Planet '#],tblprogress[Unlocked])</f>
        <v>0</v>
      </c>
      <c r="H47" s="14">
        <f>_xlfn.XLOOKUP(tblplaneteco[[#This Row],[Planet '#]],tblPlanets[Planet '#],tblPlanets[Unlock Price])</f>
        <v>1E+17</v>
      </c>
      <c r="I47" s="58">
        <f>_xlfn.XLOOKUP(tblplaneteco[[#This Row],[Planet '#]],tblprogress[Planet '#],tblprogress[Mining Level])</f>
        <v>0</v>
      </c>
      <c r="J47" s="15">
        <f>_xlfn.XLOOKUP(tblplaneteco[[#This Row],[Mining Level]],tblUpgradeStats[Level],tblUpgradeStats[Upgrade Price (per Level)],0)</f>
        <v>0</v>
      </c>
      <c r="K47" s="58">
        <f>_xlfn.XLOOKUP(tblplaneteco[[#This Row],[Planet '#]],tblprogress[Planet '#],tblprogress[Ship Level])</f>
        <v>0</v>
      </c>
      <c r="L47" s="15">
        <f>_xlfn.XLOOKUP(tblplaneteco[[#This Row],[Ship Level]],tblUpgradeStats[Level],tblUpgradeStats[Upgrade Price (per Level)],0)</f>
        <v>0</v>
      </c>
      <c r="M47" s="58">
        <f>_xlfn.XLOOKUP(tblplaneteco[[#This Row],[Planet '#]],tblprogress[Planet '#],tblprogress[Cargo Level])</f>
        <v>0</v>
      </c>
      <c r="N47" s="15">
        <f>_xlfn.XLOOKUP(tblplaneteco[[#This Row],[Cargo Level]],tblUpgradeStats[Level],tblUpgradeStats[Upgrade Price (per Level)],0)</f>
        <v>0</v>
      </c>
      <c r="O47" s="55" t="str">
        <f>IF(
   _xlfn.XLOOKUP(tblplaneteco[[#This Row],[Planet '#]], tblPlanets[Planet '#], tblPlanets[Name])=tblplaneteco[[#This Row],[Name]],
   "Match",
   "Mismatch"
)</f>
        <v>Match</v>
      </c>
    </row>
    <row r="48" spans="1:15" x14ac:dyDescent="0.3">
      <c r="A48" s="24">
        <v>47</v>
      </c>
      <c r="B48" s="24" t="str">
        <f>_xlfn.XLOOKUP(tblprogress[[#This Row],[Planet '#]],tblPlanets[Planet '#],tblPlanets[Name])</f>
        <v>Remidian</v>
      </c>
      <c r="C48" s="55">
        <f>IF(tblplaneteco[[#This Row],[Unlocked]]=1,"",tblplaneteco[[#This Row],[Unlock Price]])</f>
        <v>2.5E+17</v>
      </c>
      <c r="D48" s="55" t="str">
        <f>IF(tblplaneteco[[#This Row],[Unlocked]]=1,
   ROUND(tblplaneteco[[#This Row],[Mining Upgrade Cost]] * tblplaneteco[[#This Row],[Unlock Price]],0),
   ""
)</f>
        <v/>
      </c>
      <c r="E48" s="55" t="str">
        <f>IF(tblplaneteco[[#This Row],[Unlocked]]=1,
   ROUND(tblplaneteco[[#This Row],[Ship Upgrade Cost]] * tblplaneteco[[#This Row],[Unlock Price]],0),
   ""
)</f>
        <v/>
      </c>
      <c r="F48" s="55" t="str">
        <f>IF(tblplaneteco[[#This Row],[Unlocked]]=1,
   ROUND(tblplaneteco[[#This Row],[Cargo Upgrade Cost]] * tblplaneteco[[#This Row],[Unlock Price]],0),
   ""
)</f>
        <v/>
      </c>
      <c r="G48" s="56">
        <f>_xlfn.XLOOKUP(tblplaneteco[[#This Row],[Planet '#]],tblprogress[Planet '#],tblprogress[Unlocked])</f>
        <v>0</v>
      </c>
      <c r="H48" s="56">
        <f>_xlfn.XLOOKUP(tblplaneteco[[#This Row],[Planet '#]],tblPlanets[Planet '#],tblPlanets[Unlock Price])</f>
        <v>2.5E+17</v>
      </c>
      <c r="I48" s="58">
        <f>_xlfn.XLOOKUP(tblplaneteco[[#This Row],[Planet '#]],tblprogress[Planet '#],tblprogress[Mining Level])</f>
        <v>0</v>
      </c>
      <c r="J48" s="15">
        <f>_xlfn.XLOOKUP(tblplaneteco[[#This Row],[Mining Level]],tblUpgradeStats[Level],tblUpgradeStats[Upgrade Price (per Level)],0)</f>
        <v>0</v>
      </c>
      <c r="K48" s="58">
        <f>_xlfn.XLOOKUP(tblplaneteco[[#This Row],[Planet '#]],tblprogress[Planet '#],tblprogress[Ship Level])</f>
        <v>0</v>
      </c>
      <c r="L48" s="15">
        <f>_xlfn.XLOOKUP(tblplaneteco[[#This Row],[Ship Level]],tblUpgradeStats[Level],tblUpgradeStats[Upgrade Price (per Level)],0)</f>
        <v>0</v>
      </c>
      <c r="M48" s="58">
        <f>_xlfn.XLOOKUP(tblplaneteco[[#This Row],[Planet '#]],tblprogress[Planet '#],tblprogress[Cargo Level])</f>
        <v>0</v>
      </c>
      <c r="N48" s="15">
        <f>_xlfn.XLOOKUP(tblplaneteco[[#This Row],[Cargo Level]],tblUpgradeStats[Level],tblUpgradeStats[Upgrade Price (per Level)],0)</f>
        <v>0</v>
      </c>
      <c r="O48" s="55" t="str">
        <f>IF(
   _xlfn.XLOOKUP(tblplaneteco[[#This Row],[Planet '#]], tblPlanets[Planet '#], tblPlanets[Name])=tblplaneteco[[#This Row],[Name]],
   "Match",
   "Mismatch"
)</f>
        <v>Match</v>
      </c>
    </row>
    <row r="49" spans="1:15" x14ac:dyDescent="0.3">
      <c r="A49" s="25">
        <v>48</v>
      </c>
      <c r="B49" s="25" t="str">
        <f>_xlfn.XLOOKUP(tblprogress[[#This Row],[Planet '#]],tblPlanets[Planet '#],tblPlanets[Name])</f>
        <v>Muse</v>
      </c>
      <c r="C49" s="55">
        <f>IF(tblplaneteco[[#This Row],[Unlocked]]=1,"",tblplaneteco[[#This Row],[Unlock Price]])</f>
        <v>6E+17</v>
      </c>
      <c r="D49" s="55" t="str">
        <f>IF(tblplaneteco[[#This Row],[Unlocked]]=1,
   ROUND(tblplaneteco[[#This Row],[Mining Upgrade Cost]] * tblplaneteco[[#This Row],[Unlock Price]],0),
   ""
)</f>
        <v/>
      </c>
      <c r="E49" s="55" t="str">
        <f>IF(tblplaneteco[[#This Row],[Unlocked]]=1,
   ROUND(tblplaneteco[[#This Row],[Ship Upgrade Cost]] * tblplaneteco[[#This Row],[Unlock Price]],0),
   ""
)</f>
        <v/>
      </c>
      <c r="F49" s="55" t="str">
        <f>IF(tblplaneteco[[#This Row],[Unlocked]]=1,
   ROUND(tblplaneteco[[#This Row],[Cargo Upgrade Cost]] * tblplaneteco[[#This Row],[Unlock Price]],0),
   ""
)</f>
        <v/>
      </c>
      <c r="G49" s="14">
        <f>_xlfn.XLOOKUP(tblplaneteco[[#This Row],[Planet '#]],tblprogress[Planet '#],tblprogress[Unlocked])</f>
        <v>0</v>
      </c>
      <c r="H49" s="14">
        <f>_xlfn.XLOOKUP(tblplaneteco[[#This Row],[Planet '#]],tblPlanets[Planet '#],tblPlanets[Unlock Price])</f>
        <v>6E+17</v>
      </c>
      <c r="I49" s="58">
        <f>_xlfn.XLOOKUP(tblplaneteco[[#This Row],[Planet '#]],tblprogress[Planet '#],tblprogress[Mining Level])</f>
        <v>0</v>
      </c>
      <c r="J49" s="15">
        <f>_xlfn.XLOOKUP(tblplaneteco[[#This Row],[Mining Level]],tblUpgradeStats[Level],tblUpgradeStats[Upgrade Price (per Level)],0)</f>
        <v>0</v>
      </c>
      <c r="K49" s="58">
        <f>_xlfn.XLOOKUP(tblplaneteco[[#This Row],[Planet '#]],tblprogress[Planet '#],tblprogress[Ship Level])</f>
        <v>0</v>
      </c>
      <c r="L49" s="15">
        <f>_xlfn.XLOOKUP(tblplaneteco[[#This Row],[Ship Level]],tblUpgradeStats[Level],tblUpgradeStats[Upgrade Price (per Level)],0)</f>
        <v>0</v>
      </c>
      <c r="M49" s="58">
        <f>_xlfn.XLOOKUP(tblplaneteco[[#This Row],[Planet '#]],tblprogress[Planet '#],tblprogress[Cargo Level])</f>
        <v>0</v>
      </c>
      <c r="N49" s="15">
        <f>_xlfn.XLOOKUP(tblplaneteco[[#This Row],[Cargo Level]],tblUpgradeStats[Level],tblUpgradeStats[Upgrade Price (per Level)],0)</f>
        <v>0</v>
      </c>
      <c r="O49" s="55" t="str">
        <f>IF(
   _xlfn.XLOOKUP(tblplaneteco[[#This Row],[Planet '#]], tblPlanets[Planet '#], tblPlanets[Name])=tblplaneteco[[#This Row],[Name]],
   "Match",
   "Mismatch"
)</f>
        <v>Match</v>
      </c>
    </row>
    <row r="50" spans="1:15" x14ac:dyDescent="0.3">
      <c r="A50" s="24">
        <v>49</v>
      </c>
      <c r="B50" s="24" t="str">
        <f>_xlfn.XLOOKUP(tblprogress[[#This Row],[Planet '#]],tblPlanets[Planet '#],tblPlanets[Name])</f>
        <v>Arabis</v>
      </c>
      <c r="C50" s="55">
        <f>IF(tblplaneteco[[#This Row],[Unlocked]]=1,"",tblplaneteco[[#This Row],[Unlock Price]])</f>
        <v>1.5E+18</v>
      </c>
      <c r="D50" s="55" t="str">
        <f>IF(tblplaneteco[[#This Row],[Unlocked]]=1,
   ROUND(tblplaneteco[[#This Row],[Mining Upgrade Cost]] * tblplaneteco[[#This Row],[Unlock Price]],0),
   ""
)</f>
        <v/>
      </c>
      <c r="E50" s="55" t="str">
        <f>IF(tblplaneteco[[#This Row],[Unlocked]]=1,
   ROUND(tblplaneteco[[#This Row],[Ship Upgrade Cost]] * tblplaneteco[[#This Row],[Unlock Price]],0),
   ""
)</f>
        <v/>
      </c>
      <c r="F50" s="55" t="str">
        <f>IF(tblplaneteco[[#This Row],[Unlocked]]=1,
   ROUND(tblplaneteco[[#This Row],[Cargo Upgrade Cost]] * tblplaneteco[[#This Row],[Unlock Price]],0),
   ""
)</f>
        <v/>
      </c>
      <c r="G50" s="56">
        <f>_xlfn.XLOOKUP(tblplaneteco[[#This Row],[Planet '#]],tblprogress[Planet '#],tblprogress[Unlocked])</f>
        <v>0</v>
      </c>
      <c r="H50" s="56">
        <f>_xlfn.XLOOKUP(tblplaneteco[[#This Row],[Planet '#]],tblPlanets[Planet '#],tblPlanets[Unlock Price])</f>
        <v>1.5E+18</v>
      </c>
      <c r="I50" s="58">
        <f>_xlfn.XLOOKUP(tblplaneteco[[#This Row],[Planet '#]],tblprogress[Planet '#],tblprogress[Mining Level])</f>
        <v>0</v>
      </c>
      <c r="J50" s="15">
        <f>_xlfn.XLOOKUP(tblplaneteco[[#This Row],[Mining Level]],tblUpgradeStats[Level],tblUpgradeStats[Upgrade Price (per Level)],0)</f>
        <v>0</v>
      </c>
      <c r="K50" s="58">
        <f>_xlfn.XLOOKUP(tblplaneteco[[#This Row],[Planet '#]],tblprogress[Planet '#],tblprogress[Ship Level])</f>
        <v>0</v>
      </c>
      <c r="L50" s="15">
        <f>_xlfn.XLOOKUP(tblplaneteco[[#This Row],[Ship Level]],tblUpgradeStats[Level],tblUpgradeStats[Upgrade Price (per Level)],0)</f>
        <v>0</v>
      </c>
      <c r="M50" s="58">
        <f>_xlfn.XLOOKUP(tblplaneteco[[#This Row],[Planet '#]],tblprogress[Planet '#],tblprogress[Cargo Level])</f>
        <v>0</v>
      </c>
      <c r="N50" s="15">
        <f>_xlfn.XLOOKUP(tblplaneteco[[#This Row],[Cargo Level]],tblUpgradeStats[Level],tblUpgradeStats[Upgrade Price (per Level)],0)</f>
        <v>0</v>
      </c>
      <c r="O50" s="55" t="str">
        <f>IF(
   _xlfn.XLOOKUP(tblplaneteco[[#This Row],[Planet '#]], tblPlanets[Planet '#], tblPlanets[Name])=tblplaneteco[[#This Row],[Name]],
   "Match",
   "Mismatch"
)</f>
        <v>Match</v>
      </c>
    </row>
    <row r="51" spans="1:15" x14ac:dyDescent="0.3">
      <c r="A51" s="25">
        <v>50</v>
      </c>
      <c r="B51" s="25" t="str">
        <f>_xlfn.XLOOKUP(tblprogress[[#This Row],[Planet '#]],tblPlanets[Planet '#],tblPlanets[Name])</f>
        <v>Vesna</v>
      </c>
      <c r="C51" s="55">
        <f>IF(tblplaneteco[[#This Row],[Unlocked]]=1,"",tblplaneteco[[#This Row],[Unlock Price]])</f>
        <v>3.8E+18</v>
      </c>
      <c r="D51" s="55" t="str">
        <f>IF(tblplaneteco[[#This Row],[Unlocked]]=1,
   ROUND(tblplaneteco[[#This Row],[Mining Upgrade Cost]] * tblplaneteco[[#This Row],[Unlock Price]],0),
   ""
)</f>
        <v/>
      </c>
      <c r="E51" s="55" t="str">
        <f>IF(tblplaneteco[[#This Row],[Unlocked]]=1,
   ROUND(tblplaneteco[[#This Row],[Ship Upgrade Cost]] * tblplaneteco[[#This Row],[Unlock Price]],0),
   ""
)</f>
        <v/>
      </c>
      <c r="F51" s="55" t="str">
        <f>IF(tblplaneteco[[#This Row],[Unlocked]]=1,
   ROUND(tblplaneteco[[#This Row],[Cargo Upgrade Cost]] * tblplaneteco[[#This Row],[Unlock Price]],0),
   ""
)</f>
        <v/>
      </c>
      <c r="G51" s="14">
        <f>_xlfn.XLOOKUP(tblplaneteco[[#This Row],[Planet '#]],tblprogress[Planet '#],tblprogress[Unlocked])</f>
        <v>0</v>
      </c>
      <c r="H51" s="14">
        <f>_xlfn.XLOOKUP(tblplaneteco[[#This Row],[Planet '#]],tblPlanets[Planet '#],tblPlanets[Unlock Price])</f>
        <v>3.8E+18</v>
      </c>
      <c r="I51" s="58">
        <f>_xlfn.XLOOKUP(tblplaneteco[[#This Row],[Planet '#]],tblprogress[Planet '#],tblprogress[Mining Level])</f>
        <v>0</v>
      </c>
      <c r="J51" s="15">
        <f>_xlfn.XLOOKUP(tblplaneteco[[#This Row],[Mining Level]],tblUpgradeStats[Level],tblUpgradeStats[Upgrade Price (per Level)],0)</f>
        <v>0</v>
      </c>
      <c r="K51" s="58">
        <f>_xlfn.XLOOKUP(tblplaneteco[[#This Row],[Planet '#]],tblprogress[Planet '#],tblprogress[Ship Level])</f>
        <v>0</v>
      </c>
      <c r="L51" s="15">
        <f>_xlfn.XLOOKUP(tblplaneteco[[#This Row],[Ship Level]],tblUpgradeStats[Level],tblUpgradeStats[Upgrade Price (per Level)],0)</f>
        <v>0</v>
      </c>
      <c r="M51" s="58">
        <f>_xlfn.XLOOKUP(tblplaneteco[[#This Row],[Planet '#]],tblprogress[Planet '#],tblprogress[Cargo Level])</f>
        <v>0</v>
      </c>
      <c r="N51" s="15">
        <f>_xlfn.XLOOKUP(tblplaneteco[[#This Row],[Cargo Level]],tblUpgradeStats[Level],tblUpgradeStats[Upgrade Price (per Level)],0)</f>
        <v>0</v>
      </c>
      <c r="O51" s="55" t="str">
        <f>IF(
   _xlfn.XLOOKUP(tblplaneteco[[#This Row],[Planet '#]], tblPlanets[Planet '#], tblPlanets[Name])=tblplaneteco[[#This Row],[Name]],
   "Match",
   "Mismatch"
)</f>
        <v>Match</v>
      </c>
    </row>
    <row r="52" spans="1:15" x14ac:dyDescent="0.3">
      <c r="A52" s="24">
        <v>51</v>
      </c>
      <c r="B52" s="24" t="str">
        <f>_xlfn.XLOOKUP(tblprogress[[#This Row],[Planet '#]],tblPlanets[Planet '#],tblPlanets[Name])</f>
        <v>Chandra</v>
      </c>
      <c r="C52" s="55">
        <f>IF(tblplaneteco[[#This Row],[Unlocked]]=1,"",tblplaneteco[[#This Row],[Unlock Price]])</f>
        <v>1E+19</v>
      </c>
      <c r="D52" s="55" t="str">
        <f>IF(tblplaneteco[[#This Row],[Unlocked]]=1,
   ROUND(tblplaneteco[[#This Row],[Mining Upgrade Cost]] * tblplaneteco[[#This Row],[Unlock Price]],0),
   ""
)</f>
        <v/>
      </c>
      <c r="E52" s="55" t="str">
        <f>IF(tblplaneteco[[#This Row],[Unlocked]]=1,
   ROUND(tblplaneteco[[#This Row],[Ship Upgrade Cost]] * tblplaneteco[[#This Row],[Unlock Price]],0),
   ""
)</f>
        <v/>
      </c>
      <c r="F52" s="55" t="str">
        <f>IF(tblplaneteco[[#This Row],[Unlocked]]=1,
   ROUND(tblplaneteco[[#This Row],[Cargo Upgrade Cost]] * tblplaneteco[[#This Row],[Unlock Price]],0),
   ""
)</f>
        <v/>
      </c>
      <c r="G52" s="56">
        <f>_xlfn.XLOOKUP(tblplaneteco[[#This Row],[Planet '#]],tblprogress[Planet '#],tblprogress[Unlocked])</f>
        <v>0</v>
      </c>
      <c r="H52" s="56">
        <f>_xlfn.XLOOKUP(tblplaneteco[[#This Row],[Planet '#]],tblPlanets[Planet '#],tblPlanets[Unlock Price])</f>
        <v>1E+19</v>
      </c>
      <c r="I52" s="58">
        <f>_xlfn.XLOOKUP(tblplaneteco[[#This Row],[Planet '#]],tblprogress[Planet '#],tblprogress[Mining Level])</f>
        <v>0</v>
      </c>
      <c r="J52" s="15">
        <f>_xlfn.XLOOKUP(tblplaneteco[[#This Row],[Mining Level]],tblUpgradeStats[Level],tblUpgradeStats[Upgrade Price (per Level)],0)</f>
        <v>0</v>
      </c>
      <c r="K52" s="58">
        <f>_xlfn.XLOOKUP(tblplaneteco[[#This Row],[Planet '#]],tblprogress[Planet '#],tblprogress[Ship Level])</f>
        <v>0</v>
      </c>
      <c r="L52" s="15">
        <f>_xlfn.XLOOKUP(tblplaneteco[[#This Row],[Ship Level]],tblUpgradeStats[Level],tblUpgradeStats[Upgrade Price (per Level)],0)</f>
        <v>0</v>
      </c>
      <c r="M52" s="58">
        <f>_xlfn.XLOOKUP(tblplaneteco[[#This Row],[Planet '#]],tblprogress[Planet '#],tblprogress[Cargo Level])</f>
        <v>0</v>
      </c>
      <c r="N52" s="15">
        <f>_xlfn.XLOOKUP(tblplaneteco[[#This Row],[Cargo Level]],tblUpgradeStats[Level],tblUpgradeStats[Upgrade Price (per Level)],0)</f>
        <v>0</v>
      </c>
      <c r="O52" s="55" t="str">
        <f>IF(
   _xlfn.XLOOKUP(tblplaneteco[[#This Row],[Planet '#]], tblPlanets[Planet '#], tblPlanets[Name])=tblplaneteco[[#This Row],[Name]],
   "Match",
   "Mismatch"
)</f>
        <v>Match</v>
      </c>
    </row>
    <row r="53" spans="1:15" x14ac:dyDescent="0.3">
      <c r="A53" s="25">
        <v>52</v>
      </c>
      <c r="B53" s="25" t="str">
        <f>_xlfn.XLOOKUP(tblprogress[[#This Row],[Planet '#]],tblPlanets[Planet '#],tblPlanets[Name])</f>
        <v>Vega</v>
      </c>
      <c r="C53" s="55">
        <f>IF(tblplaneteco[[#This Row],[Unlocked]]=1,"",tblplaneteco[[#This Row],[Unlock Price]])</f>
        <v>2.5E+19</v>
      </c>
      <c r="D53" s="55" t="str">
        <f>IF(tblplaneteco[[#This Row],[Unlocked]]=1,
   ROUND(tblplaneteco[[#This Row],[Mining Upgrade Cost]] * tblplaneteco[[#This Row],[Unlock Price]],0),
   ""
)</f>
        <v/>
      </c>
      <c r="E53" s="55" t="str">
        <f>IF(tblplaneteco[[#This Row],[Unlocked]]=1,
   ROUND(tblplaneteco[[#This Row],[Ship Upgrade Cost]] * tblplaneteco[[#This Row],[Unlock Price]],0),
   ""
)</f>
        <v/>
      </c>
      <c r="F53" s="55" t="str">
        <f>IF(tblplaneteco[[#This Row],[Unlocked]]=1,
   ROUND(tblplaneteco[[#This Row],[Cargo Upgrade Cost]] * tblplaneteco[[#This Row],[Unlock Price]],0),
   ""
)</f>
        <v/>
      </c>
      <c r="G53" s="14">
        <f>_xlfn.XLOOKUP(tblplaneteco[[#This Row],[Planet '#]],tblprogress[Planet '#],tblprogress[Unlocked])</f>
        <v>0</v>
      </c>
      <c r="H53" s="14">
        <f>_xlfn.XLOOKUP(tblplaneteco[[#This Row],[Planet '#]],tblPlanets[Planet '#],tblPlanets[Unlock Price])</f>
        <v>2.5E+19</v>
      </c>
      <c r="I53" s="58">
        <f>_xlfn.XLOOKUP(tblplaneteco[[#This Row],[Planet '#]],tblprogress[Planet '#],tblprogress[Mining Level])</f>
        <v>0</v>
      </c>
      <c r="J53" s="15">
        <f>_xlfn.XLOOKUP(tblplaneteco[[#This Row],[Mining Level]],tblUpgradeStats[Level],tblUpgradeStats[Upgrade Price (per Level)],0)</f>
        <v>0</v>
      </c>
      <c r="K53" s="58">
        <f>_xlfn.XLOOKUP(tblplaneteco[[#This Row],[Planet '#]],tblprogress[Planet '#],tblprogress[Ship Level])</f>
        <v>0</v>
      </c>
      <c r="L53" s="15">
        <f>_xlfn.XLOOKUP(tblplaneteco[[#This Row],[Ship Level]],tblUpgradeStats[Level],tblUpgradeStats[Upgrade Price (per Level)],0)</f>
        <v>0</v>
      </c>
      <c r="M53" s="58">
        <f>_xlfn.XLOOKUP(tblplaneteco[[#This Row],[Planet '#]],tblprogress[Planet '#],tblprogress[Cargo Level])</f>
        <v>0</v>
      </c>
      <c r="N53" s="15">
        <f>_xlfn.XLOOKUP(tblplaneteco[[#This Row],[Cargo Level]],tblUpgradeStats[Level],tblUpgradeStats[Upgrade Price (per Level)],0)</f>
        <v>0</v>
      </c>
      <c r="O53" s="55" t="str">
        <f>IF(
   _xlfn.XLOOKUP(tblplaneteco[[#This Row],[Planet '#]], tblPlanets[Planet '#], tblPlanets[Name])=tblplaneteco[[#This Row],[Name]],
   "Match",
   "Mismatch"
)</f>
        <v>Match</v>
      </c>
    </row>
    <row r="54" spans="1:15" x14ac:dyDescent="0.3">
      <c r="A54" s="24">
        <v>53</v>
      </c>
      <c r="B54" s="24" t="str">
        <f>_xlfn.XLOOKUP(tblprogress[[#This Row],[Planet '#]],tblPlanets[Planet '#],tblPlanets[Name])</f>
        <v>Crius</v>
      </c>
      <c r="C54" s="55">
        <f>IF(tblplaneteco[[#This Row],[Unlocked]]=1,"",tblplaneteco[[#This Row],[Unlock Price]])</f>
        <v>6E+19</v>
      </c>
      <c r="D54" s="55" t="str">
        <f>IF(tblplaneteco[[#This Row],[Unlocked]]=1,
   ROUND(tblplaneteco[[#This Row],[Mining Upgrade Cost]] * tblplaneteco[[#This Row],[Unlock Price]],0),
   ""
)</f>
        <v/>
      </c>
      <c r="E54" s="55" t="str">
        <f>IF(tblplaneteco[[#This Row],[Unlocked]]=1,
   ROUND(tblplaneteco[[#This Row],[Ship Upgrade Cost]] * tblplaneteco[[#This Row],[Unlock Price]],0),
   ""
)</f>
        <v/>
      </c>
      <c r="F54" s="55" t="str">
        <f>IF(tblplaneteco[[#This Row],[Unlocked]]=1,
   ROUND(tblplaneteco[[#This Row],[Cargo Upgrade Cost]] * tblplaneteco[[#This Row],[Unlock Price]],0),
   ""
)</f>
        <v/>
      </c>
      <c r="G54" s="56">
        <f>_xlfn.XLOOKUP(tblplaneteco[[#This Row],[Planet '#]],tblprogress[Planet '#],tblprogress[Unlocked])</f>
        <v>0</v>
      </c>
      <c r="H54" s="56">
        <f>_xlfn.XLOOKUP(tblplaneteco[[#This Row],[Planet '#]],tblPlanets[Planet '#],tblPlanets[Unlock Price])</f>
        <v>6E+19</v>
      </c>
      <c r="I54" s="58">
        <f>_xlfn.XLOOKUP(tblplaneteco[[#This Row],[Planet '#]],tblprogress[Planet '#],tblprogress[Mining Level])</f>
        <v>0</v>
      </c>
      <c r="J54" s="15">
        <f>_xlfn.XLOOKUP(tblplaneteco[[#This Row],[Mining Level]],tblUpgradeStats[Level],tblUpgradeStats[Upgrade Price (per Level)],0)</f>
        <v>0</v>
      </c>
      <c r="K54" s="58">
        <f>_xlfn.XLOOKUP(tblplaneteco[[#This Row],[Planet '#]],tblprogress[Planet '#],tblprogress[Ship Level])</f>
        <v>0</v>
      </c>
      <c r="L54" s="15">
        <f>_xlfn.XLOOKUP(tblplaneteco[[#This Row],[Ship Level]],tblUpgradeStats[Level],tblUpgradeStats[Upgrade Price (per Level)],0)</f>
        <v>0</v>
      </c>
      <c r="M54" s="58">
        <f>_xlfn.XLOOKUP(tblplaneteco[[#This Row],[Planet '#]],tblprogress[Planet '#],tblprogress[Cargo Level])</f>
        <v>0</v>
      </c>
      <c r="N54" s="15">
        <f>_xlfn.XLOOKUP(tblplaneteco[[#This Row],[Cargo Level]],tblUpgradeStats[Level],tblUpgradeStats[Upgrade Price (per Level)],0)</f>
        <v>0</v>
      </c>
      <c r="O54" s="55" t="str">
        <f>IF(
   _xlfn.XLOOKUP(tblplaneteco[[#This Row],[Planet '#]], tblPlanets[Planet '#], tblPlanets[Name])=tblplaneteco[[#This Row],[Name]],
   "Match",
   "Mismatch"
)</f>
        <v>Match</v>
      </c>
    </row>
    <row r="55" spans="1:15" x14ac:dyDescent="0.3">
      <c r="A55" s="25">
        <v>54</v>
      </c>
      <c r="B55" s="25" t="str">
        <f>_xlfn.XLOOKUP(tblprogress[[#This Row],[Planet '#]],tblPlanets[Planet '#],tblPlanets[Name])</f>
        <v>Singhana</v>
      </c>
      <c r="C55" s="55">
        <f>IF(tblplaneteco[[#This Row],[Unlocked]]=1,"",tblplaneteco[[#This Row],[Unlock Price]])</f>
        <v>1.5E+20</v>
      </c>
      <c r="D55" s="55" t="str">
        <f>IF(tblplaneteco[[#This Row],[Unlocked]]=1,
   ROUND(tblplaneteco[[#This Row],[Mining Upgrade Cost]] * tblplaneteco[[#This Row],[Unlock Price]],0),
   ""
)</f>
        <v/>
      </c>
      <c r="E55" s="55" t="str">
        <f>IF(tblplaneteco[[#This Row],[Unlocked]]=1,
   ROUND(tblplaneteco[[#This Row],[Ship Upgrade Cost]] * tblplaneteco[[#This Row],[Unlock Price]],0),
   ""
)</f>
        <v/>
      </c>
      <c r="F55" s="55" t="str">
        <f>IF(tblplaneteco[[#This Row],[Unlocked]]=1,
   ROUND(tblplaneteco[[#This Row],[Cargo Upgrade Cost]] * tblplaneteco[[#This Row],[Unlock Price]],0),
   ""
)</f>
        <v/>
      </c>
      <c r="G55" s="14">
        <f>_xlfn.XLOOKUP(tblplaneteco[[#This Row],[Planet '#]],tblprogress[Planet '#],tblprogress[Unlocked])</f>
        <v>0</v>
      </c>
      <c r="H55" s="14">
        <f>_xlfn.XLOOKUP(tblplaneteco[[#This Row],[Planet '#]],tblPlanets[Planet '#],tblPlanets[Unlock Price])</f>
        <v>1.5E+20</v>
      </c>
      <c r="I55" s="58">
        <f>_xlfn.XLOOKUP(tblplaneteco[[#This Row],[Planet '#]],tblprogress[Planet '#],tblprogress[Mining Level])</f>
        <v>0</v>
      </c>
      <c r="J55" s="15">
        <f>_xlfn.XLOOKUP(tblplaneteco[[#This Row],[Mining Level]],tblUpgradeStats[Level],tblUpgradeStats[Upgrade Price (per Level)],0)</f>
        <v>0</v>
      </c>
      <c r="K55" s="58">
        <f>_xlfn.XLOOKUP(tblplaneteco[[#This Row],[Planet '#]],tblprogress[Planet '#],tblprogress[Ship Level])</f>
        <v>0</v>
      </c>
      <c r="L55" s="15">
        <f>_xlfn.XLOOKUP(tblplaneteco[[#This Row],[Ship Level]],tblUpgradeStats[Level],tblUpgradeStats[Upgrade Price (per Level)],0)</f>
        <v>0</v>
      </c>
      <c r="M55" s="58">
        <f>_xlfn.XLOOKUP(tblplaneteco[[#This Row],[Planet '#]],tblprogress[Planet '#],tblprogress[Cargo Level])</f>
        <v>0</v>
      </c>
      <c r="N55" s="15">
        <f>_xlfn.XLOOKUP(tblplaneteco[[#This Row],[Cargo Level]],tblUpgradeStats[Level],tblUpgradeStats[Upgrade Price (per Level)],0)</f>
        <v>0</v>
      </c>
      <c r="O55" s="55" t="str">
        <f>IF(
   _xlfn.XLOOKUP(tblplaneteco[[#This Row],[Planet '#]], tblPlanets[Planet '#], tblPlanets[Name])=tblplaneteco[[#This Row],[Name]],
   "Match",
   "Mismatch"
)</f>
        <v>Match</v>
      </c>
    </row>
    <row r="56" spans="1:15" x14ac:dyDescent="0.3">
      <c r="A56" s="24">
        <v>55</v>
      </c>
      <c r="B56" s="24" t="str">
        <f>_xlfn.XLOOKUP(tblprogress[[#This Row],[Planet '#]],tblPlanets[Planet '#],tblPlanets[Name])</f>
        <v>Zumbia</v>
      </c>
      <c r="C56" s="55">
        <f>IF(tblplaneteco[[#This Row],[Unlocked]]=1,"",tblplaneteco[[#This Row],[Unlock Price]])</f>
        <v>3.6E+20</v>
      </c>
      <c r="D56" s="55" t="str">
        <f>IF(tblplaneteco[[#This Row],[Unlocked]]=1,
   ROUND(tblplaneteco[[#This Row],[Mining Upgrade Cost]] * tblplaneteco[[#This Row],[Unlock Price]],0),
   ""
)</f>
        <v/>
      </c>
      <c r="E56" s="55" t="str">
        <f>IF(tblplaneteco[[#This Row],[Unlocked]]=1,
   ROUND(tblplaneteco[[#This Row],[Ship Upgrade Cost]] * tblplaneteco[[#This Row],[Unlock Price]],0),
   ""
)</f>
        <v/>
      </c>
      <c r="F56" s="55" t="str">
        <f>IF(tblplaneteco[[#This Row],[Unlocked]]=1,
   ROUND(tblplaneteco[[#This Row],[Cargo Upgrade Cost]] * tblplaneteco[[#This Row],[Unlock Price]],0),
   ""
)</f>
        <v/>
      </c>
      <c r="G56" s="56">
        <f>_xlfn.XLOOKUP(tblplaneteco[[#This Row],[Planet '#]],tblprogress[Planet '#],tblprogress[Unlocked])</f>
        <v>0</v>
      </c>
      <c r="H56" s="56">
        <f>_xlfn.XLOOKUP(tblplaneteco[[#This Row],[Planet '#]],tblPlanets[Planet '#],tblPlanets[Unlock Price])</f>
        <v>3.6E+20</v>
      </c>
      <c r="I56" s="58">
        <f>_xlfn.XLOOKUP(tblplaneteco[[#This Row],[Planet '#]],tblprogress[Planet '#],tblprogress[Mining Level])</f>
        <v>0</v>
      </c>
      <c r="J56" s="15">
        <f>_xlfn.XLOOKUP(tblplaneteco[[#This Row],[Mining Level]],tblUpgradeStats[Level],tblUpgradeStats[Upgrade Price (per Level)],0)</f>
        <v>0</v>
      </c>
      <c r="K56" s="58">
        <f>_xlfn.XLOOKUP(tblplaneteco[[#This Row],[Planet '#]],tblprogress[Planet '#],tblprogress[Ship Level])</f>
        <v>0</v>
      </c>
      <c r="L56" s="15">
        <f>_xlfn.XLOOKUP(tblplaneteco[[#This Row],[Ship Level]],tblUpgradeStats[Level],tblUpgradeStats[Upgrade Price (per Level)],0)</f>
        <v>0</v>
      </c>
      <c r="M56" s="58">
        <f>_xlfn.XLOOKUP(tblplaneteco[[#This Row],[Planet '#]],tblprogress[Planet '#],tblprogress[Cargo Level])</f>
        <v>0</v>
      </c>
      <c r="N56" s="15">
        <f>_xlfn.XLOOKUP(tblplaneteco[[#This Row],[Cargo Level]],tblUpgradeStats[Level],tblUpgradeStats[Upgrade Price (per Level)],0)</f>
        <v>0</v>
      </c>
      <c r="O56" s="55" t="str">
        <f>IF(
   _xlfn.XLOOKUP(tblplaneteco[[#This Row],[Planet '#]], tblPlanets[Planet '#], tblPlanets[Name])=tblplaneteco[[#This Row],[Name]],
   "Match",
   "Mismatch"
)</f>
        <v>Match</v>
      </c>
    </row>
    <row r="57" spans="1:15" x14ac:dyDescent="0.3">
      <c r="A57" s="25">
        <v>56</v>
      </c>
      <c r="B57" s="25" t="str">
        <f>_xlfn.XLOOKUP(tblprogress[[#This Row],[Planet '#]],tblPlanets[Planet '#],tblPlanets[Name])</f>
        <v>Elysium</v>
      </c>
      <c r="C57" s="55">
        <f>IF(tblplaneteco[[#This Row],[Unlocked]]=1,"",tblplaneteco[[#This Row],[Unlock Price]])</f>
        <v>9E+20</v>
      </c>
      <c r="D57" s="55" t="str">
        <f>IF(tblplaneteco[[#This Row],[Unlocked]]=1,
   ROUND(tblplaneteco[[#This Row],[Mining Upgrade Cost]] * tblplaneteco[[#This Row],[Unlock Price]],0),
   ""
)</f>
        <v/>
      </c>
      <c r="E57" s="55" t="str">
        <f>IF(tblplaneteco[[#This Row],[Unlocked]]=1,
   ROUND(tblplaneteco[[#This Row],[Ship Upgrade Cost]] * tblplaneteco[[#This Row],[Unlock Price]],0),
   ""
)</f>
        <v/>
      </c>
      <c r="F57" s="55" t="str">
        <f>IF(tblplaneteco[[#This Row],[Unlocked]]=1,
   ROUND(tblplaneteco[[#This Row],[Cargo Upgrade Cost]] * tblplaneteco[[#This Row],[Unlock Price]],0),
   ""
)</f>
        <v/>
      </c>
      <c r="G57" s="14">
        <f>_xlfn.XLOOKUP(tblplaneteco[[#This Row],[Planet '#]],tblprogress[Planet '#],tblprogress[Unlocked])</f>
        <v>0</v>
      </c>
      <c r="H57" s="14">
        <f>_xlfn.XLOOKUP(tblplaneteco[[#This Row],[Planet '#]],tblPlanets[Planet '#],tblPlanets[Unlock Price])</f>
        <v>9E+20</v>
      </c>
      <c r="I57" s="58">
        <f>_xlfn.XLOOKUP(tblplaneteco[[#This Row],[Planet '#]],tblprogress[Planet '#],tblprogress[Mining Level])</f>
        <v>0</v>
      </c>
      <c r="J57" s="15">
        <f>_xlfn.XLOOKUP(tblplaneteco[[#This Row],[Mining Level]],tblUpgradeStats[Level],tblUpgradeStats[Upgrade Price (per Level)],0)</f>
        <v>0</v>
      </c>
      <c r="K57" s="58">
        <f>_xlfn.XLOOKUP(tblplaneteco[[#This Row],[Planet '#]],tblprogress[Planet '#],tblprogress[Ship Level])</f>
        <v>0</v>
      </c>
      <c r="L57" s="15">
        <f>_xlfn.XLOOKUP(tblplaneteco[[#This Row],[Ship Level]],tblUpgradeStats[Level],tblUpgradeStats[Upgrade Price (per Level)],0)</f>
        <v>0</v>
      </c>
      <c r="M57" s="58">
        <f>_xlfn.XLOOKUP(tblplaneteco[[#This Row],[Planet '#]],tblprogress[Planet '#],tblprogress[Cargo Level])</f>
        <v>0</v>
      </c>
      <c r="N57" s="15">
        <f>_xlfn.XLOOKUP(tblplaneteco[[#This Row],[Cargo Level]],tblUpgradeStats[Level],tblUpgradeStats[Upgrade Price (per Level)],0)</f>
        <v>0</v>
      </c>
      <c r="O57" s="55" t="str">
        <f>IF(
   _xlfn.XLOOKUP(tblplaneteco[[#This Row],[Planet '#]], tblPlanets[Planet '#], tblPlanets[Name])=tblplaneteco[[#This Row],[Name]],
   "Match",
   "Mismatch"
)</f>
        <v>Match</v>
      </c>
    </row>
    <row r="58" spans="1:15" x14ac:dyDescent="0.3">
      <c r="A58" s="24">
        <v>57</v>
      </c>
      <c r="B58" s="24" t="str">
        <f>_xlfn.XLOOKUP(tblprogress[[#This Row],[Planet '#]],tblPlanets[Planet '#],tblPlanets[Name])</f>
        <v>Nyota</v>
      </c>
      <c r="C58" s="55">
        <f>IF(tblplaneteco[[#This Row],[Unlocked]]=1,"",tblplaneteco[[#This Row],[Unlock Price]])</f>
        <v>2.6E+21</v>
      </c>
      <c r="D58" s="55" t="str">
        <f>IF(tblplaneteco[[#This Row],[Unlocked]]=1,
   ROUND(tblplaneteco[[#This Row],[Mining Upgrade Cost]] * tblplaneteco[[#This Row],[Unlock Price]],0),
   ""
)</f>
        <v/>
      </c>
      <c r="E58" s="55" t="str">
        <f>IF(tblplaneteco[[#This Row],[Unlocked]]=1,
   ROUND(tblplaneteco[[#This Row],[Ship Upgrade Cost]] * tblplaneteco[[#This Row],[Unlock Price]],0),
   ""
)</f>
        <v/>
      </c>
      <c r="F58" s="55" t="str">
        <f>IF(tblplaneteco[[#This Row],[Unlocked]]=1,
   ROUND(tblplaneteco[[#This Row],[Cargo Upgrade Cost]] * tblplaneteco[[#This Row],[Unlock Price]],0),
   ""
)</f>
        <v/>
      </c>
      <c r="G58" s="56">
        <f>_xlfn.XLOOKUP(tblplaneteco[[#This Row],[Planet '#]],tblprogress[Planet '#],tblprogress[Unlocked])</f>
        <v>0</v>
      </c>
      <c r="H58" s="56">
        <f>_xlfn.XLOOKUP(tblplaneteco[[#This Row],[Planet '#]],tblPlanets[Planet '#],tblPlanets[Unlock Price])</f>
        <v>2.6E+21</v>
      </c>
      <c r="I58" s="58">
        <f>_xlfn.XLOOKUP(tblplaneteco[[#This Row],[Planet '#]],tblprogress[Planet '#],tblprogress[Mining Level])</f>
        <v>0</v>
      </c>
      <c r="J58" s="15">
        <f>_xlfn.XLOOKUP(tblplaneteco[[#This Row],[Mining Level]],tblUpgradeStats[Level],tblUpgradeStats[Upgrade Price (per Level)],0)</f>
        <v>0</v>
      </c>
      <c r="K58" s="58">
        <f>_xlfn.XLOOKUP(tblplaneteco[[#This Row],[Planet '#]],tblprogress[Planet '#],tblprogress[Ship Level])</f>
        <v>0</v>
      </c>
      <c r="L58" s="15">
        <f>_xlfn.XLOOKUP(tblplaneteco[[#This Row],[Ship Level]],tblUpgradeStats[Level],tblUpgradeStats[Upgrade Price (per Level)],0)</f>
        <v>0</v>
      </c>
      <c r="M58" s="58">
        <f>_xlfn.XLOOKUP(tblplaneteco[[#This Row],[Planet '#]],tblprogress[Planet '#],tblprogress[Cargo Level])</f>
        <v>0</v>
      </c>
      <c r="N58" s="15">
        <f>_xlfn.XLOOKUP(tblplaneteco[[#This Row],[Cargo Level]],tblUpgradeStats[Level],tblUpgradeStats[Upgrade Price (per Level)],0)</f>
        <v>0</v>
      </c>
      <c r="O58" s="55" t="str">
        <f>IF(
   _xlfn.XLOOKUP(tblplaneteco[[#This Row],[Planet '#]], tblPlanets[Planet '#], tblPlanets[Name])=tblplaneteco[[#This Row],[Name]],
   "Match",
   "Mismatch"
)</f>
        <v>Match</v>
      </c>
    </row>
    <row r="59" spans="1:15" x14ac:dyDescent="0.3">
      <c r="A59" s="25">
        <v>58</v>
      </c>
      <c r="B59" s="25" t="str">
        <f>_xlfn.XLOOKUP(tblprogress[[#This Row],[Planet '#]],tblPlanets[Planet '#],tblPlanets[Name])</f>
        <v>Doral</v>
      </c>
      <c r="C59" s="55">
        <f>IF(tblplaneteco[[#This Row],[Unlocked]]=1,"",tblplaneteco[[#This Row],[Unlock Price]])</f>
        <v>7.5E+21</v>
      </c>
      <c r="D59" s="55" t="str">
        <f>IF(tblplaneteco[[#This Row],[Unlocked]]=1,
   ROUND(tblplaneteco[[#This Row],[Mining Upgrade Cost]] * tblplaneteco[[#This Row],[Unlock Price]],0),
   ""
)</f>
        <v/>
      </c>
      <c r="E59" s="55" t="str">
        <f>IF(tblplaneteco[[#This Row],[Unlocked]]=1,
   ROUND(tblplaneteco[[#This Row],[Ship Upgrade Cost]] * tblplaneteco[[#This Row],[Unlock Price]],0),
   ""
)</f>
        <v/>
      </c>
      <c r="F59" s="55" t="str">
        <f>IF(tblplaneteco[[#This Row],[Unlocked]]=1,
   ROUND(tblplaneteco[[#This Row],[Cargo Upgrade Cost]] * tblplaneteco[[#This Row],[Unlock Price]],0),
   ""
)</f>
        <v/>
      </c>
      <c r="G59" s="14">
        <f>_xlfn.XLOOKUP(tblplaneteco[[#This Row],[Planet '#]],tblprogress[Planet '#],tblprogress[Unlocked])</f>
        <v>0</v>
      </c>
      <c r="H59" s="14">
        <f>_xlfn.XLOOKUP(tblplaneteco[[#This Row],[Planet '#]],tblPlanets[Planet '#],tblPlanets[Unlock Price])</f>
        <v>7.5E+21</v>
      </c>
      <c r="I59" s="58">
        <f>_xlfn.XLOOKUP(tblplaneteco[[#This Row],[Planet '#]],tblprogress[Planet '#],tblprogress[Mining Level])</f>
        <v>0</v>
      </c>
      <c r="J59" s="15">
        <f>_xlfn.XLOOKUP(tblplaneteco[[#This Row],[Mining Level]],tblUpgradeStats[Level],tblUpgradeStats[Upgrade Price (per Level)],0)</f>
        <v>0</v>
      </c>
      <c r="K59" s="58">
        <f>_xlfn.XLOOKUP(tblplaneteco[[#This Row],[Planet '#]],tblprogress[Planet '#],tblprogress[Ship Level])</f>
        <v>0</v>
      </c>
      <c r="L59" s="15">
        <f>_xlfn.XLOOKUP(tblplaneteco[[#This Row],[Ship Level]],tblUpgradeStats[Level],tblUpgradeStats[Upgrade Price (per Level)],0)</f>
        <v>0</v>
      </c>
      <c r="M59" s="58">
        <f>_xlfn.XLOOKUP(tblplaneteco[[#This Row],[Planet '#]],tblprogress[Planet '#],tblprogress[Cargo Level])</f>
        <v>0</v>
      </c>
      <c r="N59" s="15">
        <f>_xlfn.XLOOKUP(tblplaneteco[[#This Row],[Cargo Level]],tblUpgradeStats[Level],tblUpgradeStats[Upgrade Price (per Level)],0)</f>
        <v>0</v>
      </c>
      <c r="O59" s="55" t="str">
        <f>IF(
   _xlfn.XLOOKUP(tblplaneteco[[#This Row],[Planet '#]], tblPlanets[Planet '#], tblPlanets[Name])=tblplaneteco[[#This Row],[Name]],
   "Match",
   "Mismatch"
)</f>
        <v>Match</v>
      </c>
    </row>
    <row r="60" spans="1:15" x14ac:dyDescent="0.3">
      <c r="A60" s="24">
        <v>59</v>
      </c>
      <c r="B60" s="24" t="str">
        <f>_xlfn.XLOOKUP(tblprogress[[#This Row],[Planet '#]],tblPlanets[Planet '#],tblPlanets[Name])</f>
        <v>Nikara</v>
      </c>
      <c r="C60" s="55">
        <f>IF(tblplaneteco[[#This Row],[Unlocked]]=1,"",tblplaneteco[[#This Row],[Unlock Price]])</f>
        <v>2.1000000000000002E+22</v>
      </c>
      <c r="D60" s="55" t="str">
        <f>IF(tblplaneteco[[#This Row],[Unlocked]]=1,
   ROUND(tblplaneteco[[#This Row],[Mining Upgrade Cost]] * tblplaneteco[[#This Row],[Unlock Price]],0),
   ""
)</f>
        <v/>
      </c>
      <c r="E60" s="55" t="str">
        <f>IF(tblplaneteco[[#This Row],[Unlocked]]=1,
   ROUND(tblplaneteco[[#This Row],[Ship Upgrade Cost]] * tblplaneteco[[#This Row],[Unlock Price]],0),
   ""
)</f>
        <v/>
      </c>
      <c r="F60" s="55" t="str">
        <f>IF(tblplaneteco[[#This Row],[Unlocked]]=1,
   ROUND(tblplaneteco[[#This Row],[Cargo Upgrade Cost]] * tblplaneteco[[#This Row],[Unlock Price]],0),
   ""
)</f>
        <v/>
      </c>
      <c r="G60" s="56">
        <f>_xlfn.XLOOKUP(tblplaneteco[[#This Row],[Planet '#]],tblprogress[Planet '#],tblprogress[Unlocked])</f>
        <v>0</v>
      </c>
      <c r="H60" s="56">
        <f>_xlfn.XLOOKUP(tblplaneteco[[#This Row],[Planet '#]],tblPlanets[Planet '#],tblPlanets[Unlock Price])</f>
        <v>2.1000000000000002E+22</v>
      </c>
      <c r="I60" s="58">
        <f>_xlfn.XLOOKUP(tblplaneteco[[#This Row],[Planet '#]],tblprogress[Planet '#],tblprogress[Mining Level])</f>
        <v>0</v>
      </c>
      <c r="J60" s="15">
        <f>_xlfn.XLOOKUP(tblplaneteco[[#This Row],[Mining Level]],tblUpgradeStats[Level],tblUpgradeStats[Upgrade Price (per Level)],0)</f>
        <v>0</v>
      </c>
      <c r="K60" s="58">
        <f>_xlfn.XLOOKUP(tblplaneteco[[#This Row],[Planet '#]],tblprogress[Planet '#],tblprogress[Ship Level])</f>
        <v>0</v>
      </c>
      <c r="L60" s="15">
        <f>_xlfn.XLOOKUP(tblplaneteco[[#This Row],[Ship Level]],tblUpgradeStats[Level],tblUpgradeStats[Upgrade Price (per Level)],0)</f>
        <v>0</v>
      </c>
      <c r="M60" s="58">
        <f>_xlfn.XLOOKUP(tblplaneteco[[#This Row],[Planet '#]],tblprogress[Planet '#],tblprogress[Cargo Level])</f>
        <v>0</v>
      </c>
      <c r="N60" s="15">
        <f>_xlfn.XLOOKUP(tblplaneteco[[#This Row],[Cargo Level]],tblUpgradeStats[Level],tblUpgradeStats[Upgrade Price (per Level)],0)</f>
        <v>0</v>
      </c>
      <c r="O60" s="55" t="str">
        <f>IF(
   _xlfn.XLOOKUP(tblplaneteco[[#This Row],[Planet '#]], tblPlanets[Planet '#], tblPlanets[Name])=tblplaneteco[[#This Row],[Name]],
   "Match",
   "Mismatch"
)</f>
        <v>Match</v>
      </c>
    </row>
    <row r="61" spans="1:15" x14ac:dyDescent="0.3">
      <c r="A61" s="25">
        <v>60</v>
      </c>
      <c r="B61" s="25" t="str">
        <f>_xlfn.XLOOKUP(tblprogress[[#This Row],[Planet '#]],tblPlanets[Planet '#],tblPlanets[Name])</f>
        <v>Limbo</v>
      </c>
      <c r="C61" s="55">
        <f>IF(tblplaneteco[[#This Row],[Unlocked]]=1,"",tblplaneteco[[#This Row],[Unlock Price]])</f>
        <v>5.9000000000000002E+22</v>
      </c>
      <c r="D61" s="55" t="str">
        <f>IF(tblplaneteco[[#This Row],[Unlocked]]=1,
   ROUND(tblplaneteco[[#This Row],[Mining Upgrade Cost]] * tblplaneteco[[#This Row],[Unlock Price]],0),
   ""
)</f>
        <v/>
      </c>
      <c r="E61" s="55" t="str">
        <f>IF(tblplaneteco[[#This Row],[Unlocked]]=1,
   ROUND(tblplaneteco[[#This Row],[Ship Upgrade Cost]] * tblplaneteco[[#This Row],[Unlock Price]],0),
   ""
)</f>
        <v/>
      </c>
      <c r="F61" s="55" t="str">
        <f>IF(tblplaneteco[[#This Row],[Unlocked]]=1,
   ROUND(tblplaneteco[[#This Row],[Cargo Upgrade Cost]] * tblplaneteco[[#This Row],[Unlock Price]],0),
   ""
)</f>
        <v/>
      </c>
      <c r="G61" s="14">
        <f>_xlfn.XLOOKUP(tblplaneteco[[#This Row],[Planet '#]],tblprogress[Planet '#],tblprogress[Unlocked])</f>
        <v>0</v>
      </c>
      <c r="H61" s="14">
        <f>_xlfn.XLOOKUP(tblplaneteco[[#This Row],[Planet '#]],tblPlanets[Planet '#],tblPlanets[Unlock Price])</f>
        <v>5.9000000000000002E+22</v>
      </c>
      <c r="I61" s="58">
        <f>_xlfn.XLOOKUP(tblplaneteco[[#This Row],[Planet '#]],tblprogress[Planet '#],tblprogress[Mining Level])</f>
        <v>0</v>
      </c>
      <c r="J61" s="15">
        <f>_xlfn.XLOOKUP(tblplaneteco[[#This Row],[Mining Level]],tblUpgradeStats[Level],tblUpgradeStats[Upgrade Price (per Level)],0)</f>
        <v>0</v>
      </c>
      <c r="K61" s="58">
        <f>_xlfn.XLOOKUP(tblplaneteco[[#This Row],[Planet '#]],tblprogress[Planet '#],tblprogress[Ship Level])</f>
        <v>0</v>
      </c>
      <c r="L61" s="15">
        <f>_xlfn.XLOOKUP(tblplaneteco[[#This Row],[Ship Level]],tblUpgradeStats[Level],tblUpgradeStats[Upgrade Price (per Level)],0)</f>
        <v>0</v>
      </c>
      <c r="M61" s="58">
        <f>_xlfn.XLOOKUP(tblplaneteco[[#This Row],[Planet '#]],tblprogress[Planet '#],tblprogress[Cargo Level])</f>
        <v>0</v>
      </c>
      <c r="N61" s="15">
        <f>_xlfn.XLOOKUP(tblplaneteco[[#This Row],[Cargo Level]],tblUpgradeStats[Level],tblUpgradeStats[Upgrade Price (per Level)],0)</f>
        <v>0</v>
      </c>
      <c r="O61" s="55" t="str">
        <f>IF(
   _xlfn.XLOOKUP(tblplaneteco[[#This Row],[Planet '#]], tblPlanets[Planet '#], tblPlanets[Name])=tblplaneteco[[#This Row],[Name]],
   "Match",
   "Mismatch"
)</f>
        <v>Match</v>
      </c>
    </row>
    <row r="62" spans="1:15" x14ac:dyDescent="0.3">
      <c r="A62" s="24">
        <v>61</v>
      </c>
      <c r="B62" s="24" t="str">
        <f>_xlfn.XLOOKUP(tblprogress[[#This Row],[Planet '#]],tblPlanets[Planet '#],tblPlanets[Name])</f>
        <v>Bob</v>
      </c>
      <c r="C62" s="55">
        <f>IF(tblplaneteco[[#This Row],[Unlocked]]=1,"",tblplaneteco[[#This Row],[Unlock Price]])</f>
        <v>1.7E+23</v>
      </c>
      <c r="D62" s="55" t="str">
        <f>IF(tblplaneteco[[#This Row],[Unlocked]]=1,
   ROUND(tblplaneteco[[#This Row],[Mining Upgrade Cost]] * tblplaneteco[[#This Row],[Unlock Price]],0),
   ""
)</f>
        <v/>
      </c>
      <c r="E62" s="55" t="str">
        <f>IF(tblplaneteco[[#This Row],[Unlocked]]=1,
   ROUND(tblplaneteco[[#This Row],[Ship Upgrade Cost]] * tblplaneteco[[#This Row],[Unlock Price]],0),
   ""
)</f>
        <v/>
      </c>
      <c r="F62" s="55" t="str">
        <f>IF(tblplaneteco[[#This Row],[Unlocked]]=1,
   ROUND(tblplaneteco[[#This Row],[Cargo Upgrade Cost]] * tblplaneteco[[#This Row],[Unlock Price]],0),
   ""
)</f>
        <v/>
      </c>
      <c r="G62" s="56">
        <f>_xlfn.XLOOKUP(tblplaneteco[[#This Row],[Planet '#]],tblprogress[Planet '#],tblprogress[Unlocked])</f>
        <v>0</v>
      </c>
      <c r="H62" s="56">
        <f>_xlfn.XLOOKUP(tblplaneteco[[#This Row],[Planet '#]],tblPlanets[Planet '#],tblPlanets[Unlock Price])</f>
        <v>1.7E+23</v>
      </c>
      <c r="I62" s="58">
        <f>_xlfn.XLOOKUP(tblplaneteco[[#This Row],[Planet '#]],tblprogress[Planet '#],tblprogress[Mining Level])</f>
        <v>0</v>
      </c>
      <c r="J62" s="15">
        <f>_xlfn.XLOOKUP(tblplaneteco[[#This Row],[Mining Level]],tblUpgradeStats[Level],tblUpgradeStats[Upgrade Price (per Level)],0)</f>
        <v>0</v>
      </c>
      <c r="K62" s="58">
        <f>_xlfn.XLOOKUP(tblplaneteco[[#This Row],[Planet '#]],tblprogress[Planet '#],tblprogress[Ship Level])</f>
        <v>0</v>
      </c>
      <c r="L62" s="15">
        <f>_xlfn.XLOOKUP(tblplaneteco[[#This Row],[Ship Level]],tblUpgradeStats[Level],tblUpgradeStats[Upgrade Price (per Level)],0)</f>
        <v>0</v>
      </c>
      <c r="M62" s="58">
        <f>_xlfn.XLOOKUP(tblplaneteco[[#This Row],[Planet '#]],tblprogress[Planet '#],tblprogress[Cargo Level])</f>
        <v>0</v>
      </c>
      <c r="N62" s="15">
        <f>_xlfn.XLOOKUP(tblplaneteco[[#This Row],[Cargo Level]],tblUpgradeStats[Level],tblUpgradeStats[Upgrade Price (per Level)],0)</f>
        <v>0</v>
      </c>
      <c r="O62" s="55" t="str">
        <f>IF(
   _xlfn.XLOOKUP(tblplaneteco[[#This Row],[Planet '#]], tblPlanets[Planet '#], tblPlanets[Name])=tblplaneteco[[#This Row],[Name]],
   "Match",
   "Mismatch"
)</f>
        <v>Match</v>
      </c>
    </row>
    <row r="63" spans="1:15" x14ac:dyDescent="0.3">
      <c r="A63" s="25">
        <v>62</v>
      </c>
      <c r="B63" s="25" t="str">
        <f>_xlfn.XLOOKUP(tblprogress[[#This Row],[Planet '#]],tblPlanets[Planet '#],tblPlanets[Name])</f>
        <v>Midas</v>
      </c>
      <c r="C63" s="55">
        <f>IF(tblplaneteco[[#This Row],[Unlocked]]=1,"",tblplaneteco[[#This Row],[Unlock Price]])</f>
        <v>4.6000000000000001E+23</v>
      </c>
      <c r="D63" s="55" t="str">
        <f>IF(tblplaneteco[[#This Row],[Unlocked]]=1,
   ROUND(tblplaneteco[[#This Row],[Mining Upgrade Cost]] * tblplaneteco[[#This Row],[Unlock Price]],0),
   ""
)</f>
        <v/>
      </c>
      <c r="E63" s="55" t="str">
        <f>IF(tblplaneteco[[#This Row],[Unlocked]]=1,
   ROUND(tblplaneteco[[#This Row],[Ship Upgrade Cost]] * tblplaneteco[[#This Row],[Unlock Price]],0),
   ""
)</f>
        <v/>
      </c>
      <c r="F63" s="55" t="str">
        <f>IF(tblplaneteco[[#This Row],[Unlocked]]=1,
   ROUND(tblplaneteco[[#This Row],[Cargo Upgrade Cost]] * tblplaneteco[[#This Row],[Unlock Price]],0),
   ""
)</f>
        <v/>
      </c>
      <c r="G63" s="14">
        <f>_xlfn.XLOOKUP(tblplaneteco[[#This Row],[Planet '#]],tblprogress[Planet '#],tblprogress[Unlocked])</f>
        <v>0</v>
      </c>
      <c r="H63" s="14">
        <f>_xlfn.XLOOKUP(tblplaneteco[[#This Row],[Planet '#]],tblPlanets[Planet '#],tblPlanets[Unlock Price])</f>
        <v>4.6000000000000001E+23</v>
      </c>
      <c r="I63" s="58">
        <f>_xlfn.XLOOKUP(tblplaneteco[[#This Row],[Planet '#]],tblprogress[Planet '#],tblprogress[Mining Level])</f>
        <v>0</v>
      </c>
      <c r="J63" s="15">
        <f>_xlfn.XLOOKUP(tblplaneteco[[#This Row],[Mining Level]],tblUpgradeStats[Level],tblUpgradeStats[Upgrade Price (per Level)],0)</f>
        <v>0</v>
      </c>
      <c r="K63" s="58">
        <f>_xlfn.XLOOKUP(tblplaneteco[[#This Row],[Planet '#]],tblprogress[Planet '#],tblprogress[Ship Level])</f>
        <v>0</v>
      </c>
      <c r="L63" s="15">
        <f>_xlfn.XLOOKUP(tblplaneteco[[#This Row],[Ship Level]],tblUpgradeStats[Level],tblUpgradeStats[Upgrade Price (per Level)],0)</f>
        <v>0</v>
      </c>
      <c r="M63" s="58">
        <f>_xlfn.XLOOKUP(tblplaneteco[[#This Row],[Planet '#]],tblprogress[Planet '#],tblprogress[Cargo Level])</f>
        <v>0</v>
      </c>
      <c r="N63" s="15">
        <f>_xlfn.XLOOKUP(tblplaneteco[[#This Row],[Cargo Level]],tblUpgradeStats[Level],tblUpgradeStats[Upgrade Price (per Level)],0)</f>
        <v>0</v>
      </c>
      <c r="O63" s="55" t="str">
        <f>IF(
   _xlfn.XLOOKUP(tblplaneteco[[#This Row],[Planet '#]], tblPlanets[Planet '#], tblPlanets[Name])=tblplaneteco[[#This Row],[Name]],
   "Match",
   "Mismatch"
)</f>
        <v>Match</v>
      </c>
    </row>
    <row r="64" spans="1:15" x14ac:dyDescent="0.3">
      <c r="A64" s="24">
        <v>63</v>
      </c>
      <c r="B64" s="24" t="str">
        <f>_xlfn.XLOOKUP(tblprogress[[#This Row],[Planet '#]],tblPlanets[Planet '#],tblPlanets[Name])</f>
        <v>Antigone</v>
      </c>
      <c r="C64" s="55">
        <f>IF(tblplaneteco[[#This Row],[Unlocked]]=1,"",tblplaneteco[[#This Row],[Unlock Price]])</f>
        <v>1.2999999999999999E+24</v>
      </c>
      <c r="D64" s="55" t="str">
        <f>IF(tblplaneteco[[#This Row],[Unlocked]]=1,
   ROUND(tblplaneteco[[#This Row],[Mining Upgrade Cost]] * tblplaneteco[[#This Row],[Unlock Price]],0),
   ""
)</f>
        <v/>
      </c>
      <c r="E64" s="55" t="str">
        <f>IF(tblplaneteco[[#This Row],[Unlocked]]=1,
   ROUND(tblplaneteco[[#This Row],[Ship Upgrade Cost]] * tblplaneteco[[#This Row],[Unlock Price]],0),
   ""
)</f>
        <v/>
      </c>
      <c r="F64" s="55" t="str">
        <f>IF(tblplaneteco[[#This Row],[Unlocked]]=1,
   ROUND(tblplaneteco[[#This Row],[Cargo Upgrade Cost]] * tblplaneteco[[#This Row],[Unlock Price]],0),
   ""
)</f>
        <v/>
      </c>
      <c r="G64" s="56">
        <f>_xlfn.XLOOKUP(tblplaneteco[[#This Row],[Planet '#]],tblprogress[Planet '#],tblprogress[Unlocked])</f>
        <v>0</v>
      </c>
      <c r="H64" s="56">
        <f>_xlfn.XLOOKUP(tblplaneteco[[#This Row],[Planet '#]],tblPlanets[Planet '#],tblPlanets[Unlock Price])</f>
        <v>1.2999999999999999E+24</v>
      </c>
      <c r="I64" s="58">
        <f>_xlfn.XLOOKUP(tblplaneteco[[#This Row],[Planet '#]],tblprogress[Planet '#],tblprogress[Mining Level])</f>
        <v>0</v>
      </c>
      <c r="J64" s="15">
        <f>_xlfn.XLOOKUP(tblplaneteco[[#This Row],[Mining Level]],tblUpgradeStats[Level],tblUpgradeStats[Upgrade Price (per Level)],0)</f>
        <v>0</v>
      </c>
      <c r="K64" s="58">
        <f>_xlfn.XLOOKUP(tblplaneteco[[#This Row],[Planet '#]],tblprogress[Planet '#],tblprogress[Ship Level])</f>
        <v>0</v>
      </c>
      <c r="L64" s="15">
        <f>_xlfn.XLOOKUP(tblplaneteco[[#This Row],[Ship Level]],tblUpgradeStats[Level],tblUpgradeStats[Upgrade Price (per Level)],0)</f>
        <v>0</v>
      </c>
      <c r="M64" s="58">
        <f>_xlfn.XLOOKUP(tblplaneteco[[#This Row],[Planet '#]],tblprogress[Planet '#],tblprogress[Cargo Level])</f>
        <v>0</v>
      </c>
      <c r="N64" s="15">
        <f>_xlfn.XLOOKUP(tblplaneteco[[#This Row],[Cargo Level]],tblUpgradeStats[Level],tblUpgradeStats[Upgrade Price (per Level)],0)</f>
        <v>0</v>
      </c>
      <c r="O64" s="55" t="str">
        <f>IF(
   _xlfn.XLOOKUP(tblplaneteco[[#This Row],[Planet '#]], tblPlanets[Planet '#], tblPlanets[Name])=tblplaneteco[[#This Row],[Name]],
   "Match",
   "Mismatch"
)</f>
        <v>Match</v>
      </c>
    </row>
    <row r="65" spans="1:15" x14ac:dyDescent="0.3">
      <c r="A65" s="25">
        <v>64</v>
      </c>
      <c r="B65" s="25" t="str">
        <f>_xlfn.XLOOKUP(tblprogress[[#This Row],[Planet '#]],tblPlanets[Planet '#],tblPlanets[Name])</f>
        <v>Hecate</v>
      </c>
      <c r="C65" s="55">
        <f>IF(tblplaneteco[[#This Row],[Unlocked]]=1,"",tblplaneteco[[#This Row],[Unlock Price]])</f>
        <v>3.8999999999999998E+24</v>
      </c>
      <c r="D65" s="55" t="str">
        <f>IF(tblplaneteco[[#This Row],[Unlocked]]=1,
   ROUND(tblplaneteco[[#This Row],[Mining Upgrade Cost]] * tblplaneteco[[#This Row],[Unlock Price]],0),
   ""
)</f>
        <v/>
      </c>
      <c r="E65" s="55" t="str">
        <f>IF(tblplaneteco[[#This Row],[Unlocked]]=1,
   ROUND(tblplaneteco[[#This Row],[Ship Upgrade Cost]] * tblplaneteco[[#This Row],[Unlock Price]],0),
   ""
)</f>
        <v/>
      </c>
      <c r="F65" s="55" t="str">
        <f>IF(tblplaneteco[[#This Row],[Unlocked]]=1,
   ROUND(tblplaneteco[[#This Row],[Cargo Upgrade Cost]] * tblplaneteco[[#This Row],[Unlock Price]],0),
   ""
)</f>
        <v/>
      </c>
      <c r="G65" s="14">
        <f>_xlfn.XLOOKUP(tblplaneteco[[#This Row],[Planet '#]],tblprogress[Planet '#],tblprogress[Unlocked])</f>
        <v>0</v>
      </c>
      <c r="H65" s="14">
        <f>_xlfn.XLOOKUP(tblplaneteco[[#This Row],[Planet '#]],tblPlanets[Planet '#],tblPlanets[Unlock Price])</f>
        <v>3.8999999999999998E+24</v>
      </c>
      <c r="I65" s="58">
        <f>_xlfn.XLOOKUP(tblplaneteco[[#This Row],[Planet '#]],tblprogress[Planet '#],tblprogress[Mining Level])</f>
        <v>0</v>
      </c>
      <c r="J65" s="15">
        <f>_xlfn.XLOOKUP(tblplaneteco[[#This Row],[Mining Level]],tblUpgradeStats[Level],tblUpgradeStats[Upgrade Price (per Level)],0)</f>
        <v>0</v>
      </c>
      <c r="K65" s="58">
        <f>_xlfn.XLOOKUP(tblplaneteco[[#This Row],[Planet '#]],tblprogress[Planet '#],tblprogress[Ship Level])</f>
        <v>0</v>
      </c>
      <c r="L65" s="15">
        <f>_xlfn.XLOOKUP(tblplaneteco[[#This Row],[Ship Level]],tblUpgradeStats[Level],tblUpgradeStats[Upgrade Price (per Level)],0)</f>
        <v>0</v>
      </c>
      <c r="M65" s="58">
        <f>_xlfn.XLOOKUP(tblplaneteco[[#This Row],[Planet '#]],tblprogress[Planet '#],tblprogress[Cargo Level])</f>
        <v>0</v>
      </c>
      <c r="N65" s="15">
        <f>_xlfn.XLOOKUP(tblplaneteco[[#This Row],[Cargo Level]],tblUpgradeStats[Level],tblUpgradeStats[Upgrade Price (per Level)],0)</f>
        <v>0</v>
      </c>
      <c r="O65" s="55" t="str">
        <f>IF(
   _xlfn.XLOOKUP(tblplaneteco[[#This Row],[Planet '#]], tblPlanets[Planet '#], tblPlanets[Name])=tblplaneteco[[#This Row],[Name]],
   "Match",
   "Mismatch"
)</f>
        <v>Match</v>
      </c>
    </row>
    <row r="66" spans="1:15" x14ac:dyDescent="0.3">
      <c r="A66" s="24">
        <v>65</v>
      </c>
      <c r="B66" s="24" t="str">
        <f>_xlfn.XLOOKUP(tblprogress[[#This Row],[Planet '#]],tblPlanets[Planet '#],tblPlanets[Name])</f>
        <v>Sterop</v>
      </c>
      <c r="C66" s="55">
        <f>IF(tblplaneteco[[#This Row],[Unlocked]]=1,"",tblplaneteco[[#This Row],[Unlock Price]])</f>
        <v>1.1000000000000002E+25</v>
      </c>
      <c r="D66" s="55" t="str">
        <f>IF(tblplaneteco[[#This Row],[Unlocked]]=1,
   ROUND(tblplaneteco[[#This Row],[Mining Upgrade Cost]] * tblplaneteco[[#This Row],[Unlock Price]],0),
   ""
)</f>
        <v/>
      </c>
      <c r="E66" s="55" t="str">
        <f>IF(tblplaneteco[[#This Row],[Unlocked]]=1,
   ROUND(tblplaneteco[[#This Row],[Ship Upgrade Cost]] * tblplaneteco[[#This Row],[Unlock Price]],0),
   ""
)</f>
        <v/>
      </c>
      <c r="F66" s="55" t="str">
        <f>IF(tblplaneteco[[#This Row],[Unlocked]]=1,
   ROUND(tblplaneteco[[#This Row],[Cargo Upgrade Cost]] * tblplaneteco[[#This Row],[Unlock Price]],0),
   ""
)</f>
        <v/>
      </c>
      <c r="G66" s="56">
        <f>_xlfn.XLOOKUP(tblplaneteco[[#This Row],[Planet '#]],tblprogress[Planet '#],tblprogress[Unlocked])</f>
        <v>0</v>
      </c>
      <c r="H66" s="56">
        <f>_xlfn.XLOOKUP(tblplaneteco[[#This Row],[Planet '#]],tblPlanets[Planet '#],tblPlanets[Unlock Price])</f>
        <v>1.1000000000000002E+25</v>
      </c>
      <c r="I66" s="58">
        <f>_xlfn.XLOOKUP(tblplaneteco[[#This Row],[Planet '#]],tblprogress[Planet '#],tblprogress[Mining Level])</f>
        <v>0</v>
      </c>
      <c r="J66" s="15">
        <f>_xlfn.XLOOKUP(tblplaneteco[[#This Row],[Mining Level]],tblUpgradeStats[Level],tblUpgradeStats[Upgrade Price (per Level)],0)</f>
        <v>0</v>
      </c>
      <c r="K66" s="58">
        <f>_xlfn.XLOOKUP(tblplaneteco[[#This Row],[Planet '#]],tblprogress[Planet '#],tblprogress[Ship Level])</f>
        <v>0</v>
      </c>
      <c r="L66" s="15">
        <f>_xlfn.XLOOKUP(tblplaneteco[[#This Row],[Ship Level]],tblUpgradeStats[Level],tblUpgradeStats[Upgrade Price (per Level)],0)</f>
        <v>0</v>
      </c>
      <c r="M66" s="58">
        <f>_xlfn.XLOOKUP(tblplaneteco[[#This Row],[Planet '#]],tblprogress[Planet '#],tblprogress[Cargo Level])</f>
        <v>0</v>
      </c>
      <c r="N66" s="15">
        <f>_xlfn.XLOOKUP(tblplaneteco[[#This Row],[Cargo Level]],tblUpgradeStats[Level],tblUpgradeStats[Upgrade Price (per Level)],0)</f>
        <v>0</v>
      </c>
      <c r="O66" s="55" t="str">
        <f>IF(
   _xlfn.XLOOKUP(tblplaneteco[[#This Row],[Planet '#]], tblPlanets[Planet '#], tblPlanets[Name])=tblplaneteco[[#This Row],[Name]],
   "Match",
   "Mismatch"
)</f>
        <v>Match</v>
      </c>
    </row>
    <row r="67" spans="1:15" x14ac:dyDescent="0.3">
      <c r="A67" s="25">
        <v>66</v>
      </c>
      <c r="B67" s="25" t="str">
        <f>_xlfn.XLOOKUP(tblprogress[[#This Row],[Planet '#]],tblPlanets[Planet '#],tblPlanets[Name])</f>
        <v>Lavinia</v>
      </c>
      <c r="C67" s="55">
        <f>IF(tblplaneteco[[#This Row],[Unlocked]]=1,"",tblplaneteco[[#This Row],[Unlock Price]])</f>
        <v>3.3000000000000001E+25</v>
      </c>
      <c r="D67" s="55" t="str">
        <f>IF(tblplaneteco[[#This Row],[Unlocked]]=1,
   ROUND(tblplaneteco[[#This Row],[Mining Upgrade Cost]] * tblplaneteco[[#This Row],[Unlock Price]],0),
   ""
)</f>
        <v/>
      </c>
      <c r="E67" s="55" t="str">
        <f>IF(tblplaneteco[[#This Row],[Unlocked]]=1,
   ROUND(tblplaneteco[[#This Row],[Ship Upgrade Cost]] * tblplaneteco[[#This Row],[Unlock Price]],0),
   ""
)</f>
        <v/>
      </c>
      <c r="F67" s="55" t="str">
        <f>IF(tblplaneteco[[#This Row],[Unlocked]]=1,
   ROUND(tblplaneteco[[#This Row],[Cargo Upgrade Cost]] * tblplaneteco[[#This Row],[Unlock Price]],0),
   ""
)</f>
        <v/>
      </c>
      <c r="G67" s="14">
        <f>_xlfn.XLOOKUP(tblplaneteco[[#This Row],[Planet '#]],tblprogress[Planet '#],tblprogress[Unlocked])</f>
        <v>0</v>
      </c>
      <c r="H67" s="14">
        <f>_xlfn.XLOOKUP(tblplaneteco[[#This Row],[Planet '#]],tblPlanets[Planet '#],tblPlanets[Unlock Price])</f>
        <v>3.3000000000000001E+25</v>
      </c>
      <c r="I67" s="58">
        <f>_xlfn.XLOOKUP(tblplaneteco[[#This Row],[Planet '#]],tblprogress[Planet '#],tblprogress[Mining Level])</f>
        <v>0</v>
      </c>
      <c r="J67" s="15">
        <f>_xlfn.XLOOKUP(tblplaneteco[[#This Row],[Mining Level]],tblUpgradeStats[Level],tblUpgradeStats[Upgrade Price (per Level)],0)</f>
        <v>0</v>
      </c>
      <c r="K67" s="58">
        <f>_xlfn.XLOOKUP(tblplaneteco[[#This Row],[Planet '#]],tblprogress[Planet '#],tblprogress[Ship Level])</f>
        <v>0</v>
      </c>
      <c r="L67" s="15">
        <f>_xlfn.XLOOKUP(tblplaneteco[[#This Row],[Ship Level]],tblUpgradeStats[Level],tblUpgradeStats[Upgrade Price (per Level)],0)</f>
        <v>0</v>
      </c>
      <c r="M67" s="58">
        <f>_xlfn.XLOOKUP(tblplaneteco[[#This Row],[Planet '#]],tblprogress[Planet '#],tblprogress[Cargo Level])</f>
        <v>0</v>
      </c>
      <c r="N67" s="15">
        <f>_xlfn.XLOOKUP(tblplaneteco[[#This Row],[Cargo Level]],tblUpgradeStats[Level],tblUpgradeStats[Upgrade Price (per Level)],0)</f>
        <v>0</v>
      </c>
      <c r="O67" s="55" t="str">
        <f>IF(
   _xlfn.XLOOKUP(tblplaneteco[[#This Row],[Planet '#]], tblPlanets[Planet '#], tblPlanets[Name])=tblplaneteco[[#This Row],[Name]],
   "Match",
   "Mismatch"
)</f>
        <v>Match</v>
      </c>
    </row>
    <row r="68" spans="1:15" x14ac:dyDescent="0.3">
      <c r="A68" s="24">
        <v>67</v>
      </c>
      <c r="B68" s="24" t="str">
        <f>_xlfn.XLOOKUP(tblprogress[[#This Row],[Planet '#]],tblPlanets[Planet '#],tblPlanets[Name])</f>
        <v>Ren</v>
      </c>
      <c r="C68" s="55">
        <f>IF(tblplaneteco[[#This Row],[Unlocked]]=1,"",tblplaneteco[[#This Row],[Unlock Price]])</f>
        <v>9.5000000000000005E+25</v>
      </c>
      <c r="D68" s="55" t="str">
        <f>IF(tblplaneteco[[#This Row],[Unlocked]]=1,
   ROUND(tblplaneteco[[#This Row],[Mining Upgrade Cost]] * tblplaneteco[[#This Row],[Unlock Price]],0),
   ""
)</f>
        <v/>
      </c>
      <c r="E68" s="55" t="str">
        <f>IF(tblplaneteco[[#This Row],[Unlocked]]=1,
   ROUND(tblplaneteco[[#This Row],[Ship Upgrade Cost]] * tblplaneteco[[#This Row],[Unlock Price]],0),
   ""
)</f>
        <v/>
      </c>
      <c r="F68" s="55" t="str">
        <f>IF(tblplaneteco[[#This Row],[Unlocked]]=1,
   ROUND(tblplaneteco[[#This Row],[Cargo Upgrade Cost]] * tblplaneteco[[#This Row],[Unlock Price]],0),
   ""
)</f>
        <v/>
      </c>
      <c r="G68" s="56">
        <f>_xlfn.XLOOKUP(tblplaneteco[[#This Row],[Planet '#]],tblprogress[Planet '#],tblprogress[Unlocked])</f>
        <v>0</v>
      </c>
      <c r="H68" s="56">
        <f>_xlfn.XLOOKUP(tblplaneteco[[#This Row],[Planet '#]],tblPlanets[Planet '#],tblPlanets[Unlock Price])</f>
        <v>9.5000000000000005E+25</v>
      </c>
      <c r="I68" s="58">
        <f>_xlfn.XLOOKUP(tblplaneteco[[#This Row],[Planet '#]],tblprogress[Planet '#],tblprogress[Mining Level])</f>
        <v>0</v>
      </c>
      <c r="J68" s="15">
        <f>_xlfn.XLOOKUP(tblplaneteco[[#This Row],[Mining Level]],tblUpgradeStats[Level],tblUpgradeStats[Upgrade Price (per Level)],0)</f>
        <v>0</v>
      </c>
      <c r="K68" s="58">
        <f>_xlfn.XLOOKUP(tblplaneteco[[#This Row],[Planet '#]],tblprogress[Planet '#],tblprogress[Ship Level])</f>
        <v>0</v>
      </c>
      <c r="L68" s="15">
        <f>_xlfn.XLOOKUP(tblplaneteco[[#This Row],[Ship Level]],tblUpgradeStats[Level],tblUpgradeStats[Upgrade Price (per Level)],0)</f>
        <v>0</v>
      </c>
      <c r="M68" s="58">
        <f>_xlfn.XLOOKUP(tblplaneteco[[#This Row],[Planet '#]],tblprogress[Planet '#],tblprogress[Cargo Level])</f>
        <v>0</v>
      </c>
      <c r="N68" s="15">
        <f>_xlfn.XLOOKUP(tblplaneteco[[#This Row],[Cargo Level]],tblUpgradeStats[Level],tblUpgradeStats[Upgrade Price (per Level)],0)</f>
        <v>0</v>
      </c>
      <c r="O68" s="55" t="str">
        <f>IF(
   _xlfn.XLOOKUP(tblplaneteco[[#This Row],[Planet '#]], tblPlanets[Planet '#], tblPlanets[Name])=tblplaneteco[[#This Row],[Name]],
   "Match",
   "Mismatch"
)</f>
        <v>Match</v>
      </c>
    </row>
    <row r="69" spans="1:15" x14ac:dyDescent="0.3">
      <c r="A69" s="25">
        <v>68</v>
      </c>
      <c r="B69" s="25" t="str">
        <f>_xlfn.XLOOKUP(tblprogress[[#This Row],[Planet '#]],tblPlanets[Planet '#],tblPlanets[Name])</f>
        <v>Gorgons</v>
      </c>
      <c r="C69" s="55">
        <f>IF(tblplaneteco[[#This Row],[Unlocked]]=1,"",tblplaneteco[[#This Row],[Unlock Price]])</f>
        <v>2.7000000000000004E+26</v>
      </c>
      <c r="D69" s="55" t="str">
        <f>IF(tblplaneteco[[#This Row],[Unlocked]]=1,
   ROUND(tblplaneteco[[#This Row],[Mining Upgrade Cost]] * tblplaneteco[[#This Row],[Unlock Price]],0),
   ""
)</f>
        <v/>
      </c>
      <c r="E69" s="55" t="str">
        <f>IF(tblplaneteco[[#This Row],[Unlocked]]=1,
   ROUND(tblplaneteco[[#This Row],[Ship Upgrade Cost]] * tblplaneteco[[#This Row],[Unlock Price]],0),
   ""
)</f>
        <v/>
      </c>
      <c r="F69" s="55" t="str">
        <f>IF(tblplaneteco[[#This Row],[Unlocked]]=1,
   ROUND(tblplaneteco[[#This Row],[Cargo Upgrade Cost]] * tblplaneteco[[#This Row],[Unlock Price]],0),
   ""
)</f>
        <v/>
      </c>
      <c r="G69" s="14">
        <f>_xlfn.XLOOKUP(tblplaneteco[[#This Row],[Planet '#]],tblprogress[Planet '#],tblprogress[Unlocked])</f>
        <v>0</v>
      </c>
      <c r="H69" s="14">
        <f>_xlfn.XLOOKUP(tblplaneteco[[#This Row],[Planet '#]],tblPlanets[Planet '#],tblPlanets[Unlock Price])</f>
        <v>2.7000000000000004E+26</v>
      </c>
      <c r="I69" s="58">
        <f>_xlfn.XLOOKUP(tblplaneteco[[#This Row],[Planet '#]],tblprogress[Planet '#],tblprogress[Mining Level])</f>
        <v>0</v>
      </c>
      <c r="J69" s="15">
        <f>_xlfn.XLOOKUP(tblplaneteco[[#This Row],[Mining Level]],tblUpgradeStats[Level],tblUpgradeStats[Upgrade Price (per Level)],0)</f>
        <v>0</v>
      </c>
      <c r="K69" s="58">
        <f>_xlfn.XLOOKUP(tblplaneteco[[#This Row],[Planet '#]],tblprogress[Planet '#],tblprogress[Ship Level])</f>
        <v>0</v>
      </c>
      <c r="L69" s="15">
        <f>_xlfn.XLOOKUP(tblplaneteco[[#This Row],[Ship Level]],tblUpgradeStats[Level],tblUpgradeStats[Upgrade Price (per Level)],0)</f>
        <v>0</v>
      </c>
      <c r="M69" s="58">
        <f>_xlfn.XLOOKUP(tblplaneteco[[#This Row],[Planet '#]],tblprogress[Planet '#],tblprogress[Cargo Level])</f>
        <v>0</v>
      </c>
      <c r="N69" s="15">
        <f>_xlfn.XLOOKUP(tblplaneteco[[#This Row],[Cargo Level]],tblUpgradeStats[Level],tblUpgradeStats[Upgrade Price (per Level)],0)</f>
        <v>0</v>
      </c>
      <c r="O69" s="55" t="str">
        <f>IF(
   _xlfn.XLOOKUP(tblplaneteco[[#This Row],[Planet '#]], tblPlanets[Planet '#], tblPlanets[Name])=tblplaneteco[[#This Row],[Name]],
   "Match",
   "Mismatch"
)</f>
        <v>Match</v>
      </c>
    </row>
    <row r="70" spans="1:15" x14ac:dyDescent="0.3">
      <c r="A70" s="24">
        <v>69</v>
      </c>
      <c r="B70" s="24" t="str">
        <f>_xlfn.XLOOKUP(tblprogress[[#This Row],[Planet '#]],tblPlanets[Planet '#],tblPlanets[Name])</f>
        <v>Pontus</v>
      </c>
      <c r="C70" s="55">
        <f>IF(tblplaneteco[[#This Row],[Unlocked]]=1,"",tblplaneteco[[#This Row],[Unlock Price]])</f>
        <v>8.0000000000000004E+26</v>
      </c>
      <c r="D70" s="55" t="str">
        <f>IF(tblplaneteco[[#This Row],[Unlocked]]=1,
   ROUND(tblplaneteco[[#This Row],[Mining Upgrade Cost]] * tblplaneteco[[#This Row],[Unlock Price]],0),
   ""
)</f>
        <v/>
      </c>
      <c r="E70" s="55" t="str">
        <f>IF(tblplaneteco[[#This Row],[Unlocked]]=1,
   ROUND(tblplaneteco[[#This Row],[Ship Upgrade Cost]] * tblplaneteco[[#This Row],[Unlock Price]],0),
   ""
)</f>
        <v/>
      </c>
      <c r="F70" s="55" t="str">
        <f>IF(tblplaneteco[[#This Row],[Unlocked]]=1,
   ROUND(tblplaneteco[[#This Row],[Cargo Upgrade Cost]] * tblplaneteco[[#This Row],[Unlock Price]],0),
   ""
)</f>
        <v/>
      </c>
      <c r="G70" s="56">
        <f>_xlfn.XLOOKUP(tblplaneteco[[#This Row],[Planet '#]],tblprogress[Planet '#],tblprogress[Unlocked])</f>
        <v>0</v>
      </c>
      <c r="H70" s="56">
        <f>_xlfn.XLOOKUP(tblplaneteco[[#This Row],[Planet '#]],tblPlanets[Planet '#],tblPlanets[Unlock Price])</f>
        <v>8.0000000000000004E+26</v>
      </c>
      <c r="I70" s="58">
        <f>_xlfn.XLOOKUP(tblplaneteco[[#This Row],[Planet '#]],tblprogress[Planet '#],tblprogress[Mining Level])</f>
        <v>0</v>
      </c>
      <c r="J70" s="15">
        <f>_xlfn.XLOOKUP(tblplaneteco[[#This Row],[Mining Level]],tblUpgradeStats[Level],tblUpgradeStats[Upgrade Price (per Level)],0)</f>
        <v>0</v>
      </c>
      <c r="K70" s="58">
        <f>_xlfn.XLOOKUP(tblplaneteco[[#This Row],[Planet '#]],tblprogress[Planet '#],tblprogress[Ship Level])</f>
        <v>0</v>
      </c>
      <c r="L70" s="15">
        <f>_xlfn.XLOOKUP(tblplaneteco[[#This Row],[Ship Level]],tblUpgradeStats[Level],tblUpgradeStats[Upgrade Price (per Level)],0)</f>
        <v>0</v>
      </c>
      <c r="M70" s="58">
        <f>_xlfn.XLOOKUP(tblplaneteco[[#This Row],[Planet '#]],tblprogress[Planet '#],tblprogress[Cargo Level])</f>
        <v>0</v>
      </c>
      <c r="N70" s="15">
        <f>_xlfn.XLOOKUP(tblplaneteco[[#This Row],[Cargo Level]],tblUpgradeStats[Level],tblUpgradeStats[Upgrade Price (per Level)],0)</f>
        <v>0</v>
      </c>
      <c r="O70" s="55" t="str">
        <f>IF(
   _xlfn.XLOOKUP(tblplaneteco[[#This Row],[Planet '#]], tblPlanets[Planet '#], tblPlanets[Name])=tblplaneteco[[#This Row],[Name]],
   "Match",
   "Mismatch"
)</f>
        <v>Match</v>
      </c>
    </row>
    <row r="71" spans="1:15" x14ac:dyDescent="0.3">
      <c r="A71" s="25">
        <v>70</v>
      </c>
      <c r="B71" s="25" t="str">
        <f>_xlfn.XLOOKUP(tblprogress[[#This Row],[Planet '#]],tblPlanets[Planet '#],tblPlanets[Name])</f>
        <v>Leto</v>
      </c>
      <c r="C71" s="55">
        <f>IF(tblplaneteco[[#This Row],[Unlocked]]=1,"",tblplaneteco[[#This Row],[Unlock Price]])</f>
        <v>2.4E+27</v>
      </c>
      <c r="D71" s="55" t="str">
        <f>IF(tblplaneteco[[#This Row],[Unlocked]]=1,
   ROUND(tblplaneteco[[#This Row],[Mining Upgrade Cost]] * tblplaneteco[[#This Row],[Unlock Price]],0),
   ""
)</f>
        <v/>
      </c>
      <c r="E71" s="55" t="str">
        <f>IF(tblplaneteco[[#This Row],[Unlocked]]=1,
   ROUND(tblplaneteco[[#This Row],[Ship Upgrade Cost]] * tblplaneteco[[#This Row],[Unlock Price]],0),
   ""
)</f>
        <v/>
      </c>
      <c r="F71" s="55" t="str">
        <f>IF(tblplaneteco[[#This Row],[Unlocked]]=1,
   ROUND(tblplaneteco[[#This Row],[Cargo Upgrade Cost]] * tblplaneteco[[#This Row],[Unlock Price]],0),
   ""
)</f>
        <v/>
      </c>
      <c r="G71" s="14">
        <f>_xlfn.XLOOKUP(tblplaneteco[[#This Row],[Planet '#]],tblprogress[Planet '#],tblprogress[Unlocked])</f>
        <v>0</v>
      </c>
      <c r="H71" s="14">
        <f>_xlfn.XLOOKUP(tblplaneteco[[#This Row],[Planet '#]],tblPlanets[Planet '#],tblPlanets[Unlock Price])</f>
        <v>2.4E+27</v>
      </c>
      <c r="I71" s="58">
        <f>_xlfn.XLOOKUP(tblplaneteco[[#This Row],[Planet '#]],tblprogress[Planet '#],tblprogress[Mining Level])</f>
        <v>0</v>
      </c>
      <c r="J71" s="15">
        <f>_xlfn.XLOOKUP(tblplaneteco[[#This Row],[Mining Level]],tblUpgradeStats[Level],tblUpgradeStats[Upgrade Price (per Level)],0)</f>
        <v>0</v>
      </c>
      <c r="K71" s="58">
        <f>_xlfn.XLOOKUP(tblplaneteco[[#This Row],[Planet '#]],tblprogress[Planet '#],tblprogress[Ship Level])</f>
        <v>0</v>
      </c>
      <c r="L71" s="15">
        <f>_xlfn.XLOOKUP(tblplaneteco[[#This Row],[Ship Level]],tblUpgradeStats[Level],tblUpgradeStats[Upgrade Price (per Level)],0)</f>
        <v>0</v>
      </c>
      <c r="M71" s="58">
        <f>_xlfn.XLOOKUP(tblplaneteco[[#This Row],[Planet '#]],tblprogress[Planet '#],tblprogress[Cargo Level])</f>
        <v>0</v>
      </c>
      <c r="N71" s="15">
        <f>_xlfn.XLOOKUP(tblplaneteco[[#This Row],[Cargo Level]],tblUpgradeStats[Level],tblUpgradeStats[Upgrade Price (per Level)],0)</f>
        <v>0</v>
      </c>
      <c r="O71" s="55" t="str">
        <f>IF(
   _xlfn.XLOOKUP(tblplaneteco[[#This Row],[Planet '#]], tblPlanets[Planet '#], tblPlanets[Name])=tblplaneteco[[#This Row],[Name]],
   "Match",
   "Mismatch"
)</f>
        <v>Match</v>
      </c>
    </row>
    <row r="72" spans="1:15" x14ac:dyDescent="0.3">
      <c r="A72" s="24">
        <v>71</v>
      </c>
      <c r="B72" s="24" t="str">
        <f>_xlfn.XLOOKUP(tblprogress[[#This Row],[Planet '#]],tblPlanets[Planet '#],tblPlanets[Name])</f>
        <v>Laconia</v>
      </c>
      <c r="C72" s="55">
        <f>IF(tblplaneteco[[#This Row],[Unlocked]]=1,"",tblplaneteco[[#This Row],[Unlock Price]])</f>
        <v>6.9199999999999996E+27</v>
      </c>
      <c r="D72" s="55" t="str">
        <f>IF(tblplaneteco[[#This Row],[Unlocked]]=1,
   ROUND(tblplaneteco[[#This Row],[Mining Upgrade Cost]] * tblplaneteco[[#This Row],[Unlock Price]],0),
   ""
)</f>
        <v/>
      </c>
      <c r="E72" s="55" t="str">
        <f>IF(tblplaneteco[[#This Row],[Unlocked]]=1,
   ROUND(tblplaneteco[[#This Row],[Ship Upgrade Cost]] * tblplaneteco[[#This Row],[Unlock Price]],0),
   ""
)</f>
        <v/>
      </c>
      <c r="F72" s="55" t="str">
        <f>IF(tblplaneteco[[#This Row],[Unlocked]]=1,
   ROUND(tblplaneteco[[#This Row],[Cargo Upgrade Cost]] * tblplaneteco[[#This Row],[Unlock Price]],0),
   ""
)</f>
        <v/>
      </c>
      <c r="G72" s="56">
        <f>_xlfn.XLOOKUP(tblplaneteco[[#This Row],[Planet '#]],tblprogress[Planet '#],tblprogress[Unlocked])</f>
        <v>0</v>
      </c>
      <c r="H72" s="56">
        <f>_xlfn.XLOOKUP(tblplaneteco[[#This Row],[Planet '#]],tblPlanets[Planet '#],tblPlanets[Unlock Price])</f>
        <v>6.9199999999999996E+27</v>
      </c>
      <c r="I72" s="58">
        <f>_xlfn.XLOOKUP(tblplaneteco[[#This Row],[Planet '#]],tblprogress[Planet '#],tblprogress[Mining Level])</f>
        <v>0</v>
      </c>
      <c r="J72" s="15">
        <f>_xlfn.XLOOKUP(tblplaneteco[[#This Row],[Mining Level]],tblUpgradeStats[Level],tblUpgradeStats[Upgrade Price (per Level)],0)</f>
        <v>0</v>
      </c>
      <c r="K72" s="58">
        <f>_xlfn.XLOOKUP(tblplaneteco[[#This Row],[Planet '#]],tblprogress[Planet '#],tblprogress[Ship Level])</f>
        <v>0</v>
      </c>
      <c r="L72" s="15">
        <f>_xlfn.XLOOKUP(tblplaneteco[[#This Row],[Ship Level]],tblUpgradeStats[Level],tblUpgradeStats[Upgrade Price (per Level)],0)</f>
        <v>0</v>
      </c>
      <c r="M72" s="58">
        <f>_xlfn.XLOOKUP(tblplaneteco[[#This Row],[Planet '#]],tblprogress[Planet '#],tblprogress[Cargo Level])</f>
        <v>0</v>
      </c>
      <c r="N72" s="15">
        <f>_xlfn.XLOOKUP(tblplaneteco[[#This Row],[Cargo Level]],tblUpgradeStats[Level],tblUpgradeStats[Upgrade Price (per Level)],0)</f>
        <v>0</v>
      </c>
      <c r="O72" s="55" t="str">
        <f>IF(
   _xlfn.XLOOKUP(tblplaneteco[[#This Row],[Planet '#]], tblPlanets[Planet '#], tblPlanets[Name])=tblplaneteco[[#This Row],[Name]],
   "Match",
   "Mismatch"
)</f>
        <v>Match</v>
      </c>
    </row>
    <row r="73" spans="1:15" x14ac:dyDescent="0.3">
      <c r="A73" s="25">
        <v>72</v>
      </c>
      <c r="B73" s="25" t="str">
        <f>_xlfn.XLOOKUP(tblprogress[[#This Row],[Planet '#]],tblPlanets[Planet '#],tblPlanets[Name])</f>
        <v>Awohali</v>
      </c>
      <c r="C73" s="55">
        <f>IF(tblplaneteco[[#This Row],[Unlocked]]=1,"",tblplaneteco[[#This Row],[Unlock Price]])</f>
        <v>2.0800000000000001E+28</v>
      </c>
      <c r="D73" s="55" t="str">
        <f>IF(tblplaneteco[[#This Row],[Unlocked]]=1,
   ROUND(tblplaneteco[[#This Row],[Mining Upgrade Cost]] * tblplaneteco[[#This Row],[Unlock Price]],0),
   ""
)</f>
        <v/>
      </c>
      <c r="E73" s="55" t="str">
        <f>IF(tblplaneteco[[#This Row],[Unlocked]]=1,
   ROUND(tblplaneteco[[#This Row],[Ship Upgrade Cost]] * tblplaneteco[[#This Row],[Unlock Price]],0),
   ""
)</f>
        <v/>
      </c>
      <c r="F73" s="55" t="str">
        <f>IF(tblplaneteco[[#This Row],[Unlocked]]=1,
   ROUND(tblplaneteco[[#This Row],[Cargo Upgrade Cost]] * tblplaneteco[[#This Row],[Unlock Price]],0),
   ""
)</f>
        <v/>
      </c>
      <c r="G73" s="14">
        <f>_xlfn.XLOOKUP(tblplaneteco[[#This Row],[Planet '#]],tblprogress[Planet '#],tblprogress[Unlocked])</f>
        <v>0</v>
      </c>
      <c r="H73" s="14">
        <f>_xlfn.XLOOKUP(tblplaneteco[[#This Row],[Planet '#]],tblPlanets[Planet '#],tblPlanets[Unlock Price])</f>
        <v>2.0800000000000001E+28</v>
      </c>
      <c r="I73" s="58">
        <f>_xlfn.XLOOKUP(tblplaneteco[[#This Row],[Planet '#]],tblprogress[Planet '#],tblprogress[Mining Level])</f>
        <v>0</v>
      </c>
      <c r="J73" s="15">
        <f>_xlfn.XLOOKUP(tblplaneteco[[#This Row],[Mining Level]],tblUpgradeStats[Level],tblUpgradeStats[Upgrade Price (per Level)],0)</f>
        <v>0</v>
      </c>
      <c r="K73" s="58">
        <f>_xlfn.XLOOKUP(tblplaneteco[[#This Row],[Planet '#]],tblprogress[Planet '#],tblprogress[Ship Level])</f>
        <v>0</v>
      </c>
      <c r="L73" s="15">
        <f>_xlfn.XLOOKUP(tblplaneteco[[#This Row],[Ship Level]],tblUpgradeStats[Level],tblUpgradeStats[Upgrade Price (per Level)],0)</f>
        <v>0</v>
      </c>
      <c r="M73" s="58">
        <f>_xlfn.XLOOKUP(tblplaneteco[[#This Row],[Planet '#]],tblprogress[Planet '#],tblprogress[Cargo Level])</f>
        <v>0</v>
      </c>
      <c r="N73" s="15">
        <f>_xlfn.XLOOKUP(tblplaneteco[[#This Row],[Cargo Level]],tblUpgradeStats[Level],tblUpgradeStats[Upgrade Price (per Level)],0)</f>
        <v>0</v>
      </c>
      <c r="O73" s="55" t="str">
        <f>IF(
   _xlfn.XLOOKUP(tblplaneteco[[#This Row],[Planet '#]], tblPlanets[Planet '#], tblPlanets[Name])=tblplaneteco[[#This Row],[Name]],
   "Match",
   "Mismatch"
)</f>
        <v>Match</v>
      </c>
    </row>
    <row r="74" spans="1:15" x14ac:dyDescent="0.3">
      <c r="A74" s="24">
        <v>73</v>
      </c>
      <c r="B74" s="24" t="str">
        <f>_xlfn.XLOOKUP(tblprogress[[#This Row],[Planet '#]],tblPlanets[Planet '#],tblPlanets[Name])</f>
        <v>Pegasi</v>
      </c>
      <c r="C74" s="55">
        <f>IF(tblplaneteco[[#This Row],[Unlocked]]=1,"",tblplaneteco[[#This Row],[Unlock Price]])</f>
        <v>6.2300000000000003E+28</v>
      </c>
      <c r="D74" s="55" t="str">
        <f>IF(tblplaneteco[[#This Row],[Unlocked]]=1,
   ROUND(tblplaneteco[[#This Row],[Mining Upgrade Cost]] * tblplaneteco[[#This Row],[Unlock Price]],0),
   ""
)</f>
        <v/>
      </c>
      <c r="E74" s="55" t="str">
        <f>IF(tblplaneteco[[#This Row],[Unlocked]]=1,
   ROUND(tblplaneteco[[#This Row],[Ship Upgrade Cost]] * tblplaneteco[[#This Row],[Unlock Price]],0),
   ""
)</f>
        <v/>
      </c>
      <c r="F74" s="55" t="str">
        <f>IF(tblplaneteco[[#This Row],[Unlocked]]=1,
   ROUND(tblplaneteco[[#This Row],[Cargo Upgrade Cost]] * tblplaneteco[[#This Row],[Unlock Price]],0),
   ""
)</f>
        <v/>
      </c>
      <c r="G74" s="56">
        <f>_xlfn.XLOOKUP(tblplaneteco[[#This Row],[Planet '#]],tblprogress[Planet '#],tblprogress[Unlocked])</f>
        <v>0</v>
      </c>
      <c r="H74" s="56">
        <f>_xlfn.XLOOKUP(tblplaneteco[[#This Row],[Planet '#]],tblPlanets[Planet '#],tblPlanets[Unlock Price])</f>
        <v>6.2300000000000003E+28</v>
      </c>
      <c r="I74" s="58">
        <f>_xlfn.XLOOKUP(tblplaneteco[[#This Row],[Planet '#]],tblprogress[Planet '#],tblprogress[Mining Level])</f>
        <v>0</v>
      </c>
      <c r="J74" s="15">
        <f>_xlfn.XLOOKUP(tblplaneteco[[#This Row],[Mining Level]],tblUpgradeStats[Level],tblUpgradeStats[Upgrade Price (per Level)],0)</f>
        <v>0</v>
      </c>
      <c r="K74" s="58">
        <f>_xlfn.XLOOKUP(tblplaneteco[[#This Row],[Planet '#]],tblprogress[Planet '#],tblprogress[Ship Level])</f>
        <v>0</v>
      </c>
      <c r="L74" s="15">
        <f>_xlfn.XLOOKUP(tblplaneteco[[#This Row],[Ship Level]],tblUpgradeStats[Level],tblUpgradeStats[Upgrade Price (per Level)],0)</f>
        <v>0</v>
      </c>
      <c r="M74" s="58">
        <f>_xlfn.XLOOKUP(tblplaneteco[[#This Row],[Planet '#]],tblprogress[Planet '#],tblprogress[Cargo Level])</f>
        <v>0</v>
      </c>
      <c r="N74" s="15">
        <f>_xlfn.XLOOKUP(tblplaneteco[[#This Row],[Cargo Level]],tblUpgradeStats[Level],tblUpgradeStats[Upgrade Price (per Level)],0)</f>
        <v>0</v>
      </c>
      <c r="O74" s="55" t="str">
        <f>IF(
   _xlfn.XLOOKUP(tblplaneteco[[#This Row],[Planet '#]], tblPlanets[Planet '#], tblPlanets[Name])=tblplaneteco[[#This Row],[Name]],
   "Match",
   "Mismatch"
)</f>
        <v>Match</v>
      </c>
    </row>
    <row r="75" spans="1:15" x14ac:dyDescent="0.3">
      <c r="A75" s="25">
        <v>74</v>
      </c>
      <c r="B75" s="25" t="str">
        <f>_xlfn.XLOOKUP(tblprogress[[#This Row],[Planet '#]],tblPlanets[Planet '#],tblPlanets[Name])</f>
        <v>Typhon</v>
      </c>
      <c r="C75" s="55">
        <f>IF(tblplaneteco[[#This Row],[Unlocked]]=1,"",tblplaneteco[[#This Row],[Unlock Price]])</f>
        <v>1.7799999999999999E+29</v>
      </c>
      <c r="D75" s="55" t="str">
        <f>IF(tblplaneteco[[#This Row],[Unlocked]]=1,
   ROUND(tblplaneteco[[#This Row],[Mining Upgrade Cost]] * tblplaneteco[[#This Row],[Unlock Price]],0),
   ""
)</f>
        <v/>
      </c>
      <c r="E75" s="55" t="str">
        <f>IF(tblplaneteco[[#This Row],[Unlocked]]=1,
   ROUND(tblplaneteco[[#This Row],[Ship Upgrade Cost]] * tblplaneteco[[#This Row],[Unlock Price]],0),
   ""
)</f>
        <v/>
      </c>
      <c r="F75" s="55" t="str">
        <f>IF(tblplaneteco[[#This Row],[Unlocked]]=1,
   ROUND(tblplaneteco[[#This Row],[Cargo Upgrade Cost]] * tblplaneteco[[#This Row],[Unlock Price]],0),
   ""
)</f>
        <v/>
      </c>
      <c r="G75" s="14">
        <f>_xlfn.XLOOKUP(tblplaneteco[[#This Row],[Planet '#]],tblprogress[Planet '#],tblprogress[Unlocked])</f>
        <v>0</v>
      </c>
      <c r="H75" s="14">
        <f>_xlfn.XLOOKUP(tblplaneteco[[#This Row],[Planet '#]],tblPlanets[Planet '#],tblPlanets[Unlock Price])</f>
        <v>1.7799999999999999E+29</v>
      </c>
      <c r="I75" s="58">
        <f>_xlfn.XLOOKUP(tblplaneteco[[#This Row],[Planet '#]],tblprogress[Planet '#],tblprogress[Mining Level])</f>
        <v>0</v>
      </c>
      <c r="J75" s="15">
        <f>_xlfn.XLOOKUP(tblplaneteco[[#This Row],[Mining Level]],tblUpgradeStats[Level],tblUpgradeStats[Upgrade Price (per Level)],0)</f>
        <v>0</v>
      </c>
      <c r="K75" s="58">
        <f>_xlfn.XLOOKUP(tblplaneteco[[#This Row],[Planet '#]],tblprogress[Planet '#],tblprogress[Ship Level])</f>
        <v>0</v>
      </c>
      <c r="L75" s="15">
        <f>_xlfn.XLOOKUP(tblplaneteco[[#This Row],[Ship Level]],tblUpgradeStats[Level],tblUpgradeStats[Upgrade Price (per Level)],0)</f>
        <v>0</v>
      </c>
      <c r="M75" s="58">
        <f>_xlfn.XLOOKUP(tblplaneteco[[#This Row],[Planet '#]],tblprogress[Planet '#],tblprogress[Cargo Level])</f>
        <v>0</v>
      </c>
      <c r="N75" s="15">
        <f>_xlfn.XLOOKUP(tblplaneteco[[#This Row],[Cargo Level]],tblUpgradeStats[Level],tblUpgradeStats[Upgrade Price (per Level)],0)</f>
        <v>0</v>
      </c>
      <c r="O75" s="55" t="str">
        <f>IF(
   _xlfn.XLOOKUP(tblplaneteco[[#This Row],[Planet '#]], tblPlanets[Planet '#], tblPlanets[Name])=tblplaneteco[[#This Row],[Name]],
   "Match",
   "Mismatch"
)</f>
        <v>Match</v>
      </c>
    </row>
    <row r="76" spans="1:15" x14ac:dyDescent="0.3">
      <c r="A76" s="24">
        <v>75</v>
      </c>
      <c r="B76" s="24" t="str">
        <f>_xlfn.XLOOKUP(tblprogress[[#This Row],[Planet '#]],tblPlanets[Planet '#],tblPlanets[Name])</f>
        <v>Surtur</v>
      </c>
      <c r="C76" s="55">
        <f>IF(tblplaneteco[[#This Row],[Unlocked]]=1,"",tblplaneteco[[#This Row],[Unlock Price]])</f>
        <v>5.1599999999999994E+29</v>
      </c>
      <c r="D76" s="55" t="str">
        <f>IF(tblplaneteco[[#This Row],[Unlocked]]=1,
   ROUND(tblplaneteco[[#This Row],[Mining Upgrade Cost]] * tblplaneteco[[#This Row],[Unlock Price]],0),
   ""
)</f>
        <v/>
      </c>
      <c r="E76" s="55" t="str">
        <f>IF(tblplaneteco[[#This Row],[Unlocked]]=1,
   ROUND(tblplaneteco[[#This Row],[Ship Upgrade Cost]] * tblplaneteco[[#This Row],[Unlock Price]],0),
   ""
)</f>
        <v/>
      </c>
      <c r="F76" s="55" t="str">
        <f>IF(tblplaneteco[[#This Row],[Unlocked]]=1,
   ROUND(tblplaneteco[[#This Row],[Cargo Upgrade Cost]] * tblplaneteco[[#This Row],[Unlock Price]],0),
   ""
)</f>
        <v/>
      </c>
      <c r="G76" s="56">
        <f>_xlfn.XLOOKUP(tblplaneteco[[#This Row],[Planet '#]],tblprogress[Planet '#],tblprogress[Unlocked])</f>
        <v>0</v>
      </c>
      <c r="H76" s="56">
        <f>_xlfn.XLOOKUP(tblplaneteco[[#This Row],[Planet '#]],tblPlanets[Planet '#],tblPlanets[Unlock Price])</f>
        <v>5.1599999999999994E+29</v>
      </c>
      <c r="I76" s="58">
        <f>_xlfn.XLOOKUP(tblplaneteco[[#This Row],[Planet '#]],tblprogress[Planet '#],tblprogress[Mining Level])</f>
        <v>0</v>
      </c>
      <c r="J76" s="15">
        <f>_xlfn.XLOOKUP(tblplaneteco[[#This Row],[Mining Level]],tblUpgradeStats[Level],tblUpgradeStats[Upgrade Price (per Level)],0)</f>
        <v>0</v>
      </c>
      <c r="K76" s="58">
        <f>_xlfn.XLOOKUP(tblplaneteco[[#This Row],[Planet '#]],tblprogress[Planet '#],tblprogress[Ship Level])</f>
        <v>0</v>
      </c>
      <c r="L76" s="15">
        <f>_xlfn.XLOOKUP(tblplaneteco[[#This Row],[Ship Level]],tblUpgradeStats[Level],tblUpgradeStats[Upgrade Price (per Level)],0)</f>
        <v>0</v>
      </c>
      <c r="M76" s="58">
        <f>_xlfn.XLOOKUP(tblplaneteco[[#This Row],[Planet '#]],tblprogress[Planet '#],tblprogress[Cargo Level])</f>
        <v>0</v>
      </c>
      <c r="N76" s="15">
        <f>_xlfn.XLOOKUP(tblplaneteco[[#This Row],[Cargo Level]],tblUpgradeStats[Level],tblUpgradeStats[Upgrade Price (per Level)],0)</f>
        <v>0</v>
      </c>
      <c r="O76" s="55" t="str">
        <f>IF(
   _xlfn.XLOOKUP(tblplaneteco[[#This Row],[Planet '#]], tblPlanets[Planet '#], tblPlanets[Name])=tblplaneteco[[#This Row],[Name]],
   "Match",
   "Mismatch"
)</f>
        <v>Match</v>
      </c>
    </row>
    <row r="77" spans="1:15" x14ac:dyDescent="0.3">
      <c r="A77" s="27">
        <v>76</v>
      </c>
      <c r="B77" s="27" t="str">
        <f>_xlfn.XLOOKUP(tblprogress[[#This Row],[Planet '#]],tblPlanets[Planet '#],tblPlanets[Name])</f>
        <v>Vesta</v>
      </c>
      <c r="C77" s="55">
        <f>IF(tblplaneteco[[#This Row],[Unlocked]]=1,"",tblplaneteco[[#This Row],[Unlock Price]])</f>
        <v>1.8100000000000001E+30</v>
      </c>
      <c r="D77" s="55" t="str">
        <f>IF(tblplaneteco[[#This Row],[Unlocked]]=1,
   ROUND(tblplaneteco[[#This Row],[Mining Upgrade Cost]] * tblplaneteco[[#This Row],[Unlock Price]],0),
   ""
)</f>
        <v/>
      </c>
      <c r="E77" s="55" t="str">
        <f>IF(tblplaneteco[[#This Row],[Unlocked]]=1,
   ROUND(tblplaneteco[[#This Row],[Ship Upgrade Cost]] * tblplaneteco[[#This Row],[Unlock Price]],0),
   ""
)</f>
        <v/>
      </c>
      <c r="F77" s="55" t="str">
        <f>IF(tblplaneteco[[#This Row],[Unlocked]]=1,
   ROUND(tblplaneteco[[#This Row],[Cargo Upgrade Cost]] * tblplaneteco[[#This Row],[Unlock Price]],0),
   ""
)</f>
        <v/>
      </c>
      <c r="G77" s="14">
        <f>_xlfn.XLOOKUP(tblplaneteco[[#This Row],[Planet '#]],tblprogress[Planet '#],tblprogress[Unlocked])</f>
        <v>0</v>
      </c>
      <c r="H77" s="14">
        <f>_xlfn.XLOOKUP(tblplaneteco[[#This Row],[Planet '#]],tblPlanets[Planet '#],tblPlanets[Unlock Price])</f>
        <v>1.8100000000000001E+30</v>
      </c>
      <c r="I77" s="58">
        <f>_xlfn.XLOOKUP(tblplaneteco[[#This Row],[Planet '#]],tblprogress[Planet '#],tblprogress[Mining Level])</f>
        <v>0</v>
      </c>
      <c r="J77" s="15">
        <f>_xlfn.XLOOKUP(tblplaneteco[[#This Row],[Mining Level]],tblUpgradeStats[Level],tblUpgradeStats[Upgrade Price (per Level)],0)</f>
        <v>0</v>
      </c>
      <c r="K77" s="58">
        <f>_xlfn.XLOOKUP(tblplaneteco[[#This Row],[Planet '#]],tblprogress[Planet '#],tblprogress[Ship Level])</f>
        <v>0</v>
      </c>
      <c r="L77" s="15">
        <f>_xlfn.XLOOKUP(tblplaneteco[[#This Row],[Ship Level]],tblUpgradeStats[Level],tblUpgradeStats[Upgrade Price (per Level)],0)</f>
        <v>0</v>
      </c>
      <c r="M77" s="58">
        <f>_xlfn.XLOOKUP(tblplaneteco[[#This Row],[Planet '#]],tblprogress[Planet '#],tblprogress[Cargo Level])</f>
        <v>0</v>
      </c>
      <c r="N77" s="15">
        <f>_xlfn.XLOOKUP(tblplaneteco[[#This Row],[Cargo Level]],tblUpgradeStats[Level],tblUpgradeStats[Upgrade Price (per Level)],0)</f>
        <v>0</v>
      </c>
      <c r="O77" s="55" t="str">
        <f>IF(
   _xlfn.XLOOKUP(tblplaneteco[[#This Row],[Planet '#]], tblPlanets[Planet '#], tblPlanets[Name])=tblplaneteco[[#This Row],[Name]],
   "Match",
   "Mismatch"
)</f>
        <v>Match</v>
      </c>
    </row>
  </sheetData>
  <phoneticPr fontId="3" type="noConversion"/>
  <conditionalFormatting sqref="A2:O77">
    <cfRule type="expression" dxfId="115" priority="9">
      <formula>$O2="mismatch"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4891-B3E9-4262-99E5-B60E172A4827}">
  <sheetPr codeName="Sheet9"/>
  <dimension ref="A1:Q77"/>
  <sheetViews>
    <sheetView workbookViewId="0">
      <selection activeCell="C1" sqref="C1:C1048576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15.5546875" bestFit="1" customWidth="1"/>
    <col min="4" max="4" width="15" bestFit="1" customWidth="1"/>
    <col min="5" max="5" width="18.5546875" style="51" customWidth="1"/>
    <col min="6" max="6" width="10.21875" bestFit="1" customWidth="1"/>
    <col min="7" max="7" width="14.44140625" bestFit="1" customWidth="1"/>
    <col min="8" max="8" width="15.5546875" style="39" hidden="1" customWidth="1"/>
    <col min="9" max="9" width="15" style="51" hidden="1" customWidth="1"/>
    <col min="10" max="10" width="10.21875" style="39" hidden="1" customWidth="1"/>
    <col min="11" max="11" width="19.6640625" style="51" hidden="1" customWidth="1"/>
    <col min="12" max="12" width="18.5546875" style="51" hidden="1" customWidth="1"/>
    <col min="13" max="13" width="17.6640625" style="37" hidden="1" customWidth="1"/>
    <col min="14" max="14" width="18.5546875" style="37" hidden="1" customWidth="1"/>
    <col min="15" max="15" width="23.88671875" style="48" hidden="1" customWidth="1"/>
    <col min="16" max="16" width="14" style="48" hidden="1" customWidth="1"/>
    <col min="17" max="17" width="12.44140625" hidden="1" customWidth="1"/>
  </cols>
  <sheetData>
    <row r="1" spans="1:17" x14ac:dyDescent="0.3">
      <c r="A1" s="26" t="s">
        <v>0</v>
      </c>
      <c r="B1" s="26" t="s">
        <v>155</v>
      </c>
      <c r="C1" s="26" t="s">
        <v>167</v>
      </c>
      <c r="D1" s="38" t="s">
        <v>206</v>
      </c>
      <c r="E1" s="50" t="s">
        <v>207</v>
      </c>
      <c r="F1" s="46" t="s">
        <v>178</v>
      </c>
      <c r="G1" s="46" t="s">
        <v>187</v>
      </c>
      <c r="H1" s="26" t="s">
        <v>164</v>
      </c>
      <c r="I1" s="26" t="s">
        <v>158</v>
      </c>
      <c r="J1" s="26" t="s">
        <v>159</v>
      </c>
      <c r="K1" s="38" t="s">
        <v>208</v>
      </c>
      <c r="L1" s="50" t="s">
        <v>179</v>
      </c>
      <c r="M1" s="50" t="s">
        <v>180</v>
      </c>
      <c r="N1" s="33" t="s">
        <v>209</v>
      </c>
      <c r="O1" s="33" t="s">
        <v>177</v>
      </c>
      <c r="P1" s="62" t="s">
        <v>165</v>
      </c>
      <c r="Q1" s="26" t="s">
        <v>176</v>
      </c>
    </row>
    <row r="2" spans="1:17" x14ac:dyDescent="0.3">
      <c r="A2" s="24">
        <v>1</v>
      </c>
      <c r="B2" s="24" t="str">
        <f>_xlfn.XLOOKUP(tblprogress[[#This Row],[Planet '#]],tblPlanets[Planet '#],tblPlanets[Name])</f>
        <v>Balor</v>
      </c>
      <c r="C2" s="28">
        <f>_xlfn.XLOOKUP(MiningROItable[[#This Row],[Mining Level]]+1,tblUpgradeStats[Level],tblUpgradeStats[Mining Speed])</f>
        <v>18.55</v>
      </c>
      <c r="D2" s="41">
        <f>IF(MiningROItable[[#This Row],[Mining Rate]]=0,0,MiningROItable[[#This Row],[Current Efficiency]]*MiningROItable[[#This Row],[Next Mining Rate]]/MiningROItable[[#This Row],[Mining Rate]])</f>
        <v>0.48328903392194533</v>
      </c>
      <c r="E2" s="73">
        <f>IF(MiningROItable[[#This Row],[Future Deposit]] - MiningROItable[[#This Row],[Current Deposit]] &gt; 0, MiningROItable[[#This Row],[Future Deposit]] - MiningROItable[[#This Row],[Current Deposit]], 0)</f>
        <v>66.179999999999836</v>
      </c>
      <c r="F2" s="47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>23.642750818695983</v>
      </c>
      <c r="G2" s="47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>9135.9927470535076</v>
      </c>
      <c r="H2" s="28">
        <f>_xlfn.XLOOKUP(MiningROItable[[#This Row],[Planet '#]],tblprogress[Planet '#],tblprogress[Mining Level])</f>
        <v>30</v>
      </c>
      <c r="I2" s="28">
        <f>_xlfn.XLOOKUP(MiningROItable[[#This Row],[Planet '#]],tblprogress[Planet '#],tblprogress[Mining Rate])</f>
        <v>17.447000000000003</v>
      </c>
      <c r="J2" s="28">
        <f>_xlfn.XLOOKUP(MiningROItable[[#This Row],[Planet '#]],tblprogress[Planet '#],tblprogress[Cargo])</f>
        <v>79</v>
      </c>
      <c r="K2" s="41">
        <f>_xlfn.XLOOKUP(MiningROItable[[#This Row],[Planet '#]],tblprogress[Planet '#],tblprogress[Efficiency],0)</f>
        <v>0.45455222505855425</v>
      </c>
      <c r="L2" s="73">
        <f>IF(MiningROItable[[#This Row],[Current Efficiency]]&lt;=1,MiningROItable[[#This Row],[Mining Rate]]*60,MiningROItable[[#This Row],[Cargo]]/MiningROItable[[#This Row],[Total Time]]*60)</f>
        <v>1046.8200000000002</v>
      </c>
      <c r="M2" s="73">
        <f>IF(MiningROItable[[#This Row],[Future Efficiency]]&lt;=1,MiningROItable[[#This Row],[Next Mining Rate]]*60,MiningROItable[[#This Row],[Cargo]]/MiningROItable[[#This Row],[Total Time]]*60)</f>
        <v>1113</v>
      </c>
      <c r="N2" s="34">
        <f>_xlfn.XLOOKUP(MiningROItable[[#This Row],[Planet '#]],tblplanetvalue[Planet '#],tblplanetvalue[Total Worth])</f>
        <v>1</v>
      </c>
      <c r="O2" s="34">
        <f>_xlfn.XLOOKUP(MiningROItable[[#This Row],[Planet '#]],tblplaneteco[Planet '#],tblplaneteco[Mining Rate Cost])</f>
        <v>10077</v>
      </c>
      <c r="P2" s="63">
        <f>_xlfn.XLOOKUP(MiningROItable[[#This Row],[Planet '#]],tblprogress[Planet '#],tblprogress[Total Time])</f>
        <v>2.058212058212058</v>
      </c>
      <c r="Q2" s="14" t="str">
        <f>IF(
   _xlfn.XLOOKUP(MiningROItable[[#This Row],[Planet '#]], tblPlanets[Planet '#], tblPlanets[Name])=MiningROItable[[#This Row],[Name]],
   "Match",
   "Mismatch"
)</f>
        <v>Match</v>
      </c>
    </row>
    <row r="3" spans="1:17" x14ac:dyDescent="0.3">
      <c r="A3" s="25">
        <v>2</v>
      </c>
      <c r="B3" s="25" t="str">
        <f>_xlfn.XLOOKUP(tblprogress[[#This Row],[Planet '#]],tblPlanets[Planet '#],tblPlanets[Name])</f>
        <v>Drasta</v>
      </c>
      <c r="C3" s="25">
        <f>_xlfn.XLOOKUP(MiningROItable[[#This Row],[Mining Level]]+1,tblUpgradeStats[Level],tblUpgradeStats[Mining Speed])</f>
        <v>16.378</v>
      </c>
      <c r="D3" s="41">
        <f>IF(MiningROItable[[#This Row],[Mining Rate]]=0,0,MiningROItable[[#This Row],[Current Efficiency]]*MiningROItable[[#This Row],[Next Mining Rate]]/MiningROItable[[#This Row],[Mining Rate]])</f>
        <v>0.65480725623582781</v>
      </c>
      <c r="E3" s="73">
        <f>IF(MiningROItable[[#This Row],[Future Deposit]] - MiningROItable[[#This Row],[Current Deposit]] &gt; 0, MiningROItable[[#This Row],[Future Deposit]] - MiningROItable[[#This Row],[Current Deposit]], 0)</f>
        <v>62.100000000000023</v>
      </c>
      <c r="F3" s="47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>22.496603773584916</v>
      </c>
      <c r="G3" s="47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>9601.4492753623163</v>
      </c>
      <c r="H3" s="25">
        <f>_xlfn.XLOOKUP(MiningROItable[[#This Row],[Planet '#]],tblprogress[Planet '#],tblprogress[Mining Level])</f>
        <v>28</v>
      </c>
      <c r="I3" s="25">
        <f>_xlfn.XLOOKUP(MiningROItable[[#This Row],[Planet '#]],tblprogress[Planet '#],tblprogress[Mining Rate])</f>
        <v>15.343</v>
      </c>
      <c r="J3" s="28">
        <f>_xlfn.XLOOKUP(MiningROItable[[#This Row],[Planet '#]],tblprogress[Planet '#],tblprogress[Cargo])</f>
        <v>63</v>
      </c>
      <c r="K3" s="41">
        <f>_xlfn.XLOOKUP(MiningROItable[[#This Row],[Planet '#]],tblprogress[Planet '#],tblprogress[Efficiency],0)</f>
        <v>0.61342701993077942</v>
      </c>
      <c r="L3" s="73">
        <f>IF(MiningROItable[[#This Row],[Current Efficiency]]&lt;=1,MiningROItable[[#This Row],[Mining Rate]]*60,MiningROItable[[#This Row],[Cargo]]/MiningROItable[[#This Row],[Total Time]]*60)</f>
        <v>920.58</v>
      </c>
      <c r="M3" s="73">
        <f>IF(MiningROItable[[#This Row],[Future Efficiency]]&lt;=1,MiningROItable[[#This Row],[Next Mining Rate]]*60,MiningROItable[[#This Row],[Cargo]]/MiningROItable[[#This Row],[Total Time]]*60)</f>
        <v>982.68000000000006</v>
      </c>
      <c r="N3" s="34">
        <f>_xlfn.XLOOKUP(MiningROItable[[#This Row],[Planet '#]],tblplanetvalue[Planet '#],tblplanetvalue[Total Worth])</f>
        <v>1.2000000000000002</v>
      </c>
      <c r="O3" s="35">
        <f>_xlfn.XLOOKUP(MiningROItable[[#This Row],[Planet '#]],tblplaneteco[Planet '#],tblplaneteco[Mining Rate Cost])</f>
        <v>11925</v>
      </c>
      <c r="P3" s="63">
        <f>_xlfn.XLOOKUP(MiningROItable[[#This Row],[Planet '#]],tblprogress[Planet '#],tblprogress[Total Time])</f>
        <v>2.518796992481203</v>
      </c>
      <c r="Q3" s="14" t="str">
        <f>IF(
   _xlfn.XLOOKUP(MiningROItable[[#This Row],[Planet '#]], tblPlanets[Planet '#], tblPlanets[Name])=MiningROItable[[#This Row],[Name]],
   "Match",
   "Mismatch"
)</f>
        <v>Match</v>
      </c>
    </row>
    <row r="4" spans="1:17" x14ac:dyDescent="0.3">
      <c r="A4" s="24">
        <v>3</v>
      </c>
      <c r="B4" s="24" t="str">
        <f>_xlfn.XLOOKUP(tblprogress[[#This Row],[Planet '#]],tblPlanets[Planet '#],tblPlanets[Name])</f>
        <v>Anadius</v>
      </c>
      <c r="C4" s="25">
        <f>_xlfn.XLOOKUP(MiningROItable[[#This Row],[Mining Level]]+1,tblUpgradeStats[Level],tblUpgradeStats[Mining Speed])</f>
        <v>12.442000000000002</v>
      </c>
      <c r="D4" s="41">
        <f>IF(MiningROItable[[#This Row],[Mining Rate]]=0,0,MiningROItable[[#This Row],[Current Efficiency]]*MiningROItable[[#This Row],[Next Mining Rate]]/MiningROItable[[#This Row],[Mining Rate]])</f>
        <v>0.75744489868467824</v>
      </c>
      <c r="E4" s="73">
        <f>IF(MiningROItable[[#This Row],[Future Deposit]] - MiningROItable[[#This Row],[Current Deposit]] &gt; 0, MiningROItable[[#This Row],[Future Deposit]] - MiningROItable[[#This Row],[Current Deposit]], 0)</f>
        <v>53.940000000000055</v>
      </c>
      <c r="F4" s="47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>27.905345851695756</v>
      </c>
      <c r="G4" s="47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>7740.4523544679196</v>
      </c>
      <c r="H4" s="25">
        <f>_xlfn.XLOOKUP(MiningROItable[[#This Row],[Planet '#]],tblprogress[Planet '#],tblprogress[Mining Level])</f>
        <v>24</v>
      </c>
      <c r="I4" s="25">
        <f>_xlfn.XLOOKUP(MiningROItable[[#This Row],[Planet '#]],tblprogress[Planet '#],tblprogress[Mining Rate])</f>
        <v>11.543000000000001</v>
      </c>
      <c r="J4" s="28">
        <f>_xlfn.XLOOKUP(MiningROItable[[#This Row],[Planet '#]],tblprogress[Planet '#],tblprogress[Cargo])</f>
        <v>58</v>
      </c>
      <c r="K4" s="41">
        <f>_xlfn.XLOOKUP(MiningROItable[[#This Row],[Planet '#]],tblprogress[Planet '#],tblprogress[Efficiency],0)</f>
        <v>0.70271551724137926</v>
      </c>
      <c r="L4" s="73">
        <f>IF(MiningROItable[[#This Row],[Current Efficiency]]&lt;=1,MiningROItable[[#This Row],[Mining Rate]]*60,MiningROItable[[#This Row],[Cargo]]/MiningROItable[[#This Row],[Total Time]]*60)</f>
        <v>692.58</v>
      </c>
      <c r="M4" s="73">
        <f>IF(MiningROItable[[#This Row],[Future Efficiency]]&lt;=1,MiningROItable[[#This Row],[Next Mining Rate]]*60,MiningROItable[[#This Row],[Cargo]]/MiningROItable[[#This Row],[Total Time]]*60)</f>
        <v>746.5200000000001</v>
      </c>
      <c r="N4" s="34">
        <f>_xlfn.XLOOKUP(MiningROItable[[#This Row],[Planet '#]],tblplanetvalue[Planet '#],tblplanetvalue[Total Worth])</f>
        <v>1.5</v>
      </c>
      <c r="O4" s="35">
        <f>_xlfn.XLOOKUP(MiningROItable[[#This Row],[Planet '#]],tblplaneteco[Planet '#],tblplaneteco[Mining Rate Cost])</f>
        <v>10438</v>
      </c>
      <c r="P4" s="63">
        <f>_xlfn.XLOOKUP(MiningROItable[[#This Row],[Planet '#]],tblprogress[Planet '#],tblprogress[Total Time])</f>
        <v>3.5309278350515463</v>
      </c>
      <c r="Q4" s="14" t="str">
        <f>IF(
   _xlfn.XLOOKUP(MiningROItable[[#This Row],[Planet '#]], tblPlanets[Planet '#], tblPlanets[Name])=MiningROItable[[#This Row],[Name]],
   "Match",
   "Mismatch"
)</f>
        <v>Match</v>
      </c>
    </row>
    <row r="5" spans="1:17" x14ac:dyDescent="0.3">
      <c r="A5" s="25">
        <v>4</v>
      </c>
      <c r="B5" s="25" t="str">
        <f>_xlfn.XLOOKUP(tblprogress[[#This Row],[Planet '#]],tblPlanets[Planet '#],tblPlanets[Name])</f>
        <v>Dholen</v>
      </c>
      <c r="C5" s="25">
        <f>_xlfn.XLOOKUP(MiningROItable[[#This Row],[Mining Level]]+1,tblUpgradeStats[Level],tblUpgradeStats[Mining Speed])</f>
        <v>10.678000000000001</v>
      </c>
      <c r="D5" s="41">
        <f>IF(MiningROItable[[#This Row],[Mining Rate]]=0,0,MiningROItable[[#This Row],[Current Efficiency]]*MiningROItable[[#This Row],[Next Mining Rate]]/MiningROItable[[#This Row],[Mining Rate]])</f>
        <v>0.19348208738869332</v>
      </c>
      <c r="E5" s="73">
        <f>IF(MiningROItable[[#This Row],[Future Deposit]] - MiningROItable[[#This Row],[Current Deposit]] &gt; 0, MiningROItable[[#This Row],[Future Deposit]] - MiningROItable[[#This Row],[Current Deposit]], 0)</f>
        <v>49.860000000000014</v>
      </c>
      <c r="F5" s="47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>27.897319000129524</v>
      </c>
      <c r="G5" s="47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>7742.6795026073041</v>
      </c>
      <c r="H5" s="25">
        <f>_xlfn.XLOOKUP(MiningROItable[[#This Row],[Planet '#]],tblprogress[Planet '#],tblprogress[Mining Level])</f>
        <v>22</v>
      </c>
      <c r="I5" s="25">
        <f>_xlfn.XLOOKUP(MiningROItable[[#This Row],[Planet '#]],tblprogress[Planet '#],tblprogress[Mining Rate])</f>
        <v>9.8470000000000013</v>
      </c>
      <c r="J5" s="28">
        <f>_xlfn.XLOOKUP(MiningROItable[[#This Row],[Planet '#]],tblprogress[Planet '#],tblprogress[Cargo])</f>
        <v>132</v>
      </c>
      <c r="K5" s="41">
        <f>_xlfn.XLOOKUP(MiningROItable[[#This Row],[Planet '#]],tblprogress[Planet '#],tblprogress[Efficiency],0)</f>
        <v>0.17842462207496379</v>
      </c>
      <c r="L5" s="73">
        <f>IF(MiningROItable[[#This Row],[Current Efficiency]]&lt;=1,MiningROItable[[#This Row],[Mining Rate]]*60,MiningROItable[[#This Row],[Cargo]]/MiningROItable[[#This Row],[Total Time]]*60)</f>
        <v>590.82000000000005</v>
      </c>
      <c r="M5" s="73">
        <f>IF(MiningROItable[[#This Row],[Future Efficiency]]&lt;=1,MiningROItable[[#This Row],[Next Mining Rate]]*60,MiningROItable[[#This Row],[Cargo]]/MiningROItable[[#This Row],[Total Time]]*60)</f>
        <v>640.68000000000006</v>
      </c>
      <c r="N5" s="34">
        <f>_xlfn.XLOOKUP(MiningROItable[[#This Row],[Planet '#]],tblplanetvalue[Planet '#],tblplanetvalue[Total Worth])</f>
        <v>2.4000000000000004</v>
      </c>
      <c r="O5" s="35">
        <f>_xlfn.XLOOKUP(MiningROItable[[#This Row],[Planet '#]],tblplaneteco[Planet '#],tblplaneteco[Mining Rate Cost])</f>
        <v>15442</v>
      </c>
      <c r="P5" s="63">
        <f>_xlfn.XLOOKUP(MiningROItable[[#This Row],[Planet '#]],tblprogress[Planet '#],tblprogress[Total Time])</f>
        <v>2.3917995444191344</v>
      </c>
      <c r="Q5" s="14" t="str">
        <f>IF(
   _xlfn.XLOOKUP(MiningROItable[[#This Row],[Planet '#]], tblPlanets[Planet '#], tblPlanets[Name])=MiningROItable[[#This Row],[Name]],
   "Match",
   "Mismatch"
)</f>
        <v>Match</v>
      </c>
    </row>
    <row r="6" spans="1:17" x14ac:dyDescent="0.3">
      <c r="A6" s="24">
        <v>5</v>
      </c>
      <c r="B6" s="24" t="str">
        <f>_xlfn.XLOOKUP(tblprogress[[#This Row],[Planet '#]],tblPlanets[Planet '#],tblPlanets[Name])</f>
        <v>Verr</v>
      </c>
      <c r="C6" s="25">
        <f>_xlfn.XLOOKUP(MiningROItable[[#This Row],[Mining Level]]+1,tblUpgradeStats[Level],tblUpgradeStats[Mining Speed])</f>
        <v>0.92200000000000004</v>
      </c>
      <c r="D6" s="41">
        <f>IF(MiningROItable[[#This Row],[Mining Rate]]=0,0,MiningROItable[[#This Row],[Current Efficiency]]*MiningROItable[[#This Row],[Next Mining Rate]]/MiningROItable[[#This Row],[Mining Rate]])</f>
        <v>1.2959960681520319</v>
      </c>
      <c r="E6" s="73">
        <f>IF(MiningROItable[[#This Row],[Future Deposit]] - MiningROItable[[#This Row],[Current Deposit]] &gt; 0, MiningROItable[[#This Row],[Future Deposit]] - MiningROItable[[#This Row],[Current Deposit]], 0)</f>
        <v>0.50531468531466572</v>
      </c>
      <c r="F6" s="47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>9.2779089762692735</v>
      </c>
      <c r="G6" s="47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>3817.8881081098252</v>
      </c>
      <c r="H6" s="25">
        <f>_xlfn.XLOOKUP(MiningROItable[[#This Row],[Planet '#]],tblprogress[Planet '#],tblprogress[Mining Level])</f>
        <v>4</v>
      </c>
      <c r="I6" s="25">
        <f>_xlfn.XLOOKUP(MiningROItable[[#This Row],[Planet '#]],tblprogress[Planet '#],tblprogress[Mining Rate])</f>
        <v>0.70300000000000007</v>
      </c>
      <c r="J6" s="28">
        <f>_xlfn.XLOOKUP(MiningROItable[[#This Row],[Planet '#]],tblprogress[Planet '#],tblprogress[Cargo])</f>
        <v>7</v>
      </c>
      <c r="K6" s="41">
        <f>_xlfn.XLOOKUP(MiningROItable[[#This Row],[Planet '#]],tblprogress[Planet '#],tblprogress[Efficiency],0)</f>
        <v>0.98816186107470549</v>
      </c>
      <c r="L6" s="73">
        <f>IF(MiningROItable[[#This Row],[Current Efficiency]]&lt;=1,MiningROItable[[#This Row],[Mining Rate]]*60,MiningROItable[[#This Row],[Cargo]]/MiningROItable[[#This Row],[Total Time]]*60)</f>
        <v>42.180000000000007</v>
      </c>
      <c r="M6" s="73">
        <f>IF(MiningROItable[[#This Row],[Future Efficiency]]&lt;=1,MiningROItable[[#This Row],[Next Mining Rate]]*60,MiningROItable[[#This Row],[Cargo]]/MiningROItable[[#This Row],[Total Time]]*60)</f>
        <v>42.685314685314673</v>
      </c>
      <c r="N6" s="34">
        <f>_xlfn.XLOOKUP(MiningROItable[[#This Row],[Planet '#]],tblplanetvalue[Planet '#],tblplanetvalue[Total Worth])</f>
        <v>2.8000000000000003</v>
      </c>
      <c r="O6" s="35">
        <f>_xlfn.XLOOKUP(MiningROItable[[#This Row],[Planet '#]],tblplaneteco[Planet '#],tblplaneteco[Mining Rate Cost])</f>
        <v>549</v>
      </c>
      <c r="P6" s="63">
        <f>_xlfn.XLOOKUP(MiningROItable[[#This Row],[Planet '#]],tblprogress[Planet '#],tblprogress[Total Time])</f>
        <v>9.8394495412844059</v>
      </c>
      <c r="Q6" s="14" t="str">
        <f>IF(
   _xlfn.XLOOKUP(MiningROItable[[#This Row],[Planet '#]], tblPlanets[Planet '#], tblPlanets[Name])=MiningROItable[[#This Row],[Name]],
   "Match",
   "Mismatch"
)</f>
        <v>Match</v>
      </c>
    </row>
    <row r="7" spans="1:17" x14ac:dyDescent="0.3">
      <c r="A7" s="25">
        <v>6</v>
      </c>
      <c r="B7" s="25" t="str">
        <f>_xlfn.XLOOKUP(tblprogress[[#This Row],[Planet '#]],tblPlanets[Planet '#],tblPlanets[Name])</f>
        <v>Newton</v>
      </c>
      <c r="C7" s="25">
        <f>_xlfn.XLOOKUP(MiningROItable[[#This Row],[Mining Level]]+1,tblUpgradeStats[Level],tblUpgradeStats[Mining Speed])</f>
        <v>1.4620000000000002</v>
      </c>
      <c r="D7" s="41">
        <f>IF(MiningROItable[[#This Row],[Mining Rate]]=0,0,MiningROItable[[#This Row],[Current Efficiency]]*MiningROItable[[#This Row],[Next Mining Rate]]/MiningROItable[[#This Row],[Mining Rate]])</f>
        <v>1.0341666666666667</v>
      </c>
      <c r="E7" s="73">
        <f>IF(MiningROItable[[#This Row],[Future Deposit]] - MiningROItable[[#This Row],[Current Deposit]] &gt; 0, MiningROItable[[#This Row],[Future Deposit]] - MiningROItable[[#This Row],[Current Deposit]], 0)</f>
        <v>14.321917808219183</v>
      </c>
      <c r="F7" s="47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>123.42047662379188</v>
      </c>
      <c r="G7" s="47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>247.59375729872198</v>
      </c>
      <c r="H7" s="25">
        <f>_xlfn.XLOOKUP(MiningROItable[[#This Row],[Planet '#]],tblprogress[Planet '#],tblprogress[Mining Level])</f>
        <v>6</v>
      </c>
      <c r="I7" s="25">
        <f>_xlfn.XLOOKUP(MiningROItable[[#This Row],[Planet '#]],tblprogress[Planet '#],tblprogress[Mining Rate])</f>
        <v>1.175</v>
      </c>
      <c r="J7" s="28">
        <f>_xlfn.XLOOKUP(MiningROItable[[#This Row],[Planet '#]],tblprogress[Planet '#],tblprogress[Cargo])</f>
        <v>12</v>
      </c>
      <c r="K7" s="41">
        <f>_xlfn.XLOOKUP(MiningROItable[[#This Row],[Planet '#]],tblprogress[Planet '#],tblprogress[Efficiency],0)</f>
        <v>0.83115310077519367</v>
      </c>
      <c r="L7" s="73">
        <f>IF(MiningROItable[[#This Row],[Current Efficiency]]&lt;=1,MiningROItable[[#This Row],[Mining Rate]]*60,MiningROItable[[#This Row],[Cargo]]/MiningROItable[[#This Row],[Total Time]]*60)</f>
        <v>70.5</v>
      </c>
      <c r="M7" s="73">
        <f>IF(MiningROItable[[#This Row],[Future Efficiency]]&lt;=1,MiningROItable[[#This Row],[Next Mining Rate]]*60,MiningROItable[[#This Row],[Cargo]]/MiningROItable[[#This Row],[Total Time]]*60)</f>
        <v>84.821917808219183</v>
      </c>
      <c r="N7" s="34">
        <f>_xlfn.XLOOKUP(MiningROItable[[#This Row],[Planet '#]],tblplanetvalue[Planet '#],tblplanetvalue[Total Worth])</f>
        <v>4</v>
      </c>
      <c r="O7" s="35">
        <f>_xlfn.XLOOKUP(MiningROItable[[#This Row],[Planet '#]],tblplaneteco[Planet '#],tblplaneteco[Mining Rate Cost])</f>
        <v>1671</v>
      </c>
      <c r="P7" s="63">
        <f>_xlfn.XLOOKUP(MiningROItable[[#This Row],[Planet '#]],tblprogress[Planet '#],tblprogress[Total Time])</f>
        <v>8.4883720930232549</v>
      </c>
      <c r="Q7" s="14" t="str">
        <f>IF(
   _xlfn.XLOOKUP(MiningROItable[[#This Row],[Planet '#]], tblPlanets[Planet '#], tblPlanets[Name])=MiningROItable[[#This Row],[Name]],
   "Match",
   "Mismatch"
)</f>
        <v>Match</v>
      </c>
    </row>
    <row r="8" spans="1:17" x14ac:dyDescent="0.3">
      <c r="A8" s="24">
        <v>7</v>
      </c>
      <c r="B8" s="24" t="str">
        <f>_xlfn.XLOOKUP(tblprogress[[#This Row],[Planet '#]],tblPlanets[Planet '#],tblPlanets[Name])</f>
        <v>Widow</v>
      </c>
      <c r="C8" s="25">
        <f>_xlfn.XLOOKUP(MiningROItable[[#This Row],[Mining Level]]+1,tblUpgradeStats[Level],tblUpgradeStats[Mining Speed])</f>
        <v>0.51800000000000002</v>
      </c>
      <c r="D8" s="41">
        <f>IF(MiningROItable[[#This Row],[Mining Rate]]=0,0,MiningROItable[[#This Row],[Current Efficiency]]*MiningROItable[[#This Row],[Next Mining Rate]]/MiningROItable[[#This Row],[Mining Rate]])</f>
        <v>1.5436400000000003</v>
      </c>
      <c r="E8" s="73">
        <f>IF(MiningROItable[[#This Row],[Future Deposit]] - MiningROItable[[#This Row],[Current Deposit]] &gt; 0, MiningROItable[[#This Row],[Future Deposit]] - MiningROItable[[#This Row],[Current Deposit]], 0)</f>
        <v>0</v>
      </c>
      <c r="F8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8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8" s="25">
        <f>_xlfn.XLOOKUP(MiningROItable[[#This Row],[Planet '#]],tblprogress[Planet '#],tblprogress[Mining Level])</f>
        <v>2</v>
      </c>
      <c r="I8" s="25">
        <f>_xlfn.XLOOKUP(MiningROItable[[#This Row],[Planet '#]],tblprogress[Planet '#],tblprogress[Mining Rate])</f>
        <v>0.36699999999999999</v>
      </c>
      <c r="J8" s="28">
        <f>_xlfn.XLOOKUP(MiningROItable[[#This Row],[Planet '#]],tblprogress[Planet '#],tblprogress[Cargo])</f>
        <v>5</v>
      </c>
      <c r="K8" s="41">
        <f>_xlfn.XLOOKUP(MiningROItable[[#This Row],[Planet '#]],tblprogress[Planet '#],tblprogress[Efficiency],0)</f>
        <v>1.0936600000000001</v>
      </c>
      <c r="L8" s="73">
        <f>IF(MiningROItable[[#This Row],[Current Efficiency]]&lt;=1,MiningROItable[[#This Row],[Mining Rate]]*60,MiningROItable[[#This Row],[Cargo]]/MiningROItable[[#This Row],[Total Time]]*60)</f>
        <v>20.134228187919465</v>
      </c>
      <c r="M8" s="73">
        <f>IF(MiningROItable[[#This Row],[Future Efficiency]]&lt;=1,MiningROItable[[#This Row],[Next Mining Rate]]*60,MiningROItable[[#This Row],[Cargo]]/MiningROItable[[#This Row],[Total Time]]*60)</f>
        <v>20.134228187919465</v>
      </c>
      <c r="N8" s="34">
        <f>_xlfn.XLOOKUP(MiningROItable[[#This Row],[Planet '#]],tblplanetvalue[Planet '#],tblplanetvalue[Total Worth])</f>
        <v>2.8000000000000003</v>
      </c>
      <c r="O8" s="35">
        <f>_xlfn.XLOOKUP(MiningROItable[[#This Row],[Planet '#]],tblplaneteco[Planet '#],tblplaneteco[Mining Rate Cost])</f>
        <v>975</v>
      </c>
      <c r="P8" s="63">
        <f>_xlfn.XLOOKUP(MiningROItable[[#This Row],[Planet '#]],tblprogress[Planet '#],tblprogress[Total Time])</f>
        <v>14.9</v>
      </c>
      <c r="Q8" s="14" t="str">
        <f>IF(
   _xlfn.XLOOKUP(MiningROItable[[#This Row],[Planet '#]], tblPlanets[Planet '#], tblPlanets[Name])=MiningROItable[[#This Row],[Name]],
   "Match",
   "Mismatch"
)</f>
        <v>Match</v>
      </c>
    </row>
    <row r="9" spans="1:17" x14ac:dyDescent="0.3">
      <c r="A9" s="25">
        <v>8</v>
      </c>
      <c r="B9" s="25" t="str">
        <f>_xlfn.XLOOKUP(tblprogress[[#This Row],[Planet '#]],tblPlanets[Planet '#],tblPlanets[Name])</f>
        <v>Acheron</v>
      </c>
      <c r="C9" s="25">
        <f>_xlfn.XLOOKUP(MiningROItable[[#This Row],[Mining Level]]+1,tblUpgradeStats[Level],tblUpgradeStats[Mining Speed])</f>
        <v>0.25</v>
      </c>
      <c r="D9" s="41">
        <f>IF(MiningROItable[[#This Row],[Mining Rate]]=0,0,MiningROItable[[#This Row],[Current Efficiency]]*MiningROItable[[#This Row],[Next Mining Rate]]/MiningROItable[[#This Row],[Mining Rate]])</f>
        <v>0</v>
      </c>
      <c r="E9" s="73">
        <f>IF(MiningROItable[[#This Row],[Future Deposit]] - MiningROItable[[#This Row],[Current Deposit]] &gt; 0, MiningROItable[[#This Row],[Future Deposit]] - MiningROItable[[#This Row],[Current Deposit]], 0)</f>
        <v>15</v>
      </c>
      <c r="F9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9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9" s="25">
        <f>_xlfn.XLOOKUP(MiningROItable[[#This Row],[Planet '#]],tblprogress[Planet '#],tblprogress[Mining Level])</f>
        <v>0</v>
      </c>
      <c r="I9" s="25">
        <f>_xlfn.XLOOKUP(MiningROItable[[#This Row],[Planet '#]],tblprogress[Planet '#],tblprogress[Mining Rate])</f>
        <v>0</v>
      </c>
      <c r="J9" s="28">
        <f>_xlfn.XLOOKUP(MiningROItable[[#This Row],[Planet '#]],tblprogress[Planet '#],tblprogress[Cargo])</f>
        <v>0</v>
      </c>
      <c r="K9" s="41">
        <f>_xlfn.XLOOKUP(MiningROItable[[#This Row],[Planet '#]],tblprogress[Planet '#],tblprogress[Efficiency],0)</f>
        <v>0</v>
      </c>
      <c r="L9" s="73">
        <f>IF(MiningROItable[[#This Row],[Current Efficiency]]&lt;=1,MiningROItable[[#This Row],[Mining Rate]]*60,MiningROItable[[#This Row],[Cargo]]/MiningROItable[[#This Row],[Total Time]]*60)</f>
        <v>0</v>
      </c>
      <c r="M9" s="73">
        <f>IF(MiningROItable[[#This Row],[Future Efficiency]]&lt;=1,MiningROItable[[#This Row],[Next Mining Rate]]*60,MiningROItable[[#This Row],[Cargo]]/MiningROItable[[#This Row],[Total Time]]*60)</f>
        <v>15</v>
      </c>
      <c r="N9" s="34">
        <f>_xlfn.XLOOKUP(MiningROItable[[#This Row],[Planet '#]],tblplanetvalue[Planet '#],tblplanetvalue[Total Worth])</f>
        <v>5.2</v>
      </c>
      <c r="O9" s="35" t="str">
        <f>_xlfn.XLOOKUP(MiningROItable[[#This Row],[Planet '#]],tblplaneteco[Planet '#],tblplaneteco[Mining Rate Cost])</f>
        <v/>
      </c>
      <c r="P9" s="63" t="str">
        <f>_xlfn.XLOOKUP(MiningROItable[[#This Row],[Planet '#]],tblprogress[Planet '#],tblprogress[Total Time])</f>
        <v/>
      </c>
      <c r="Q9" s="14" t="str">
        <f>IF(
   _xlfn.XLOOKUP(MiningROItable[[#This Row],[Planet '#]], tblPlanets[Planet '#], tblPlanets[Name])=MiningROItable[[#This Row],[Name]],
   "Match",
   "Mismatch"
)</f>
        <v>Match</v>
      </c>
    </row>
    <row r="10" spans="1:17" x14ac:dyDescent="0.3">
      <c r="A10" s="24">
        <v>9</v>
      </c>
      <c r="B10" s="24" t="str">
        <f>_xlfn.XLOOKUP(tblprogress[[#This Row],[Planet '#]],tblPlanets[Planet '#],tblPlanets[Name])</f>
        <v>Yangtze</v>
      </c>
      <c r="C10" s="25">
        <f>_xlfn.XLOOKUP(MiningROItable[[#This Row],[Mining Level]]+1,tblUpgradeStats[Level],tblUpgradeStats[Mining Speed])</f>
        <v>0.25</v>
      </c>
      <c r="D10" s="41">
        <f>IF(MiningROItable[[#This Row],[Mining Rate]]=0,0,MiningROItable[[#This Row],[Current Efficiency]]*MiningROItable[[#This Row],[Next Mining Rate]]/MiningROItable[[#This Row],[Mining Rate]])</f>
        <v>0</v>
      </c>
      <c r="E10" s="73">
        <f>IF(MiningROItable[[#This Row],[Future Deposit]] - MiningROItable[[#This Row],[Current Deposit]] &gt; 0, MiningROItable[[#This Row],[Future Deposit]] - MiningROItable[[#This Row],[Current Deposit]], 0)</f>
        <v>15</v>
      </c>
      <c r="F10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0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0" s="25">
        <f>_xlfn.XLOOKUP(MiningROItable[[#This Row],[Planet '#]],tblprogress[Planet '#],tblprogress[Mining Level])</f>
        <v>0</v>
      </c>
      <c r="I10" s="25">
        <f>_xlfn.XLOOKUP(MiningROItable[[#This Row],[Planet '#]],tblprogress[Planet '#],tblprogress[Mining Rate])</f>
        <v>0</v>
      </c>
      <c r="J10" s="28">
        <f>_xlfn.XLOOKUP(MiningROItable[[#This Row],[Planet '#]],tblprogress[Planet '#],tblprogress[Cargo])</f>
        <v>0</v>
      </c>
      <c r="K10" s="41">
        <f>_xlfn.XLOOKUP(MiningROItable[[#This Row],[Planet '#]],tblprogress[Planet '#],tblprogress[Efficiency],0)</f>
        <v>0</v>
      </c>
      <c r="L10" s="73">
        <f>IF(MiningROItable[[#This Row],[Current Efficiency]]&lt;=1,MiningROItable[[#This Row],[Mining Rate]]*60,MiningROItable[[#This Row],[Cargo]]/MiningROItable[[#This Row],[Total Time]]*60)</f>
        <v>0</v>
      </c>
      <c r="M10" s="73">
        <f>IF(MiningROItable[[#This Row],[Future Efficiency]]&lt;=1,MiningROItable[[#This Row],[Next Mining Rate]]*60,MiningROItable[[#This Row],[Cargo]]/MiningROItable[[#This Row],[Total Time]]*60)</f>
        <v>15</v>
      </c>
      <c r="N10" s="34">
        <f>_xlfn.XLOOKUP(MiningROItable[[#This Row],[Planet '#]],tblplanetvalue[Planet '#],tblplanetvalue[Total Worth])</f>
        <v>9.8000000000000007</v>
      </c>
      <c r="O10" s="35" t="str">
        <f>_xlfn.XLOOKUP(MiningROItable[[#This Row],[Planet '#]],tblplaneteco[Planet '#],tblplaneteco[Mining Rate Cost])</f>
        <v/>
      </c>
      <c r="P10" s="63" t="str">
        <f>_xlfn.XLOOKUP(MiningROItable[[#This Row],[Planet '#]],tblprogress[Planet '#],tblprogress[Total Time])</f>
        <v/>
      </c>
      <c r="Q10" s="14" t="str">
        <f>IF(
   _xlfn.XLOOKUP(MiningROItable[[#This Row],[Planet '#]], tblPlanets[Planet '#], tblPlanets[Name])=MiningROItable[[#This Row],[Name]],
   "Match",
   "Mismatch"
)</f>
        <v>Match</v>
      </c>
    </row>
    <row r="11" spans="1:17" x14ac:dyDescent="0.3">
      <c r="A11" s="25">
        <v>10</v>
      </c>
      <c r="B11" s="25" t="str">
        <f>_xlfn.XLOOKUP(tblprogress[[#This Row],[Planet '#]],tblPlanets[Planet '#],tblPlanets[Name])</f>
        <v>Solveig</v>
      </c>
      <c r="C11" s="25">
        <f>_xlfn.XLOOKUP(MiningROItable[[#This Row],[Mining Level]]+1,tblUpgradeStats[Level],tblUpgradeStats[Mining Speed])</f>
        <v>0.25</v>
      </c>
      <c r="D11" s="41">
        <f>IF(MiningROItable[[#This Row],[Mining Rate]]=0,0,MiningROItable[[#This Row],[Current Efficiency]]*MiningROItable[[#This Row],[Next Mining Rate]]/MiningROItable[[#This Row],[Mining Rate]])</f>
        <v>0</v>
      </c>
      <c r="E11" s="73">
        <f>IF(MiningROItable[[#This Row],[Future Deposit]] - MiningROItable[[#This Row],[Current Deposit]] &gt; 0, MiningROItable[[#This Row],[Future Deposit]] - MiningROItable[[#This Row],[Current Deposit]], 0)</f>
        <v>15</v>
      </c>
      <c r="F11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1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1" s="25">
        <f>_xlfn.XLOOKUP(MiningROItable[[#This Row],[Planet '#]],tblprogress[Planet '#],tblprogress[Mining Level])</f>
        <v>0</v>
      </c>
      <c r="I11" s="25">
        <f>_xlfn.XLOOKUP(MiningROItable[[#This Row],[Planet '#]],tblprogress[Planet '#],tblprogress[Mining Rate])</f>
        <v>0</v>
      </c>
      <c r="J11" s="28">
        <f>_xlfn.XLOOKUP(MiningROItable[[#This Row],[Planet '#]],tblprogress[Planet '#],tblprogress[Cargo])</f>
        <v>0</v>
      </c>
      <c r="K11" s="41">
        <f>_xlfn.XLOOKUP(MiningROItable[[#This Row],[Planet '#]],tblprogress[Planet '#],tblprogress[Efficiency],0)</f>
        <v>0</v>
      </c>
      <c r="L11" s="73">
        <f>IF(MiningROItable[[#This Row],[Current Efficiency]]&lt;=1,MiningROItable[[#This Row],[Mining Rate]]*60,MiningROItable[[#This Row],[Cargo]]/MiningROItable[[#This Row],[Total Time]]*60)</f>
        <v>0</v>
      </c>
      <c r="M11" s="73">
        <f>IF(MiningROItable[[#This Row],[Future Efficiency]]&lt;=1,MiningROItable[[#This Row],[Next Mining Rate]]*60,MiningROItable[[#This Row],[Cargo]]/MiningROItable[[#This Row],[Total Time]]*60)</f>
        <v>15</v>
      </c>
      <c r="N11" s="34">
        <f>_xlfn.XLOOKUP(MiningROItable[[#This Row],[Planet '#]],tblplanetvalue[Planet '#],tblplanetvalue[Total Worth])</f>
        <v>11.700000000000001</v>
      </c>
      <c r="O11" s="35" t="str">
        <f>_xlfn.XLOOKUP(MiningROItable[[#This Row],[Planet '#]],tblplaneteco[Planet '#],tblplaneteco[Mining Rate Cost])</f>
        <v/>
      </c>
      <c r="P11" s="63" t="str">
        <f>_xlfn.XLOOKUP(MiningROItable[[#This Row],[Planet '#]],tblprogress[Planet '#],tblprogress[Total Time])</f>
        <v/>
      </c>
      <c r="Q11" s="14" t="str">
        <f>IF(
   _xlfn.XLOOKUP(MiningROItable[[#This Row],[Planet '#]], tblPlanets[Planet '#], tblPlanets[Name])=MiningROItable[[#This Row],[Name]],
   "Match",
   "Mismatch"
)</f>
        <v>Match</v>
      </c>
    </row>
    <row r="12" spans="1:17" x14ac:dyDescent="0.3">
      <c r="A12" s="24">
        <v>11</v>
      </c>
      <c r="B12" s="24" t="str">
        <f>_xlfn.XLOOKUP(tblprogress[[#This Row],[Planet '#]],tblPlanets[Planet '#],tblPlanets[Name])</f>
        <v>Imir</v>
      </c>
      <c r="C12" s="25">
        <f>_xlfn.XLOOKUP(MiningROItable[[#This Row],[Mining Level]]+1,tblUpgradeStats[Level],tblUpgradeStats[Mining Speed])</f>
        <v>0.25</v>
      </c>
      <c r="D12" s="41">
        <f>IF(MiningROItable[[#This Row],[Mining Rate]]=0,0,MiningROItable[[#This Row],[Current Efficiency]]*MiningROItable[[#This Row],[Next Mining Rate]]/MiningROItable[[#This Row],[Mining Rate]])</f>
        <v>0</v>
      </c>
      <c r="E12" s="73">
        <f>IF(MiningROItable[[#This Row],[Future Deposit]] - MiningROItable[[#This Row],[Current Deposit]] &gt; 0, MiningROItable[[#This Row],[Future Deposit]] - MiningROItable[[#This Row],[Current Deposit]], 0)</f>
        <v>15</v>
      </c>
      <c r="F12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2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2" s="25">
        <f>_xlfn.XLOOKUP(MiningROItable[[#This Row],[Planet '#]],tblprogress[Planet '#],tblprogress[Mining Level])</f>
        <v>0</v>
      </c>
      <c r="I12" s="25">
        <f>_xlfn.XLOOKUP(MiningROItable[[#This Row],[Planet '#]],tblprogress[Planet '#],tblprogress[Mining Rate])</f>
        <v>0</v>
      </c>
      <c r="J12" s="28">
        <f>_xlfn.XLOOKUP(MiningROItable[[#This Row],[Planet '#]],tblprogress[Planet '#],tblprogress[Cargo])</f>
        <v>0</v>
      </c>
      <c r="K12" s="41">
        <f>_xlfn.XLOOKUP(MiningROItable[[#This Row],[Planet '#]],tblprogress[Planet '#],tblprogress[Efficiency],0)</f>
        <v>0</v>
      </c>
      <c r="L12" s="73">
        <f>IF(MiningROItable[[#This Row],[Current Efficiency]]&lt;=1,MiningROItable[[#This Row],[Mining Rate]]*60,MiningROItable[[#This Row],[Cargo]]/MiningROItable[[#This Row],[Total Time]]*60)</f>
        <v>0</v>
      </c>
      <c r="M12" s="73">
        <f>IF(MiningROItable[[#This Row],[Future Efficiency]]&lt;=1,MiningROItable[[#This Row],[Next Mining Rate]]*60,MiningROItable[[#This Row],[Cargo]]/MiningROItable[[#This Row],[Total Time]]*60)</f>
        <v>15</v>
      </c>
      <c r="N12" s="34">
        <f>_xlfn.XLOOKUP(MiningROItable[[#This Row],[Planet '#]],tblplanetvalue[Planet '#],tblplanetvalue[Total Worth])</f>
        <v>17</v>
      </c>
      <c r="O12" s="35" t="str">
        <f>_xlfn.XLOOKUP(MiningROItable[[#This Row],[Planet '#]],tblplaneteco[Planet '#],tblplaneteco[Mining Rate Cost])</f>
        <v/>
      </c>
      <c r="P12" s="63" t="str">
        <f>_xlfn.XLOOKUP(MiningROItable[[#This Row],[Planet '#]],tblprogress[Planet '#],tblprogress[Total Time])</f>
        <v/>
      </c>
      <c r="Q12" s="14" t="str">
        <f>IF(
   _xlfn.XLOOKUP(MiningROItable[[#This Row],[Planet '#]], tblPlanets[Planet '#], tblPlanets[Name])=MiningROItable[[#This Row],[Name]],
   "Match",
   "Mismatch"
)</f>
        <v>Match</v>
      </c>
    </row>
    <row r="13" spans="1:17" x14ac:dyDescent="0.3">
      <c r="A13" s="25">
        <v>12</v>
      </c>
      <c r="B13" s="25" t="str">
        <f>_xlfn.XLOOKUP(tblprogress[[#This Row],[Planet '#]],tblPlanets[Planet '#],tblPlanets[Name])</f>
        <v>Relic</v>
      </c>
      <c r="C13" s="25">
        <f>_xlfn.XLOOKUP(MiningROItable[[#This Row],[Mining Level]]+1,tblUpgradeStats[Level],tblUpgradeStats[Mining Speed])</f>
        <v>0.25</v>
      </c>
      <c r="D13" s="41">
        <f>IF(MiningROItable[[#This Row],[Mining Rate]]=0,0,MiningROItable[[#This Row],[Current Efficiency]]*MiningROItable[[#This Row],[Next Mining Rate]]/MiningROItable[[#This Row],[Mining Rate]])</f>
        <v>0</v>
      </c>
      <c r="E13" s="73">
        <f>IF(MiningROItable[[#This Row],[Future Deposit]] - MiningROItable[[#This Row],[Current Deposit]] &gt; 0, MiningROItable[[#This Row],[Future Deposit]] - MiningROItable[[#This Row],[Current Deposit]], 0)</f>
        <v>15</v>
      </c>
      <c r="F13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3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3" s="25">
        <f>_xlfn.XLOOKUP(MiningROItable[[#This Row],[Planet '#]],tblprogress[Planet '#],tblprogress[Mining Level])</f>
        <v>0</v>
      </c>
      <c r="I13" s="25">
        <f>_xlfn.XLOOKUP(MiningROItable[[#This Row],[Planet '#]],tblprogress[Planet '#],tblprogress[Mining Rate])</f>
        <v>0</v>
      </c>
      <c r="J13" s="28">
        <f>_xlfn.XLOOKUP(MiningROItable[[#This Row],[Planet '#]],tblprogress[Planet '#],tblprogress[Cargo])</f>
        <v>0</v>
      </c>
      <c r="K13" s="41">
        <f>_xlfn.XLOOKUP(MiningROItable[[#This Row],[Planet '#]],tblprogress[Planet '#],tblprogress[Efficiency],0)</f>
        <v>0</v>
      </c>
      <c r="L13" s="73">
        <f>IF(MiningROItable[[#This Row],[Current Efficiency]]&lt;=1,MiningROItable[[#This Row],[Mining Rate]]*60,MiningROItable[[#This Row],[Cargo]]/MiningROItable[[#This Row],[Total Time]]*60)</f>
        <v>0</v>
      </c>
      <c r="M13" s="73">
        <f>IF(MiningROItable[[#This Row],[Future Efficiency]]&lt;=1,MiningROItable[[#This Row],[Next Mining Rate]]*60,MiningROItable[[#This Row],[Cargo]]/MiningROItable[[#This Row],[Total Time]]*60)</f>
        <v>15</v>
      </c>
      <c r="N13" s="34">
        <f>_xlfn.XLOOKUP(MiningROItable[[#This Row],[Planet '#]],tblplanetvalue[Planet '#],tblplanetvalue[Total Worth])</f>
        <v>11.8</v>
      </c>
      <c r="O13" s="35" t="str">
        <f>_xlfn.XLOOKUP(MiningROItable[[#This Row],[Planet '#]],tblplaneteco[Planet '#],tblplaneteco[Mining Rate Cost])</f>
        <v/>
      </c>
      <c r="P13" s="63" t="str">
        <f>_xlfn.XLOOKUP(MiningROItable[[#This Row],[Planet '#]],tblprogress[Planet '#],tblprogress[Total Time])</f>
        <v/>
      </c>
      <c r="Q13" s="14" t="str">
        <f>IF(
   _xlfn.XLOOKUP(MiningROItable[[#This Row],[Planet '#]], tblPlanets[Planet '#], tblPlanets[Name])=MiningROItable[[#This Row],[Name]],
   "Match",
   "Mismatch"
)</f>
        <v>Match</v>
      </c>
    </row>
    <row r="14" spans="1:17" x14ac:dyDescent="0.3">
      <c r="A14" s="24">
        <v>13</v>
      </c>
      <c r="B14" s="24" t="str">
        <f>_xlfn.XLOOKUP(tblprogress[[#This Row],[Planet '#]],tblPlanets[Planet '#],tblPlanets[Name])</f>
        <v>Nith</v>
      </c>
      <c r="C14" s="25">
        <f>_xlfn.XLOOKUP(MiningROItable[[#This Row],[Mining Level]]+1,tblUpgradeStats[Level],tblUpgradeStats[Mining Speed])</f>
        <v>0.25</v>
      </c>
      <c r="D14" s="41">
        <f>IF(MiningROItable[[#This Row],[Mining Rate]]=0,0,MiningROItable[[#This Row],[Current Efficiency]]*MiningROItable[[#This Row],[Next Mining Rate]]/MiningROItable[[#This Row],[Mining Rate]])</f>
        <v>0</v>
      </c>
      <c r="E14" s="73">
        <f>IF(MiningROItable[[#This Row],[Future Deposit]] - MiningROItable[[#This Row],[Current Deposit]] &gt; 0, MiningROItable[[#This Row],[Future Deposit]] - MiningROItable[[#This Row],[Current Deposit]], 0)</f>
        <v>15</v>
      </c>
      <c r="F14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4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4" s="25">
        <f>_xlfn.XLOOKUP(MiningROItable[[#This Row],[Planet '#]],tblprogress[Planet '#],tblprogress[Mining Level])</f>
        <v>0</v>
      </c>
      <c r="I14" s="25">
        <f>_xlfn.XLOOKUP(MiningROItable[[#This Row],[Planet '#]],tblprogress[Planet '#],tblprogress[Mining Rate])</f>
        <v>0</v>
      </c>
      <c r="J14" s="28">
        <f>_xlfn.XLOOKUP(MiningROItable[[#This Row],[Planet '#]],tblprogress[Planet '#],tblprogress[Cargo])</f>
        <v>0</v>
      </c>
      <c r="K14" s="41">
        <f>_xlfn.XLOOKUP(MiningROItable[[#This Row],[Planet '#]],tblprogress[Planet '#],tblprogress[Efficiency],0)</f>
        <v>0</v>
      </c>
      <c r="L14" s="73">
        <f>IF(MiningROItable[[#This Row],[Current Efficiency]]&lt;=1,MiningROItable[[#This Row],[Mining Rate]]*60,MiningROItable[[#This Row],[Cargo]]/MiningROItable[[#This Row],[Total Time]]*60)</f>
        <v>0</v>
      </c>
      <c r="M14" s="73">
        <f>IF(MiningROItable[[#This Row],[Future Efficiency]]&lt;=1,MiningROItable[[#This Row],[Next Mining Rate]]*60,MiningROItable[[#This Row],[Cargo]]/MiningROItable[[#This Row],[Total Time]]*60)</f>
        <v>15</v>
      </c>
      <c r="N14" s="34">
        <f>_xlfn.XLOOKUP(MiningROItable[[#This Row],[Planet '#]],tblplanetvalue[Planet '#],tblplanetvalue[Total Worth])</f>
        <v>32.200000000000003</v>
      </c>
      <c r="O14" s="35" t="str">
        <f>_xlfn.XLOOKUP(MiningROItable[[#This Row],[Planet '#]],tblplaneteco[Planet '#],tblplaneteco[Mining Rate Cost])</f>
        <v/>
      </c>
      <c r="P14" s="63" t="str">
        <f>_xlfn.XLOOKUP(MiningROItable[[#This Row],[Planet '#]],tblprogress[Planet '#],tblprogress[Total Time])</f>
        <v/>
      </c>
      <c r="Q14" s="14" t="str">
        <f>IF(
   _xlfn.XLOOKUP(MiningROItable[[#This Row],[Planet '#]], tblPlanets[Planet '#], tblPlanets[Name])=MiningROItable[[#This Row],[Name]],
   "Match",
   "Mismatch"
)</f>
        <v>Match</v>
      </c>
    </row>
    <row r="15" spans="1:17" x14ac:dyDescent="0.3">
      <c r="A15" s="25">
        <v>14</v>
      </c>
      <c r="B15" s="25" t="str">
        <f>_xlfn.XLOOKUP(tblprogress[[#This Row],[Planet '#]],tblPlanets[Planet '#],tblPlanets[Name])</f>
        <v>Batalla</v>
      </c>
      <c r="C15" s="25">
        <f>_xlfn.XLOOKUP(MiningROItable[[#This Row],[Mining Level]]+1,tblUpgradeStats[Level],tblUpgradeStats[Mining Speed])</f>
        <v>0.25</v>
      </c>
      <c r="D15" s="41">
        <f>IF(MiningROItable[[#This Row],[Mining Rate]]=0,0,MiningROItable[[#This Row],[Current Efficiency]]*MiningROItable[[#This Row],[Next Mining Rate]]/MiningROItable[[#This Row],[Mining Rate]])</f>
        <v>0</v>
      </c>
      <c r="E15" s="73">
        <f>IF(MiningROItable[[#This Row],[Future Deposit]] - MiningROItable[[#This Row],[Current Deposit]] &gt; 0, MiningROItable[[#This Row],[Future Deposit]] - MiningROItable[[#This Row],[Current Deposit]], 0)</f>
        <v>15</v>
      </c>
      <c r="F15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5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5" s="25">
        <f>_xlfn.XLOOKUP(MiningROItable[[#This Row],[Planet '#]],tblprogress[Planet '#],tblprogress[Mining Level])</f>
        <v>0</v>
      </c>
      <c r="I15" s="25">
        <f>_xlfn.XLOOKUP(MiningROItable[[#This Row],[Planet '#]],tblprogress[Planet '#],tblprogress[Mining Rate])</f>
        <v>0</v>
      </c>
      <c r="J15" s="28">
        <f>_xlfn.XLOOKUP(MiningROItable[[#This Row],[Planet '#]],tblprogress[Planet '#],tblprogress[Cargo])</f>
        <v>0</v>
      </c>
      <c r="K15" s="41">
        <f>_xlfn.XLOOKUP(MiningROItable[[#This Row],[Planet '#]],tblprogress[Planet '#],tblprogress[Efficiency],0)</f>
        <v>0</v>
      </c>
      <c r="L15" s="73">
        <f>IF(MiningROItable[[#This Row],[Current Efficiency]]&lt;=1,MiningROItable[[#This Row],[Mining Rate]]*60,MiningROItable[[#This Row],[Cargo]]/MiningROItable[[#This Row],[Total Time]]*60)</f>
        <v>0</v>
      </c>
      <c r="M15" s="73">
        <f>IF(MiningROItable[[#This Row],[Future Efficiency]]&lt;=1,MiningROItable[[#This Row],[Next Mining Rate]]*60,MiningROItable[[#This Row],[Cargo]]/MiningROItable[[#This Row],[Total Time]]*60)</f>
        <v>15</v>
      </c>
      <c r="N15" s="34">
        <f>_xlfn.XLOOKUP(MiningROItable[[#This Row],[Planet '#]],tblplanetvalue[Planet '#],tblplanetvalue[Total Worth])</f>
        <v>16.2</v>
      </c>
      <c r="O15" s="35" t="str">
        <f>_xlfn.XLOOKUP(MiningROItable[[#This Row],[Planet '#]],tblplaneteco[Planet '#],tblplaneteco[Mining Rate Cost])</f>
        <v/>
      </c>
      <c r="P15" s="63" t="str">
        <f>_xlfn.XLOOKUP(MiningROItable[[#This Row],[Planet '#]],tblprogress[Planet '#],tblprogress[Total Time])</f>
        <v/>
      </c>
      <c r="Q15" s="14" t="str">
        <f>IF(
   _xlfn.XLOOKUP(MiningROItable[[#This Row],[Planet '#]], tblPlanets[Planet '#], tblPlanets[Name])=MiningROItable[[#This Row],[Name]],
   "Match",
   "Mismatch"
)</f>
        <v>Match</v>
      </c>
    </row>
    <row r="16" spans="1:17" x14ac:dyDescent="0.3">
      <c r="A16" s="24">
        <v>15</v>
      </c>
      <c r="B16" s="24" t="str">
        <f>_xlfn.XLOOKUP(tblprogress[[#This Row],[Planet '#]],tblPlanets[Planet '#],tblPlanets[Name])</f>
        <v>Micah</v>
      </c>
      <c r="C16" s="25">
        <f>_xlfn.XLOOKUP(MiningROItable[[#This Row],[Mining Level]]+1,tblUpgradeStats[Level],tblUpgradeStats[Mining Speed])</f>
        <v>0.25</v>
      </c>
      <c r="D16" s="41">
        <f>IF(MiningROItable[[#This Row],[Mining Rate]]=0,0,MiningROItable[[#This Row],[Current Efficiency]]*MiningROItable[[#This Row],[Next Mining Rate]]/MiningROItable[[#This Row],[Mining Rate]])</f>
        <v>0</v>
      </c>
      <c r="E16" s="73">
        <f>IF(MiningROItable[[#This Row],[Future Deposit]] - MiningROItable[[#This Row],[Current Deposit]] &gt; 0, MiningROItable[[#This Row],[Future Deposit]] - MiningROItable[[#This Row],[Current Deposit]], 0)</f>
        <v>15</v>
      </c>
      <c r="F16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6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6" s="25">
        <f>_xlfn.XLOOKUP(MiningROItable[[#This Row],[Planet '#]],tblprogress[Planet '#],tblprogress[Mining Level])</f>
        <v>0</v>
      </c>
      <c r="I16" s="25">
        <f>_xlfn.XLOOKUP(MiningROItable[[#This Row],[Planet '#]],tblprogress[Planet '#],tblprogress[Mining Rate])</f>
        <v>0</v>
      </c>
      <c r="J16" s="28">
        <f>_xlfn.XLOOKUP(MiningROItable[[#This Row],[Planet '#]],tblprogress[Planet '#],tblprogress[Cargo])</f>
        <v>0</v>
      </c>
      <c r="K16" s="41">
        <f>_xlfn.XLOOKUP(MiningROItable[[#This Row],[Planet '#]],tblprogress[Planet '#],tblprogress[Efficiency],0)</f>
        <v>0</v>
      </c>
      <c r="L16" s="73">
        <f>IF(MiningROItable[[#This Row],[Current Efficiency]]&lt;=1,MiningROItable[[#This Row],[Mining Rate]]*60,MiningROItable[[#This Row],[Cargo]]/MiningROItable[[#This Row],[Total Time]]*60)</f>
        <v>0</v>
      </c>
      <c r="M16" s="73">
        <f>IF(MiningROItable[[#This Row],[Future Efficiency]]&lt;=1,MiningROItable[[#This Row],[Next Mining Rate]]*60,MiningROItable[[#This Row],[Cargo]]/MiningROItable[[#This Row],[Total Time]]*60)</f>
        <v>15</v>
      </c>
      <c r="N16" s="34">
        <f>_xlfn.XLOOKUP(MiningROItable[[#This Row],[Planet '#]],tblplanetvalue[Planet '#],tblplanetvalue[Total Worth])</f>
        <v>55.5</v>
      </c>
      <c r="O16" s="35" t="str">
        <f>_xlfn.XLOOKUP(MiningROItable[[#This Row],[Planet '#]],tblplaneteco[Planet '#],tblplaneteco[Mining Rate Cost])</f>
        <v/>
      </c>
      <c r="P16" s="63" t="str">
        <f>_xlfn.XLOOKUP(MiningROItable[[#This Row],[Planet '#]],tblprogress[Planet '#],tblprogress[Total Time])</f>
        <v/>
      </c>
      <c r="Q16" s="14" t="str">
        <f>IF(
   _xlfn.XLOOKUP(MiningROItable[[#This Row],[Planet '#]], tblPlanets[Planet '#], tblPlanets[Name])=MiningROItable[[#This Row],[Name]],
   "Match",
   "Mismatch"
)</f>
        <v>Match</v>
      </c>
    </row>
    <row r="17" spans="1:17" x14ac:dyDescent="0.3">
      <c r="A17" s="25">
        <v>16</v>
      </c>
      <c r="B17" s="25" t="str">
        <f>_xlfn.XLOOKUP(tblprogress[[#This Row],[Planet '#]],tblPlanets[Planet '#],tblPlanets[Name])</f>
        <v>Pranas</v>
      </c>
      <c r="C17" s="25">
        <f>_xlfn.XLOOKUP(MiningROItable[[#This Row],[Mining Level]]+1,tblUpgradeStats[Level],tblUpgradeStats[Mining Speed])</f>
        <v>0.25</v>
      </c>
      <c r="D17" s="41">
        <f>IF(MiningROItable[[#This Row],[Mining Rate]]=0,0,MiningROItable[[#This Row],[Current Efficiency]]*MiningROItable[[#This Row],[Next Mining Rate]]/MiningROItable[[#This Row],[Mining Rate]])</f>
        <v>0</v>
      </c>
      <c r="E17" s="73">
        <f>IF(MiningROItable[[#This Row],[Future Deposit]] - MiningROItable[[#This Row],[Current Deposit]] &gt; 0, MiningROItable[[#This Row],[Future Deposit]] - MiningROItable[[#This Row],[Current Deposit]], 0)</f>
        <v>15</v>
      </c>
      <c r="F17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7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7" s="25">
        <f>_xlfn.XLOOKUP(MiningROItable[[#This Row],[Planet '#]],tblprogress[Planet '#],tblprogress[Mining Level])</f>
        <v>0</v>
      </c>
      <c r="I17" s="25">
        <f>_xlfn.XLOOKUP(MiningROItable[[#This Row],[Planet '#]],tblprogress[Planet '#],tblprogress[Mining Rate])</f>
        <v>0</v>
      </c>
      <c r="J17" s="28">
        <f>_xlfn.XLOOKUP(MiningROItable[[#This Row],[Planet '#]],tblprogress[Planet '#],tblprogress[Cargo])</f>
        <v>0</v>
      </c>
      <c r="K17" s="41">
        <f>_xlfn.XLOOKUP(MiningROItable[[#This Row],[Planet '#]],tblprogress[Planet '#],tblprogress[Efficiency],0)</f>
        <v>0</v>
      </c>
      <c r="L17" s="73">
        <f>IF(MiningROItable[[#This Row],[Current Efficiency]]&lt;=1,MiningROItable[[#This Row],[Mining Rate]]*60,MiningROItable[[#This Row],[Cargo]]/MiningROItable[[#This Row],[Total Time]]*60)</f>
        <v>0</v>
      </c>
      <c r="M17" s="73">
        <f>IF(MiningROItable[[#This Row],[Future Efficiency]]&lt;=1,MiningROItable[[#This Row],[Next Mining Rate]]*60,MiningROItable[[#This Row],[Cargo]]/MiningROItable[[#This Row],[Total Time]]*60)</f>
        <v>15</v>
      </c>
      <c r="N17" s="34">
        <f>_xlfn.XLOOKUP(MiningROItable[[#This Row],[Planet '#]],tblplanetvalue[Planet '#],tblplanetvalue[Total Worth])</f>
        <v>75</v>
      </c>
      <c r="O17" s="35" t="str">
        <f>_xlfn.XLOOKUP(MiningROItable[[#This Row],[Planet '#]],tblplaneteco[Planet '#],tblplaneteco[Mining Rate Cost])</f>
        <v/>
      </c>
      <c r="P17" s="63" t="str">
        <f>_xlfn.XLOOKUP(MiningROItable[[#This Row],[Planet '#]],tblprogress[Planet '#],tblprogress[Total Time])</f>
        <v/>
      </c>
      <c r="Q17" s="14" t="str">
        <f>IF(
   _xlfn.XLOOKUP(MiningROItable[[#This Row],[Planet '#]], tblPlanets[Planet '#], tblPlanets[Name])=MiningROItable[[#This Row],[Name]],
   "Match",
   "Mismatch"
)</f>
        <v>Match</v>
      </c>
    </row>
    <row r="18" spans="1:17" x14ac:dyDescent="0.3">
      <c r="A18" s="24">
        <v>17</v>
      </c>
      <c r="B18" s="24" t="str">
        <f>_xlfn.XLOOKUP(tblprogress[[#This Row],[Planet '#]],tblPlanets[Planet '#],tblPlanets[Name])</f>
        <v>Castellus</v>
      </c>
      <c r="C18" s="25">
        <f>_xlfn.XLOOKUP(MiningROItable[[#This Row],[Mining Level]]+1,tblUpgradeStats[Level],tblUpgradeStats[Mining Speed])</f>
        <v>0.25</v>
      </c>
      <c r="D18" s="41">
        <f>IF(MiningROItable[[#This Row],[Mining Rate]]=0,0,MiningROItable[[#This Row],[Current Efficiency]]*MiningROItable[[#This Row],[Next Mining Rate]]/MiningROItable[[#This Row],[Mining Rate]])</f>
        <v>0</v>
      </c>
      <c r="E18" s="73">
        <f>IF(MiningROItable[[#This Row],[Future Deposit]] - MiningROItable[[#This Row],[Current Deposit]] &gt; 0, MiningROItable[[#This Row],[Future Deposit]] - MiningROItable[[#This Row],[Current Deposit]], 0)</f>
        <v>15</v>
      </c>
      <c r="F18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8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8" s="25">
        <f>_xlfn.XLOOKUP(MiningROItable[[#This Row],[Planet '#]],tblprogress[Planet '#],tblprogress[Mining Level])</f>
        <v>0</v>
      </c>
      <c r="I18" s="25">
        <f>_xlfn.XLOOKUP(MiningROItable[[#This Row],[Planet '#]],tblprogress[Planet '#],tblprogress[Mining Rate])</f>
        <v>0</v>
      </c>
      <c r="J18" s="28">
        <f>_xlfn.XLOOKUP(MiningROItable[[#This Row],[Planet '#]],tblprogress[Planet '#],tblprogress[Cargo])</f>
        <v>0</v>
      </c>
      <c r="K18" s="41">
        <f>_xlfn.XLOOKUP(MiningROItable[[#This Row],[Planet '#]],tblprogress[Planet '#],tblprogress[Efficiency],0)</f>
        <v>0</v>
      </c>
      <c r="L18" s="73">
        <f>IF(MiningROItable[[#This Row],[Current Efficiency]]&lt;=1,MiningROItable[[#This Row],[Mining Rate]]*60,MiningROItable[[#This Row],[Cargo]]/MiningROItable[[#This Row],[Total Time]]*60)</f>
        <v>0</v>
      </c>
      <c r="M18" s="73">
        <f>IF(MiningROItable[[#This Row],[Future Efficiency]]&lt;=1,MiningROItable[[#This Row],[Next Mining Rate]]*60,MiningROItable[[#This Row],[Cargo]]/MiningROItable[[#This Row],[Total Time]]*60)</f>
        <v>15</v>
      </c>
      <c r="N18" s="34">
        <f>_xlfn.XLOOKUP(MiningROItable[[#This Row],[Planet '#]],tblplanetvalue[Planet '#],tblplanetvalue[Total Worth])</f>
        <v>49.6</v>
      </c>
      <c r="O18" s="35" t="str">
        <f>_xlfn.XLOOKUP(MiningROItable[[#This Row],[Planet '#]],tblplaneteco[Planet '#],tblplaneteco[Mining Rate Cost])</f>
        <v/>
      </c>
      <c r="P18" s="63" t="str">
        <f>_xlfn.XLOOKUP(MiningROItable[[#This Row],[Planet '#]],tblprogress[Planet '#],tblprogress[Total Time])</f>
        <v/>
      </c>
      <c r="Q18" s="14" t="str">
        <f>IF(
   _xlfn.XLOOKUP(MiningROItable[[#This Row],[Planet '#]], tblPlanets[Planet '#], tblPlanets[Name])=MiningROItable[[#This Row],[Name]],
   "Match",
   "Mismatch"
)</f>
        <v>Match</v>
      </c>
    </row>
    <row r="19" spans="1:17" x14ac:dyDescent="0.3">
      <c r="A19" s="25">
        <v>18</v>
      </c>
      <c r="B19" s="25" t="str">
        <f>_xlfn.XLOOKUP(tblprogress[[#This Row],[Planet '#]],tblPlanets[Planet '#],tblPlanets[Name])</f>
        <v>Gorgon</v>
      </c>
      <c r="C19" s="25">
        <f>_xlfn.XLOOKUP(MiningROItable[[#This Row],[Mining Level]]+1,tblUpgradeStats[Level],tblUpgradeStats[Mining Speed])</f>
        <v>0.25</v>
      </c>
      <c r="D19" s="41">
        <f>IF(MiningROItable[[#This Row],[Mining Rate]]=0,0,MiningROItable[[#This Row],[Current Efficiency]]*MiningROItable[[#This Row],[Next Mining Rate]]/MiningROItable[[#This Row],[Mining Rate]])</f>
        <v>0</v>
      </c>
      <c r="E19" s="73">
        <f>IF(MiningROItable[[#This Row],[Future Deposit]] - MiningROItable[[#This Row],[Current Deposit]] &gt; 0, MiningROItable[[#This Row],[Future Deposit]] - MiningROItable[[#This Row],[Current Deposit]], 0)</f>
        <v>15</v>
      </c>
      <c r="F19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19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19" s="25">
        <f>_xlfn.XLOOKUP(MiningROItable[[#This Row],[Planet '#]],tblprogress[Planet '#],tblprogress[Mining Level])</f>
        <v>0</v>
      </c>
      <c r="I19" s="25">
        <f>_xlfn.XLOOKUP(MiningROItable[[#This Row],[Planet '#]],tblprogress[Planet '#],tblprogress[Mining Rate])</f>
        <v>0</v>
      </c>
      <c r="J19" s="28">
        <f>_xlfn.XLOOKUP(MiningROItable[[#This Row],[Planet '#]],tblprogress[Planet '#],tblprogress[Cargo])</f>
        <v>0</v>
      </c>
      <c r="K19" s="41">
        <f>_xlfn.XLOOKUP(MiningROItable[[#This Row],[Planet '#]],tblprogress[Planet '#],tblprogress[Efficiency],0)</f>
        <v>0</v>
      </c>
      <c r="L19" s="73">
        <f>IF(MiningROItable[[#This Row],[Current Efficiency]]&lt;=1,MiningROItable[[#This Row],[Mining Rate]]*60,MiningROItable[[#This Row],[Cargo]]/MiningROItable[[#This Row],[Total Time]]*60)</f>
        <v>0</v>
      </c>
      <c r="M19" s="73">
        <f>IF(MiningROItable[[#This Row],[Future Efficiency]]&lt;=1,MiningROItable[[#This Row],[Next Mining Rate]]*60,MiningROItable[[#This Row],[Cargo]]/MiningROItable[[#This Row],[Total Time]]*60)</f>
        <v>15</v>
      </c>
      <c r="N19" s="34">
        <f>_xlfn.XLOOKUP(MiningROItable[[#This Row],[Planet '#]],tblplanetvalue[Planet '#],tblplanetvalue[Total Worth])</f>
        <v>128.80000000000001</v>
      </c>
      <c r="O19" s="35" t="str">
        <f>_xlfn.XLOOKUP(MiningROItable[[#This Row],[Planet '#]],tblplaneteco[Planet '#],tblplaneteco[Mining Rate Cost])</f>
        <v/>
      </c>
      <c r="P19" s="63" t="str">
        <f>_xlfn.XLOOKUP(MiningROItable[[#This Row],[Planet '#]],tblprogress[Planet '#],tblprogress[Total Time])</f>
        <v/>
      </c>
      <c r="Q19" s="14" t="str">
        <f>IF(
   _xlfn.XLOOKUP(MiningROItable[[#This Row],[Planet '#]], tblPlanets[Planet '#], tblPlanets[Name])=MiningROItable[[#This Row],[Name]],
   "Match",
   "Mismatch"
)</f>
        <v>Match</v>
      </c>
    </row>
    <row r="20" spans="1:17" x14ac:dyDescent="0.3">
      <c r="A20" s="24">
        <v>19</v>
      </c>
      <c r="B20" s="24" t="str">
        <f>_xlfn.XLOOKUP(tblprogress[[#This Row],[Planet '#]],tblPlanets[Planet '#],tblPlanets[Name])</f>
        <v>Parnitha</v>
      </c>
      <c r="C20" s="25">
        <f>_xlfn.XLOOKUP(MiningROItable[[#This Row],[Mining Level]]+1,tblUpgradeStats[Level],tblUpgradeStats[Mining Speed])</f>
        <v>0.25</v>
      </c>
      <c r="D20" s="41">
        <f>IF(MiningROItable[[#This Row],[Mining Rate]]=0,0,MiningROItable[[#This Row],[Current Efficiency]]*MiningROItable[[#This Row],[Next Mining Rate]]/MiningROItable[[#This Row],[Mining Rate]])</f>
        <v>0</v>
      </c>
      <c r="E20" s="73">
        <f>IF(MiningROItable[[#This Row],[Future Deposit]] - MiningROItable[[#This Row],[Current Deposit]] &gt; 0, MiningROItable[[#This Row],[Future Deposit]] - MiningROItable[[#This Row],[Current Deposit]], 0)</f>
        <v>15</v>
      </c>
      <c r="F20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0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0" s="25">
        <f>_xlfn.XLOOKUP(MiningROItable[[#This Row],[Planet '#]],tblprogress[Planet '#],tblprogress[Mining Level])</f>
        <v>0</v>
      </c>
      <c r="I20" s="25">
        <f>_xlfn.XLOOKUP(MiningROItable[[#This Row],[Planet '#]],tblprogress[Planet '#],tblprogress[Mining Rate])</f>
        <v>0</v>
      </c>
      <c r="J20" s="28">
        <f>_xlfn.XLOOKUP(MiningROItable[[#This Row],[Planet '#]],tblprogress[Planet '#],tblprogress[Cargo])</f>
        <v>0</v>
      </c>
      <c r="K20" s="41">
        <f>_xlfn.XLOOKUP(MiningROItable[[#This Row],[Planet '#]],tblprogress[Planet '#],tblprogress[Efficiency],0)</f>
        <v>0</v>
      </c>
      <c r="L20" s="73">
        <f>IF(MiningROItable[[#This Row],[Current Efficiency]]&lt;=1,MiningROItable[[#This Row],[Mining Rate]]*60,MiningROItable[[#This Row],[Cargo]]/MiningROItable[[#This Row],[Total Time]]*60)</f>
        <v>0</v>
      </c>
      <c r="M20" s="73">
        <f>IF(MiningROItable[[#This Row],[Future Efficiency]]&lt;=1,MiningROItable[[#This Row],[Next Mining Rate]]*60,MiningROItable[[#This Row],[Cargo]]/MiningROItable[[#This Row],[Total Time]]*60)</f>
        <v>15</v>
      </c>
      <c r="N20" s="34">
        <f>_xlfn.XLOOKUP(MiningROItable[[#This Row],[Planet '#]],tblplanetvalue[Planet '#],tblplanetvalue[Total Worth])</f>
        <v>154.5</v>
      </c>
      <c r="O20" s="35" t="str">
        <f>_xlfn.XLOOKUP(MiningROItable[[#This Row],[Planet '#]],tblplaneteco[Planet '#],tblplaneteco[Mining Rate Cost])</f>
        <v/>
      </c>
      <c r="P20" s="63" t="str">
        <f>_xlfn.XLOOKUP(MiningROItable[[#This Row],[Planet '#]],tblprogress[Planet '#],tblprogress[Total Time])</f>
        <v/>
      </c>
      <c r="Q20" s="14" t="str">
        <f>IF(
   _xlfn.XLOOKUP(MiningROItable[[#This Row],[Planet '#]], tblPlanets[Planet '#], tblPlanets[Name])=MiningROItable[[#This Row],[Name]],
   "Match",
   "Mismatch"
)</f>
        <v>Match</v>
      </c>
    </row>
    <row r="21" spans="1:17" x14ac:dyDescent="0.3">
      <c r="A21" s="25">
        <v>20</v>
      </c>
      <c r="B21" s="25" t="str">
        <f>_xlfn.XLOOKUP(tblprogress[[#This Row],[Planet '#]],tblPlanets[Planet '#],tblPlanets[Name])</f>
        <v>Orisoni</v>
      </c>
      <c r="C21" s="25">
        <f>_xlfn.XLOOKUP(MiningROItable[[#This Row],[Mining Level]]+1,tblUpgradeStats[Level],tblUpgradeStats[Mining Speed])</f>
        <v>0.25</v>
      </c>
      <c r="D21" s="41">
        <f>IF(MiningROItable[[#This Row],[Mining Rate]]=0,0,MiningROItable[[#This Row],[Current Efficiency]]*MiningROItable[[#This Row],[Next Mining Rate]]/MiningROItable[[#This Row],[Mining Rate]])</f>
        <v>0</v>
      </c>
      <c r="E21" s="73">
        <f>IF(MiningROItable[[#This Row],[Future Deposit]] - MiningROItable[[#This Row],[Current Deposit]] &gt; 0, MiningROItable[[#This Row],[Future Deposit]] - MiningROItable[[#This Row],[Current Deposit]], 0)</f>
        <v>15</v>
      </c>
      <c r="F21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1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1" s="25">
        <f>_xlfn.XLOOKUP(MiningROItable[[#This Row],[Planet '#]],tblprogress[Planet '#],tblprogress[Mining Level])</f>
        <v>0</v>
      </c>
      <c r="I21" s="25">
        <f>_xlfn.XLOOKUP(MiningROItable[[#This Row],[Planet '#]],tblprogress[Planet '#],tblprogress[Mining Rate])</f>
        <v>0</v>
      </c>
      <c r="J21" s="28">
        <f>_xlfn.XLOOKUP(MiningROItable[[#This Row],[Planet '#]],tblprogress[Planet '#],tblprogress[Cargo])</f>
        <v>0</v>
      </c>
      <c r="K21" s="41">
        <f>_xlfn.XLOOKUP(MiningROItable[[#This Row],[Planet '#]],tblprogress[Planet '#],tblprogress[Efficiency],0)</f>
        <v>0</v>
      </c>
      <c r="L21" s="73">
        <f>IF(MiningROItable[[#This Row],[Current Efficiency]]&lt;=1,MiningROItable[[#This Row],[Mining Rate]]*60,MiningROItable[[#This Row],[Cargo]]/MiningROItable[[#This Row],[Total Time]]*60)</f>
        <v>0</v>
      </c>
      <c r="M21" s="73">
        <f>IF(MiningROItable[[#This Row],[Future Efficiency]]&lt;=1,MiningROItable[[#This Row],[Next Mining Rate]]*60,MiningROItable[[#This Row],[Cargo]]/MiningROItable[[#This Row],[Total Time]]*60)</f>
        <v>15</v>
      </c>
      <c r="N21" s="34">
        <f>_xlfn.XLOOKUP(MiningROItable[[#This Row],[Planet '#]],tblplanetvalue[Planet '#],tblplanetvalue[Total Worth])</f>
        <v>286</v>
      </c>
      <c r="O21" s="35" t="str">
        <f>_xlfn.XLOOKUP(MiningROItable[[#This Row],[Planet '#]],tblplaneteco[Planet '#],tblplaneteco[Mining Rate Cost])</f>
        <v/>
      </c>
      <c r="P21" s="63" t="str">
        <f>_xlfn.XLOOKUP(MiningROItable[[#This Row],[Planet '#]],tblprogress[Planet '#],tblprogress[Total Time])</f>
        <v/>
      </c>
      <c r="Q21" s="14" t="str">
        <f>IF(
   _xlfn.XLOOKUP(MiningROItable[[#This Row],[Planet '#]], tblPlanets[Planet '#], tblPlanets[Name])=MiningROItable[[#This Row],[Name]],
   "Match",
   "Mismatch"
)</f>
        <v>Match</v>
      </c>
    </row>
    <row r="22" spans="1:17" x14ac:dyDescent="0.3">
      <c r="A22" s="24">
        <v>21</v>
      </c>
      <c r="B22" s="24" t="str">
        <f>_xlfn.XLOOKUP(tblprogress[[#This Row],[Planet '#]],tblPlanets[Planet '#],tblPlanets[Name])</f>
        <v>Theseus</v>
      </c>
      <c r="C22" s="25">
        <f>_xlfn.XLOOKUP(MiningROItable[[#This Row],[Mining Level]]+1,tblUpgradeStats[Level],tblUpgradeStats[Mining Speed])</f>
        <v>0.25</v>
      </c>
      <c r="D22" s="41">
        <f>IF(MiningROItable[[#This Row],[Mining Rate]]=0,0,MiningROItable[[#This Row],[Current Efficiency]]*MiningROItable[[#This Row],[Next Mining Rate]]/MiningROItable[[#This Row],[Mining Rate]])</f>
        <v>0</v>
      </c>
      <c r="E22" s="73">
        <f>IF(MiningROItable[[#This Row],[Future Deposit]] - MiningROItable[[#This Row],[Current Deposit]] &gt; 0, MiningROItable[[#This Row],[Future Deposit]] - MiningROItable[[#This Row],[Current Deposit]], 0)</f>
        <v>15</v>
      </c>
      <c r="F22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2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2" s="25">
        <f>_xlfn.XLOOKUP(MiningROItable[[#This Row],[Planet '#]],tblprogress[Planet '#],tblprogress[Mining Level])</f>
        <v>0</v>
      </c>
      <c r="I22" s="25">
        <f>_xlfn.XLOOKUP(MiningROItable[[#This Row],[Planet '#]],tblprogress[Planet '#],tblprogress[Mining Rate])</f>
        <v>0</v>
      </c>
      <c r="J22" s="28">
        <f>_xlfn.XLOOKUP(MiningROItable[[#This Row],[Planet '#]],tblprogress[Planet '#],tblprogress[Cargo])</f>
        <v>0</v>
      </c>
      <c r="K22" s="41">
        <f>_xlfn.XLOOKUP(MiningROItable[[#This Row],[Planet '#]],tblprogress[Planet '#],tblprogress[Efficiency],0)</f>
        <v>0</v>
      </c>
      <c r="L22" s="73">
        <f>IF(MiningROItable[[#This Row],[Current Efficiency]]&lt;=1,MiningROItable[[#This Row],[Mining Rate]]*60,MiningROItable[[#This Row],[Cargo]]/MiningROItable[[#This Row],[Total Time]]*60)</f>
        <v>0</v>
      </c>
      <c r="M22" s="73">
        <f>IF(MiningROItable[[#This Row],[Future Efficiency]]&lt;=1,MiningROItable[[#This Row],[Next Mining Rate]]*60,MiningROItable[[#This Row],[Cargo]]/MiningROItable[[#This Row],[Total Time]]*60)</f>
        <v>15</v>
      </c>
      <c r="N22" s="34">
        <f>_xlfn.XLOOKUP(MiningROItable[[#This Row],[Planet '#]],tblplanetvalue[Planet '#],tblplanetvalue[Total Worth])</f>
        <v>340</v>
      </c>
      <c r="O22" s="35" t="str">
        <f>_xlfn.XLOOKUP(MiningROItable[[#This Row],[Planet '#]],tblplaneteco[Planet '#],tblplaneteco[Mining Rate Cost])</f>
        <v/>
      </c>
      <c r="P22" s="63" t="str">
        <f>_xlfn.XLOOKUP(MiningROItable[[#This Row],[Planet '#]],tblprogress[Planet '#],tblprogress[Total Time])</f>
        <v/>
      </c>
      <c r="Q22" s="14" t="str">
        <f>IF(
   _xlfn.XLOOKUP(MiningROItable[[#This Row],[Planet '#]], tblPlanets[Planet '#], tblPlanets[Name])=MiningROItable[[#This Row],[Name]],
   "Match",
   "Mismatch"
)</f>
        <v>Match</v>
      </c>
    </row>
    <row r="23" spans="1:17" x14ac:dyDescent="0.3">
      <c r="A23" s="25">
        <v>22</v>
      </c>
      <c r="B23" s="25" t="str">
        <f>_xlfn.XLOOKUP(tblprogress[[#This Row],[Planet '#]],tblPlanets[Planet '#],tblPlanets[Name])</f>
        <v>Zelene</v>
      </c>
      <c r="C23" s="25">
        <f>_xlfn.XLOOKUP(MiningROItable[[#This Row],[Mining Level]]+1,tblUpgradeStats[Level],tblUpgradeStats[Mining Speed])</f>
        <v>0.25</v>
      </c>
      <c r="D23" s="41">
        <f>IF(MiningROItable[[#This Row],[Mining Rate]]=0,0,MiningROItable[[#This Row],[Current Efficiency]]*MiningROItable[[#This Row],[Next Mining Rate]]/MiningROItable[[#This Row],[Mining Rate]])</f>
        <v>0</v>
      </c>
      <c r="E23" s="73">
        <f>IF(MiningROItable[[#This Row],[Future Deposit]] - MiningROItable[[#This Row],[Current Deposit]] &gt; 0, MiningROItable[[#This Row],[Future Deposit]] - MiningROItable[[#This Row],[Current Deposit]], 0)</f>
        <v>15</v>
      </c>
      <c r="F23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3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3" s="25">
        <f>_xlfn.XLOOKUP(MiningROItable[[#This Row],[Planet '#]],tblprogress[Planet '#],tblprogress[Mining Level])</f>
        <v>0</v>
      </c>
      <c r="I23" s="25">
        <f>_xlfn.XLOOKUP(MiningROItable[[#This Row],[Planet '#]],tblprogress[Planet '#],tblprogress[Mining Rate])</f>
        <v>0</v>
      </c>
      <c r="J23" s="28">
        <f>_xlfn.XLOOKUP(MiningROItable[[#This Row],[Planet '#]],tblprogress[Planet '#],tblprogress[Cargo])</f>
        <v>0</v>
      </c>
      <c r="K23" s="41">
        <f>_xlfn.XLOOKUP(MiningROItable[[#This Row],[Planet '#]],tblprogress[Planet '#],tblprogress[Efficiency],0)</f>
        <v>0</v>
      </c>
      <c r="L23" s="73">
        <f>IF(MiningROItable[[#This Row],[Current Efficiency]]&lt;=1,MiningROItable[[#This Row],[Mining Rate]]*60,MiningROItable[[#This Row],[Cargo]]/MiningROItable[[#This Row],[Total Time]]*60)</f>
        <v>0</v>
      </c>
      <c r="M23" s="73">
        <f>IF(MiningROItable[[#This Row],[Future Efficiency]]&lt;=1,MiningROItable[[#This Row],[Next Mining Rate]]*60,MiningROItable[[#This Row],[Cargo]]/MiningROItable[[#This Row],[Total Time]]*60)</f>
        <v>15</v>
      </c>
      <c r="N23" s="34">
        <f>_xlfn.XLOOKUP(MiningROItable[[#This Row],[Planet '#]],tblplanetvalue[Planet '#],tblplanetvalue[Total Worth])</f>
        <v>244.2</v>
      </c>
      <c r="O23" s="35" t="str">
        <f>_xlfn.XLOOKUP(MiningROItable[[#This Row],[Planet '#]],tblplaneteco[Planet '#],tblplaneteco[Mining Rate Cost])</f>
        <v/>
      </c>
      <c r="P23" s="63" t="str">
        <f>_xlfn.XLOOKUP(MiningROItable[[#This Row],[Planet '#]],tblprogress[Planet '#],tblprogress[Total Time])</f>
        <v/>
      </c>
      <c r="Q23" s="14" t="str">
        <f>IF(
   _xlfn.XLOOKUP(MiningROItable[[#This Row],[Planet '#]], tblPlanets[Planet '#], tblPlanets[Name])=MiningROItable[[#This Row],[Name]],
   "Match",
   "Mismatch"
)</f>
        <v>Match</v>
      </c>
    </row>
    <row r="24" spans="1:17" x14ac:dyDescent="0.3">
      <c r="A24" s="24">
        <v>23</v>
      </c>
      <c r="B24" s="24" t="str">
        <f>_xlfn.XLOOKUP(tblprogress[[#This Row],[Planet '#]],tblPlanets[Planet '#],tblPlanets[Name])</f>
        <v>Han</v>
      </c>
      <c r="C24" s="25">
        <f>_xlfn.XLOOKUP(MiningROItable[[#This Row],[Mining Level]]+1,tblUpgradeStats[Level],tblUpgradeStats[Mining Speed])</f>
        <v>0.25</v>
      </c>
      <c r="D24" s="41">
        <f>IF(MiningROItable[[#This Row],[Mining Rate]]=0,0,MiningROItable[[#This Row],[Current Efficiency]]*MiningROItable[[#This Row],[Next Mining Rate]]/MiningROItable[[#This Row],[Mining Rate]])</f>
        <v>0</v>
      </c>
      <c r="E24" s="73">
        <f>IF(MiningROItable[[#This Row],[Future Deposit]] - MiningROItable[[#This Row],[Current Deposit]] &gt; 0, MiningROItable[[#This Row],[Future Deposit]] - MiningROItable[[#This Row],[Current Deposit]], 0)</f>
        <v>15</v>
      </c>
      <c r="F24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4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4" s="25">
        <f>_xlfn.XLOOKUP(MiningROItable[[#This Row],[Planet '#]],tblprogress[Planet '#],tblprogress[Mining Level])</f>
        <v>0</v>
      </c>
      <c r="I24" s="25">
        <f>_xlfn.XLOOKUP(MiningROItable[[#This Row],[Planet '#]],tblprogress[Planet '#],tblprogress[Mining Rate])</f>
        <v>0</v>
      </c>
      <c r="J24" s="28">
        <f>_xlfn.XLOOKUP(MiningROItable[[#This Row],[Planet '#]],tblprogress[Planet '#],tblprogress[Cargo])</f>
        <v>0</v>
      </c>
      <c r="K24" s="41">
        <f>_xlfn.XLOOKUP(MiningROItable[[#This Row],[Planet '#]],tblprogress[Planet '#],tblprogress[Efficiency],0)</f>
        <v>0</v>
      </c>
      <c r="L24" s="73">
        <f>IF(MiningROItable[[#This Row],[Current Efficiency]]&lt;=1,MiningROItable[[#This Row],[Mining Rate]]*60,MiningROItable[[#This Row],[Cargo]]/MiningROItable[[#This Row],[Total Time]]*60)</f>
        <v>0</v>
      </c>
      <c r="M24" s="73">
        <f>IF(MiningROItable[[#This Row],[Future Efficiency]]&lt;=1,MiningROItable[[#This Row],[Next Mining Rate]]*60,MiningROItable[[#This Row],[Cargo]]/MiningROItable[[#This Row],[Total Time]]*60)</f>
        <v>15</v>
      </c>
      <c r="N24" s="34">
        <f>_xlfn.XLOOKUP(MiningROItable[[#This Row],[Planet '#]],tblplanetvalue[Planet '#],tblplanetvalue[Total Worth])</f>
        <v>550.5</v>
      </c>
      <c r="O24" s="35" t="str">
        <f>_xlfn.XLOOKUP(MiningROItable[[#This Row],[Planet '#]],tblplaneteco[Planet '#],tblplaneteco[Mining Rate Cost])</f>
        <v/>
      </c>
      <c r="P24" s="63" t="str">
        <f>_xlfn.XLOOKUP(MiningROItable[[#This Row],[Planet '#]],tblprogress[Planet '#],tblprogress[Total Time])</f>
        <v/>
      </c>
      <c r="Q24" s="14" t="str">
        <f>IF(
   _xlfn.XLOOKUP(MiningROItable[[#This Row],[Planet '#]], tblPlanets[Planet '#], tblPlanets[Name])=MiningROItable[[#This Row],[Name]],
   "Match",
   "Mismatch"
)</f>
        <v>Match</v>
      </c>
    </row>
    <row r="25" spans="1:17" x14ac:dyDescent="0.3">
      <c r="A25" s="25">
        <v>24</v>
      </c>
      <c r="B25" s="25" t="str">
        <f>_xlfn.XLOOKUP(tblprogress[[#This Row],[Planet '#]],tblPlanets[Planet '#],tblPlanets[Name])</f>
        <v>Strennus</v>
      </c>
      <c r="C25" s="25">
        <f>_xlfn.XLOOKUP(MiningROItable[[#This Row],[Mining Level]]+1,tblUpgradeStats[Level],tblUpgradeStats[Mining Speed])</f>
        <v>0.25</v>
      </c>
      <c r="D25" s="41">
        <f>IF(MiningROItable[[#This Row],[Mining Rate]]=0,0,MiningROItable[[#This Row],[Current Efficiency]]*MiningROItable[[#This Row],[Next Mining Rate]]/MiningROItable[[#This Row],[Mining Rate]])</f>
        <v>0</v>
      </c>
      <c r="E25" s="73">
        <f>IF(MiningROItable[[#This Row],[Future Deposit]] - MiningROItable[[#This Row],[Current Deposit]] &gt; 0, MiningROItable[[#This Row],[Future Deposit]] - MiningROItable[[#This Row],[Current Deposit]], 0)</f>
        <v>15</v>
      </c>
      <c r="F25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5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5" s="25">
        <f>_xlfn.XLOOKUP(MiningROItable[[#This Row],[Planet '#]],tblprogress[Planet '#],tblprogress[Mining Level])</f>
        <v>0</v>
      </c>
      <c r="I25" s="25">
        <f>_xlfn.XLOOKUP(MiningROItable[[#This Row],[Planet '#]],tblprogress[Planet '#],tblprogress[Mining Rate])</f>
        <v>0</v>
      </c>
      <c r="J25" s="28">
        <f>_xlfn.XLOOKUP(MiningROItable[[#This Row],[Planet '#]],tblprogress[Planet '#],tblprogress[Cargo])</f>
        <v>0</v>
      </c>
      <c r="K25" s="41">
        <f>_xlfn.XLOOKUP(MiningROItable[[#This Row],[Planet '#]],tblprogress[Planet '#],tblprogress[Efficiency],0)</f>
        <v>0</v>
      </c>
      <c r="L25" s="73">
        <f>IF(MiningROItable[[#This Row],[Current Efficiency]]&lt;=1,MiningROItable[[#This Row],[Mining Rate]]*60,MiningROItable[[#This Row],[Cargo]]/MiningROItable[[#This Row],[Total Time]]*60)</f>
        <v>0</v>
      </c>
      <c r="M25" s="73">
        <f>IF(MiningROItable[[#This Row],[Future Efficiency]]&lt;=1,MiningROItable[[#This Row],[Next Mining Rate]]*60,MiningROItable[[#This Row],[Cargo]]/MiningROItable[[#This Row],[Total Time]]*60)</f>
        <v>15</v>
      </c>
      <c r="N25" s="34">
        <f>_xlfn.XLOOKUP(MiningROItable[[#This Row],[Planet '#]],tblplanetvalue[Planet '#],tblplanetvalue[Total Worth])</f>
        <v>613</v>
      </c>
      <c r="O25" s="35" t="str">
        <f>_xlfn.XLOOKUP(MiningROItable[[#This Row],[Planet '#]],tblplaneteco[Planet '#],tblplaneteco[Mining Rate Cost])</f>
        <v/>
      </c>
      <c r="P25" s="63" t="str">
        <f>_xlfn.XLOOKUP(MiningROItable[[#This Row],[Planet '#]],tblprogress[Planet '#],tblprogress[Total Time])</f>
        <v/>
      </c>
      <c r="Q25" s="14" t="str">
        <f>IF(
   _xlfn.XLOOKUP(MiningROItable[[#This Row],[Planet '#]], tblPlanets[Planet '#], tblPlanets[Name])=MiningROItable[[#This Row],[Name]],
   "Match",
   "Mismatch"
)</f>
        <v>Match</v>
      </c>
    </row>
    <row r="26" spans="1:17" x14ac:dyDescent="0.3">
      <c r="A26" s="24">
        <v>25</v>
      </c>
      <c r="B26" s="24" t="str">
        <f>_xlfn.XLOOKUP(tblprogress[[#This Row],[Planet '#]],tblPlanets[Planet '#],tblPlanets[Name])</f>
        <v>Osun</v>
      </c>
      <c r="C26" s="25">
        <f>_xlfn.XLOOKUP(MiningROItable[[#This Row],[Mining Level]]+1,tblUpgradeStats[Level],tblUpgradeStats[Mining Speed])</f>
        <v>0.25</v>
      </c>
      <c r="D26" s="41">
        <f>IF(MiningROItable[[#This Row],[Mining Rate]]=0,0,MiningROItable[[#This Row],[Current Efficiency]]*MiningROItable[[#This Row],[Next Mining Rate]]/MiningROItable[[#This Row],[Mining Rate]])</f>
        <v>0</v>
      </c>
      <c r="E26" s="73">
        <f>IF(MiningROItable[[#This Row],[Future Deposit]] - MiningROItable[[#This Row],[Current Deposit]] &gt; 0, MiningROItable[[#This Row],[Future Deposit]] - MiningROItable[[#This Row],[Current Deposit]], 0)</f>
        <v>15</v>
      </c>
      <c r="F26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6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6" s="25">
        <f>_xlfn.XLOOKUP(MiningROItable[[#This Row],[Planet '#]],tblprogress[Planet '#],tblprogress[Mining Level])</f>
        <v>0</v>
      </c>
      <c r="I26" s="25">
        <f>_xlfn.XLOOKUP(MiningROItable[[#This Row],[Planet '#]],tblprogress[Planet '#],tblprogress[Mining Rate])</f>
        <v>0</v>
      </c>
      <c r="J26" s="28">
        <f>_xlfn.XLOOKUP(MiningROItable[[#This Row],[Planet '#]],tblprogress[Planet '#],tblprogress[Cargo])</f>
        <v>0</v>
      </c>
      <c r="K26" s="41">
        <f>_xlfn.XLOOKUP(MiningROItable[[#This Row],[Planet '#]],tblprogress[Planet '#],tblprogress[Efficiency],0)</f>
        <v>0</v>
      </c>
      <c r="L26" s="73">
        <f>IF(MiningROItable[[#This Row],[Current Efficiency]]&lt;=1,MiningROItable[[#This Row],[Mining Rate]]*60,MiningROItable[[#This Row],[Cargo]]/MiningROItable[[#This Row],[Total Time]]*60)</f>
        <v>0</v>
      </c>
      <c r="M26" s="73">
        <f>IF(MiningROItable[[#This Row],[Future Efficiency]]&lt;=1,MiningROItable[[#This Row],[Next Mining Rate]]*60,MiningROItable[[#This Row],[Cargo]]/MiningROItable[[#This Row],[Total Time]]*60)</f>
        <v>15</v>
      </c>
      <c r="N26" s="34">
        <f>_xlfn.XLOOKUP(MiningROItable[[#This Row],[Planet '#]],tblplanetvalue[Planet '#],tblplanetvalue[Total Worth])</f>
        <v>650.20000000000005</v>
      </c>
      <c r="O26" s="35" t="str">
        <f>_xlfn.XLOOKUP(MiningROItable[[#This Row],[Planet '#]],tblplaneteco[Planet '#],tblplaneteco[Mining Rate Cost])</f>
        <v/>
      </c>
      <c r="P26" s="63" t="str">
        <f>_xlfn.XLOOKUP(MiningROItable[[#This Row],[Planet '#]],tblprogress[Planet '#],tblprogress[Total Time])</f>
        <v/>
      </c>
      <c r="Q26" s="14" t="str">
        <f>IF(
   _xlfn.XLOOKUP(MiningROItable[[#This Row],[Planet '#]], tblPlanets[Planet '#], tblPlanets[Name])=MiningROItable[[#This Row],[Name]],
   "Match",
   "Mismatch"
)</f>
        <v>Match</v>
      </c>
    </row>
    <row r="27" spans="1:17" x14ac:dyDescent="0.3">
      <c r="A27" s="25">
        <v>26</v>
      </c>
      <c r="B27" s="25" t="str">
        <f>_xlfn.XLOOKUP(tblprogress[[#This Row],[Planet '#]],tblPlanets[Planet '#],tblPlanets[Name])</f>
        <v>Ploitari</v>
      </c>
      <c r="C27" s="25">
        <f>_xlfn.XLOOKUP(MiningROItable[[#This Row],[Mining Level]]+1,tblUpgradeStats[Level],tblUpgradeStats[Mining Speed])</f>
        <v>0.25</v>
      </c>
      <c r="D27" s="41">
        <f>IF(MiningROItable[[#This Row],[Mining Rate]]=0,0,MiningROItable[[#This Row],[Current Efficiency]]*MiningROItable[[#This Row],[Next Mining Rate]]/MiningROItable[[#This Row],[Mining Rate]])</f>
        <v>0</v>
      </c>
      <c r="E27" s="73">
        <f>IF(MiningROItable[[#This Row],[Future Deposit]] - MiningROItable[[#This Row],[Current Deposit]] &gt; 0, MiningROItable[[#This Row],[Future Deposit]] - MiningROItable[[#This Row],[Current Deposit]], 0)</f>
        <v>15</v>
      </c>
      <c r="F27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7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7" s="25">
        <f>_xlfn.XLOOKUP(MiningROItable[[#This Row],[Planet '#]],tblprogress[Planet '#],tblprogress[Mining Level])</f>
        <v>0</v>
      </c>
      <c r="I27" s="25">
        <f>_xlfn.XLOOKUP(MiningROItable[[#This Row],[Planet '#]],tblprogress[Planet '#],tblprogress[Mining Rate])</f>
        <v>0</v>
      </c>
      <c r="J27" s="28">
        <f>_xlfn.XLOOKUP(MiningROItable[[#This Row],[Planet '#]],tblprogress[Planet '#],tblprogress[Cargo])</f>
        <v>0</v>
      </c>
      <c r="K27" s="41">
        <f>_xlfn.XLOOKUP(MiningROItable[[#This Row],[Planet '#]],tblprogress[Planet '#],tblprogress[Efficiency],0)</f>
        <v>0</v>
      </c>
      <c r="L27" s="73">
        <f>IF(MiningROItable[[#This Row],[Current Efficiency]]&lt;=1,MiningROItable[[#This Row],[Mining Rate]]*60,MiningROItable[[#This Row],[Cargo]]/MiningROItable[[#This Row],[Total Time]]*60)</f>
        <v>0</v>
      </c>
      <c r="M27" s="73">
        <f>IF(MiningROItable[[#This Row],[Future Efficiency]]&lt;=1,MiningROItable[[#This Row],[Next Mining Rate]]*60,MiningROItable[[#This Row],[Cargo]]/MiningROItable[[#This Row],[Total Time]]*60)</f>
        <v>15</v>
      </c>
      <c r="N27" s="34">
        <f>_xlfn.XLOOKUP(MiningROItable[[#This Row],[Planet '#]],tblplanetvalue[Planet '#],tblplanetvalue[Total Worth])</f>
        <v>880</v>
      </c>
      <c r="O27" s="35" t="str">
        <f>_xlfn.XLOOKUP(MiningROItable[[#This Row],[Planet '#]],tblplaneteco[Planet '#],tblplaneteco[Mining Rate Cost])</f>
        <v/>
      </c>
      <c r="P27" s="63" t="str">
        <f>_xlfn.XLOOKUP(MiningROItable[[#This Row],[Planet '#]],tblprogress[Planet '#],tblprogress[Total Time])</f>
        <v/>
      </c>
      <c r="Q27" s="14" t="str">
        <f>IF(
   _xlfn.XLOOKUP(MiningROItable[[#This Row],[Planet '#]], tblPlanets[Planet '#], tblPlanets[Name])=MiningROItable[[#This Row],[Name]],
   "Match",
   "Mismatch"
)</f>
        <v>Match</v>
      </c>
    </row>
    <row r="28" spans="1:17" x14ac:dyDescent="0.3">
      <c r="A28" s="24">
        <v>27</v>
      </c>
      <c r="B28" s="24" t="str">
        <f>_xlfn.XLOOKUP(tblprogress[[#This Row],[Planet '#]],tblPlanets[Planet '#],tblPlanets[Name])</f>
        <v>Elysta</v>
      </c>
      <c r="C28" s="25">
        <f>_xlfn.XLOOKUP(MiningROItable[[#This Row],[Mining Level]]+1,tblUpgradeStats[Level],tblUpgradeStats[Mining Speed])</f>
        <v>0.25</v>
      </c>
      <c r="D28" s="41">
        <f>IF(MiningROItable[[#This Row],[Mining Rate]]=0,0,MiningROItable[[#This Row],[Current Efficiency]]*MiningROItable[[#This Row],[Next Mining Rate]]/MiningROItable[[#This Row],[Mining Rate]])</f>
        <v>0</v>
      </c>
      <c r="E28" s="73">
        <f>IF(MiningROItable[[#This Row],[Future Deposit]] - MiningROItable[[#This Row],[Current Deposit]] &gt; 0, MiningROItable[[#This Row],[Future Deposit]] - MiningROItable[[#This Row],[Current Deposit]], 0)</f>
        <v>15</v>
      </c>
      <c r="F28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8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8" s="25">
        <f>_xlfn.XLOOKUP(MiningROItable[[#This Row],[Planet '#]],tblprogress[Planet '#],tblprogress[Mining Level])</f>
        <v>0</v>
      </c>
      <c r="I28" s="25">
        <f>_xlfn.XLOOKUP(MiningROItable[[#This Row],[Planet '#]],tblprogress[Planet '#],tblprogress[Mining Rate])</f>
        <v>0</v>
      </c>
      <c r="J28" s="28">
        <f>_xlfn.XLOOKUP(MiningROItable[[#This Row],[Planet '#]],tblprogress[Planet '#],tblprogress[Cargo])</f>
        <v>0</v>
      </c>
      <c r="K28" s="41">
        <f>_xlfn.XLOOKUP(MiningROItable[[#This Row],[Planet '#]],tblprogress[Planet '#],tblprogress[Efficiency],0)</f>
        <v>0</v>
      </c>
      <c r="L28" s="73">
        <f>IF(MiningROItable[[#This Row],[Current Efficiency]]&lt;=1,MiningROItable[[#This Row],[Mining Rate]]*60,MiningROItable[[#This Row],[Cargo]]/MiningROItable[[#This Row],[Total Time]]*60)</f>
        <v>0</v>
      </c>
      <c r="M28" s="73">
        <f>IF(MiningROItable[[#This Row],[Future Efficiency]]&lt;=1,MiningROItable[[#This Row],[Next Mining Rate]]*60,MiningROItable[[#This Row],[Cargo]]/MiningROItable[[#This Row],[Total Time]]*60)</f>
        <v>15</v>
      </c>
      <c r="N28" s="34">
        <f>_xlfn.XLOOKUP(MiningROItable[[#This Row],[Planet '#]],tblplanetvalue[Planet '#],tblplanetvalue[Total Worth])</f>
        <v>1600</v>
      </c>
      <c r="O28" s="35" t="str">
        <f>_xlfn.XLOOKUP(MiningROItable[[#This Row],[Planet '#]],tblplaneteco[Planet '#],tblplaneteco[Mining Rate Cost])</f>
        <v/>
      </c>
      <c r="P28" s="63" t="str">
        <f>_xlfn.XLOOKUP(MiningROItable[[#This Row],[Planet '#]],tblprogress[Planet '#],tblprogress[Total Time])</f>
        <v/>
      </c>
      <c r="Q28" s="14" t="str">
        <f>IF(
   _xlfn.XLOOKUP(MiningROItable[[#This Row],[Planet '#]], tblPlanets[Planet '#], tblPlanets[Name])=MiningROItable[[#This Row],[Name]],
   "Match",
   "Mismatch"
)</f>
        <v>Match</v>
      </c>
    </row>
    <row r="29" spans="1:17" x14ac:dyDescent="0.3">
      <c r="A29" s="25">
        <v>28</v>
      </c>
      <c r="B29" s="25" t="str">
        <f>_xlfn.XLOOKUP(tblprogress[[#This Row],[Planet '#]],tblPlanets[Planet '#],tblPlanets[Name])</f>
        <v>Tikkun</v>
      </c>
      <c r="C29" s="25">
        <f>_xlfn.XLOOKUP(MiningROItable[[#This Row],[Mining Level]]+1,tblUpgradeStats[Level],tblUpgradeStats[Mining Speed])</f>
        <v>0.25</v>
      </c>
      <c r="D29" s="41">
        <f>IF(MiningROItable[[#This Row],[Mining Rate]]=0,0,MiningROItable[[#This Row],[Current Efficiency]]*MiningROItable[[#This Row],[Next Mining Rate]]/MiningROItable[[#This Row],[Mining Rate]])</f>
        <v>0</v>
      </c>
      <c r="E29" s="73">
        <f>IF(MiningROItable[[#This Row],[Future Deposit]] - MiningROItable[[#This Row],[Current Deposit]] &gt; 0, MiningROItable[[#This Row],[Future Deposit]] - MiningROItable[[#This Row],[Current Deposit]], 0)</f>
        <v>15</v>
      </c>
      <c r="F29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29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29" s="25">
        <f>_xlfn.XLOOKUP(MiningROItable[[#This Row],[Planet '#]],tblprogress[Planet '#],tblprogress[Mining Level])</f>
        <v>0</v>
      </c>
      <c r="I29" s="25">
        <f>_xlfn.XLOOKUP(MiningROItable[[#This Row],[Planet '#]],tblprogress[Planet '#],tblprogress[Mining Rate])</f>
        <v>0</v>
      </c>
      <c r="J29" s="28">
        <f>_xlfn.XLOOKUP(MiningROItable[[#This Row],[Planet '#]],tblprogress[Planet '#],tblprogress[Cargo])</f>
        <v>0</v>
      </c>
      <c r="K29" s="41">
        <f>_xlfn.XLOOKUP(MiningROItable[[#This Row],[Planet '#]],tblprogress[Planet '#],tblprogress[Efficiency],0)</f>
        <v>0</v>
      </c>
      <c r="L29" s="73">
        <f>IF(MiningROItable[[#This Row],[Current Efficiency]]&lt;=1,MiningROItable[[#This Row],[Mining Rate]]*60,MiningROItable[[#This Row],[Cargo]]/MiningROItable[[#This Row],[Total Time]]*60)</f>
        <v>0</v>
      </c>
      <c r="M29" s="73">
        <f>IF(MiningROItable[[#This Row],[Future Efficiency]]&lt;=1,MiningROItable[[#This Row],[Next Mining Rate]]*60,MiningROItable[[#This Row],[Cargo]]/MiningROItable[[#This Row],[Total Time]]*60)</f>
        <v>15</v>
      </c>
      <c r="N29" s="34">
        <f>_xlfn.XLOOKUP(MiningROItable[[#This Row],[Planet '#]],tblplanetvalue[Planet '#],tblplanetvalue[Total Worth])</f>
        <v>1770.5</v>
      </c>
      <c r="O29" s="35" t="str">
        <f>_xlfn.XLOOKUP(MiningROItable[[#This Row],[Planet '#]],tblplaneteco[Planet '#],tblplaneteco[Mining Rate Cost])</f>
        <v/>
      </c>
      <c r="P29" s="63" t="str">
        <f>_xlfn.XLOOKUP(MiningROItable[[#This Row],[Planet '#]],tblprogress[Planet '#],tblprogress[Total Time])</f>
        <v/>
      </c>
      <c r="Q29" s="14" t="str">
        <f>IF(
   _xlfn.XLOOKUP(MiningROItable[[#This Row],[Planet '#]], tblPlanets[Planet '#], tblPlanets[Name])=MiningROItable[[#This Row],[Name]],
   "Match",
   "Mismatch"
)</f>
        <v>Match</v>
      </c>
    </row>
    <row r="30" spans="1:17" x14ac:dyDescent="0.3">
      <c r="A30" s="24">
        <v>29</v>
      </c>
      <c r="B30" s="24" t="str">
        <f>_xlfn.XLOOKUP(tblprogress[[#This Row],[Planet '#]],tblPlanets[Planet '#],tblPlanets[Name])</f>
        <v>Satent</v>
      </c>
      <c r="C30" s="25">
        <f>_xlfn.XLOOKUP(MiningROItable[[#This Row],[Mining Level]]+1,tblUpgradeStats[Level],tblUpgradeStats[Mining Speed])</f>
        <v>0.25</v>
      </c>
      <c r="D30" s="41">
        <f>IF(MiningROItable[[#This Row],[Mining Rate]]=0,0,MiningROItable[[#This Row],[Current Efficiency]]*MiningROItable[[#This Row],[Next Mining Rate]]/MiningROItable[[#This Row],[Mining Rate]])</f>
        <v>0</v>
      </c>
      <c r="E30" s="73">
        <f>IF(MiningROItable[[#This Row],[Future Deposit]] - MiningROItable[[#This Row],[Current Deposit]] &gt; 0, MiningROItable[[#This Row],[Future Deposit]] - MiningROItable[[#This Row],[Current Deposit]], 0)</f>
        <v>15</v>
      </c>
      <c r="F30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0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0" s="25">
        <f>_xlfn.XLOOKUP(MiningROItable[[#This Row],[Planet '#]],tblprogress[Planet '#],tblprogress[Mining Level])</f>
        <v>0</v>
      </c>
      <c r="I30" s="25">
        <f>_xlfn.XLOOKUP(MiningROItable[[#This Row],[Planet '#]],tblprogress[Planet '#],tblprogress[Mining Rate])</f>
        <v>0</v>
      </c>
      <c r="J30" s="28">
        <f>_xlfn.XLOOKUP(MiningROItable[[#This Row],[Planet '#]],tblprogress[Planet '#],tblprogress[Cargo])</f>
        <v>0</v>
      </c>
      <c r="K30" s="41">
        <f>_xlfn.XLOOKUP(MiningROItable[[#This Row],[Planet '#]],tblprogress[Planet '#],tblprogress[Efficiency],0)</f>
        <v>0</v>
      </c>
      <c r="L30" s="73">
        <f>IF(MiningROItable[[#This Row],[Current Efficiency]]&lt;=1,MiningROItable[[#This Row],[Mining Rate]]*60,MiningROItable[[#This Row],[Cargo]]/MiningROItable[[#This Row],[Total Time]]*60)</f>
        <v>0</v>
      </c>
      <c r="M30" s="73">
        <f>IF(MiningROItable[[#This Row],[Future Efficiency]]&lt;=1,MiningROItable[[#This Row],[Next Mining Rate]]*60,MiningROItable[[#This Row],[Cargo]]/MiningROItable[[#This Row],[Total Time]]*60)</f>
        <v>15</v>
      </c>
      <c r="N30" s="34">
        <f>_xlfn.XLOOKUP(MiningROItable[[#This Row],[Planet '#]],tblplanetvalue[Planet '#],tblplanetvalue[Total Worth])</f>
        <v>2392</v>
      </c>
      <c r="O30" s="35" t="str">
        <f>_xlfn.XLOOKUP(MiningROItable[[#This Row],[Planet '#]],tblplaneteco[Planet '#],tblplaneteco[Mining Rate Cost])</f>
        <v/>
      </c>
      <c r="P30" s="63" t="str">
        <f>_xlfn.XLOOKUP(MiningROItable[[#This Row],[Planet '#]],tblprogress[Planet '#],tblprogress[Total Time])</f>
        <v/>
      </c>
      <c r="Q30" s="14" t="str">
        <f>IF(
   _xlfn.XLOOKUP(MiningROItable[[#This Row],[Planet '#]], tblPlanets[Planet '#], tblPlanets[Name])=MiningROItable[[#This Row],[Name]],
   "Match",
   "Mismatch"
)</f>
        <v>Match</v>
      </c>
    </row>
    <row r="31" spans="1:17" x14ac:dyDescent="0.3">
      <c r="A31" s="25">
        <v>30</v>
      </c>
      <c r="B31" s="25" t="str">
        <f>_xlfn.XLOOKUP(tblprogress[[#This Row],[Planet '#]],tblPlanets[Planet '#],tblPlanets[Name])</f>
        <v>Urla Rast</v>
      </c>
      <c r="C31" s="25">
        <f>_xlfn.XLOOKUP(MiningROItable[[#This Row],[Mining Level]]+1,tblUpgradeStats[Level],tblUpgradeStats[Mining Speed])</f>
        <v>0.25</v>
      </c>
      <c r="D31" s="41">
        <f>IF(MiningROItable[[#This Row],[Mining Rate]]=0,0,MiningROItable[[#This Row],[Current Efficiency]]*MiningROItable[[#This Row],[Next Mining Rate]]/MiningROItable[[#This Row],[Mining Rate]])</f>
        <v>0</v>
      </c>
      <c r="E31" s="73">
        <f>IF(MiningROItable[[#This Row],[Future Deposit]] - MiningROItable[[#This Row],[Current Deposit]] &gt; 0, MiningROItable[[#This Row],[Future Deposit]] - MiningROItable[[#This Row],[Current Deposit]], 0)</f>
        <v>15</v>
      </c>
      <c r="F31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1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1" s="25">
        <f>_xlfn.XLOOKUP(MiningROItable[[#This Row],[Planet '#]],tblprogress[Planet '#],tblprogress[Mining Level])</f>
        <v>0</v>
      </c>
      <c r="I31" s="25">
        <f>_xlfn.XLOOKUP(MiningROItable[[#This Row],[Planet '#]],tblprogress[Planet '#],tblprogress[Mining Rate])</f>
        <v>0</v>
      </c>
      <c r="J31" s="28">
        <f>_xlfn.XLOOKUP(MiningROItable[[#This Row],[Planet '#]],tblprogress[Planet '#],tblprogress[Cargo])</f>
        <v>0</v>
      </c>
      <c r="K31" s="41">
        <f>_xlfn.XLOOKUP(MiningROItable[[#This Row],[Planet '#]],tblprogress[Planet '#],tblprogress[Efficiency],0)</f>
        <v>0</v>
      </c>
      <c r="L31" s="73">
        <f>IF(MiningROItable[[#This Row],[Current Efficiency]]&lt;=1,MiningROItable[[#This Row],[Mining Rate]]*60,MiningROItable[[#This Row],[Cargo]]/MiningROItable[[#This Row],[Total Time]]*60)</f>
        <v>0</v>
      </c>
      <c r="M31" s="73">
        <f>IF(MiningROItable[[#This Row],[Future Efficiency]]&lt;=1,MiningROItable[[#This Row],[Next Mining Rate]]*60,MiningROItable[[#This Row],[Cargo]]/MiningROItable[[#This Row],[Total Time]]*60)</f>
        <v>15</v>
      </c>
      <c r="N31" s="34">
        <f>_xlfn.XLOOKUP(MiningROItable[[#This Row],[Planet '#]],tblplanetvalue[Planet '#],tblplanetvalue[Total Worth])</f>
        <v>3166</v>
      </c>
      <c r="O31" s="35" t="str">
        <f>_xlfn.XLOOKUP(MiningROItable[[#This Row],[Planet '#]],tblplaneteco[Planet '#],tblplaneteco[Mining Rate Cost])</f>
        <v/>
      </c>
      <c r="P31" s="63" t="str">
        <f>_xlfn.XLOOKUP(MiningROItable[[#This Row],[Planet '#]],tblprogress[Planet '#],tblprogress[Total Time])</f>
        <v/>
      </c>
      <c r="Q31" s="14" t="str">
        <f>IF(
   _xlfn.XLOOKUP(MiningROItable[[#This Row],[Planet '#]], tblPlanets[Planet '#], tblPlanets[Name])=MiningROItable[[#This Row],[Name]],
   "Match",
   "Mismatch"
)</f>
        <v>Match</v>
      </c>
    </row>
    <row r="32" spans="1:17" x14ac:dyDescent="0.3">
      <c r="A32" s="24">
        <v>31</v>
      </c>
      <c r="B32" s="24" t="str">
        <f>_xlfn.XLOOKUP(tblprogress[[#This Row],[Planet '#]],tblPlanets[Planet '#],tblPlanets[Name])</f>
        <v>Vular</v>
      </c>
      <c r="C32" s="25">
        <f>_xlfn.XLOOKUP(MiningROItable[[#This Row],[Mining Level]]+1,tblUpgradeStats[Level],tblUpgradeStats[Mining Speed])</f>
        <v>0.25</v>
      </c>
      <c r="D32" s="41">
        <f>IF(MiningROItable[[#This Row],[Mining Rate]]=0,0,MiningROItable[[#This Row],[Current Efficiency]]*MiningROItable[[#This Row],[Next Mining Rate]]/MiningROItable[[#This Row],[Mining Rate]])</f>
        <v>0</v>
      </c>
      <c r="E32" s="73">
        <f>IF(MiningROItable[[#This Row],[Future Deposit]] - MiningROItable[[#This Row],[Current Deposit]] &gt; 0, MiningROItable[[#This Row],[Future Deposit]] - MiningROItable[[#This Row],[Current Deposit]], 0)</f>
        <v>15</v>
      </c>
      <c r="F32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2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2" s="25">
        <f>_xlfn.XLOOKUP(MiningROItable[[#This Row],[Planet '#]],tblprogress[Planet '#],tblprogress[Mining Level])</f>
        <v>0</v>
      </c>
      <c r="I32" s="25">
        <f>_xlfn.XLOOKUP(MiningROItable[[#This Row],[Planet '#]],tblprogress[Planet '#],tblprogress[Mining Rate])</f>
        <v>0</v>
      </c>
      <c r="J32" s="28">
        <f>_xlfn.XLOOKUP(MiningROItable[[#This Row],[Planet '#]],tblprogress[Planet '#],tblprogress[Cargo])</f>
        <v>0</v>
      </c>
      <c r="K32" s="41">
        <f>_xlfn.XLOOKUP(MiningROItable[[#This Row],[Planet '#]],tblprogress[Planet '#],tblprogress[Efficiency],0)</f>
        <v>0</v>
      </c>
      <c r="L32" s="73">
        <f>IF(MiningROItable[[#This Row],[Current Efficiency]]&lt;=1,MiningROItable[[#This Row],[Mining Rate]]*60,MiningROItable[[#This Row],[Cargo]]/MiningROItable[[#This Row],[Total Time]]*60)</f>
        <v>0</v>
      </c>
      <c r="M32" s="73">
        <f>IF(MiningROItable[[#This Row],[Future Efficiency]]&lt;=1,MiningROItable[[#This Row],[Next Mining Rate]]*60,MiningROItable[[#This Row],[Cargo]]/MiningROItable[[#This Row],[Total Time]]*60)</f>
        <v>15</v>
      </c>
      <c r="N32" s="34">
        <f>_xlfn.XLOOKUP(MiningROItable[[#This Row],[Planet '#]],tblplanetvalue[Planet '#],tblplanetvalue[Total Worth])</f>
        <v>4790</v>
      </c>
      <c r="O32" s="35" t="str">
        <f>_xlfn.XLOOKUP(MiningROItable[[#This Row],[Planet '#]],tblplaneteco[Planet '#],tblplaneteco[Mining Rate Cost])</f>
        <v/>
      </c>
      <c r="P32" s="63" t="str">
        <f>_xlfn.XLOOKUP(MiningROItable[[#This Row],[Planet '#]],tblprogress[Planet '#],tblprogress[Total Time])</f>
        <v/>
      </c>
      <c r="Q32" s="14" t="str">
        <f>IF(
   _xlfn.XLOOKUP(MiningROItable[[#This Row],[Planet '#]], tblPlanets[Planet '#], tblPlanets[Name])=MiningROItable[[#This Row],[Name]],
   "Match",
   "Mismatch"
)</f>
        <v>Match</v>
      </c>
    </row>
    <row r="33" spans="1:17" x14ac:dyDescent="0.3">
      <c r="A33" s="25">
        <v>32</v>
      </c>
      <c r="B33" s="25" t="str">
        <f>_xlfn.XLOOKUP(tblprogress[[#This Row],[Planet '#]],tblPlanets[Planet '#],tblPlanets[Name])</f>
        <v>Nibiru</v>
      </c>
      <c r="C33" s="25">
        <f>_xlfn.XLOOKUP(MiningROItable[[#This Row],[Mining Level]]+1,tblUpgradeStats[Level],tblUpgradeStats[Mining Speed])</f>
        <v>0.25</v>
      </c>
      <c r="D33" s="41">
        <f>IF(MiningROItable[[#This Row],[Mining Rate]]=0,0,MiningROItable[[#This Row],[Current Efficiency]]*MiningROItable[[#This Row],[Next Mining Rate]]/MiningROItable[[#This Row],[Mining Rate]])</f>
        <v>0</v>
      </c>
      <c r="E33" s="73">
        <f>IF(MiningROItable[[#This Row],[Future Deposit]] - MiningROItable[[#This Row],[Current Deposit]] &gt; 0, MiningROItable[[#This Row],[Future Deposit]] - MiningROItable[[#This Row],[Current Deposit]], 0)</f>
        <v>15</v>
      </c>
      <c r="F33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3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3" s="25">
        <f>_xlfn.XLOOKUP(MiningROItable[[#This Row],[Planet '#]],tblprogress[Planet '#],tblprogress[Mining Level])</f>
        <v>0</v>
      </c>
      <c r="I33" s="25">
        <f>_xlfn.XLOOKUP(MiningROItable[[#This Row],[Planet '#]],tblprogress[Planet '#],tblprogress[Mining Rate])</f>
        <v>0</v>
      </c>
      <c r="J33" s="28">
        <f>_xlfn.XLOOKUP(MiningROItable[[#This Row],[Planet '#]],tblprogress[Planet '#],tblprogress[Cargo])</f>
        <v>0</v>
      </c>
      <c r="K33" s="41">
        <f>_xlfn.XLOOKUP(MiningROItable[[#This Row],[Planet '#]],tblprogress[Planet '#],tblprogress[Efficiency],0)</f>
        <v>0</v>
      </c>
      <c r="L33" s="73">
        <f>IF(MiningROItable[[#This Row],[Current Efficiency]]&lt;=1,MiningROItable[[#This Row],[Mining Rate]]*60,MiningROItable[[#This Row],[Cargo]]/MiningROItable[[#This Row],[Total Time]]*60)</f>
        <v>0</v>
      </c>
      <c r="M33" s="73">
        <f>IF(MiningROItable[[#This Row],[Future Efficiency]]&lt;=1,MiningROItable[[#This Row],[Next Mining Rate]]*60,MiningROItable[[#This Row],[Cargo]]/MiningROItable[[#This Row],[Total Time]]*60)</f>
        <v>15</v>
      </c>
      <c r="N33" s="34">
        <f>_xlfn.XLOOKUP(MiningROItable[[#This Row],[Planet '#]],tblplanetvalue[Planet '#],tblplanetvalue[Total Worth])</f>
        <v>5320</v>
      </c>
      <c r="O33" s="35" t="str">
        <f>_xlfn.XLOOKUP(MiningROItable[[#This Row],[Planet '#]],tblplaneteco[Planet '#],tblplaneteco[Mining Rate Cost])</f>
        <v/>
      </c>
      <c r="P33" s="63" t="str">
        <f>_xlfn.XLOOKUP(MiningROItable[[#This Row],[Planet '#]],tblprogress[Planet '#],tblprogress[Total Time])</f>
        <v/>
      </c>
      <c r="Q33" s="14" t="str">
        <f>IF(
   _xlfn.XLOOKUP(MiningROItable[[#This Row],[Planet '#]], tblPlanets[Planet '#], tblPlanets[Name])=MiningROItable[[#This Row],[Name]],
   "Match",
   "Mismatch"
)</f>
        <v>Match</v>
      </c>
    </row>
    <row r="34" spans="1:17" x14ac:dyDescent="0.3">
      <c r="A34" s="24">
        <v>33</v>
      </c>
      <c r="B34" s="24" t="str">
        <f>_xlfn.XLOOKUP(tblprogress[[#This Row],[Planet '#]],tblPlanets[Planet '#],tblPlanets[Name])</f>
        <v>Xena</v>
      </c>
      <c r="C34" s="25">
        <f>_xlfn.XLOOKUP(MiningROItable[[#This Row],[Mining Level]]+1,tblUpgradeStats[Level],tblUpgradeStats[Mining Speed])</f>
        <v>0.25</v>
      </c>
      <c r="D34" s="41">
        <f>IF(MiningROItable[[#This Row],[Mining Rate]]=0,0,MiningROItable[[#This Row],[Current Efficiency]]*MiningROItable[[#This Row],[Next Mining Rate]]/MiningROItable[[#This Row],[Mining Rate]])</f>
        <v>0</v>
      </c>
      <c r="E34" s="73">
        <f>IF(MiningROItable[[#This Row],[Future Deposit]] - MiningROItable[[#This Row],[Current Deposit]] &gt; 0, MiningROItable[[#This Row],[Future Deposit]] - MiningROItable[[#This Row],[Current Deposit]], 0)</f>
        <v>15</v>
      </c>
      <c r="F34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4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4" s="25">
        <f>_xlfn.XLOOKUP(MiningROItable[[#This Row],[Planet '#]],tblprogress[Planet '#],tblprogress[Mining Level])</f>
        <v>0</v>
      </c>
      <c r="I34" s="25">
        <f>_xlfn.XLOOKUP(MiningROItable[[#This Row],[Planet '#]],tblprogress[Planet '#],tblprogress[Mining Rate])</f>
        <v>0</v>
      </c>
      <c r="J34" s="28">
        <f>_xlfn.XLOOKUP(MiningROItable[[#This Row],[Planet '#]],tblprogress[Planet '#],tblprogress[Cargo])</f>
        <v>0</v>
      </c>
      <c r="K34" s="41">
        <f>_xlfn.XLOOKUP(MiningROItable[[#This Row],[Planet '#]],tblprogress[Planet '#],tblprogress[Efficiency],0)</f>
        <v>0</v>
      </c>
      <c r="L34" s="73">
        <f>IF(MiningROItable[[#This Row],[Current Efficiency]]&lt;=1,MiningROItable[[#This Row],[Mining Rate]]*60,MiningROItable[[#This Row],[Cargo]]/MiningROItable[[#This Row],[Total Time]]*60)</f>
        <v>0</v>
      </c>
      <c r="M34" s="73">
        <f>IF(MiningROItable[[#This Row],[Future Efficiency]]&lt;=1,MiningROItable[[#This Row],[Next Mining Rate]]*60,MiningROItable[[#This Row],[Cargo]]/MiningROItable[[#This Row],[Total Time]]*60)</f>
        <v>15</v>
      </c>
      <c r="N34" s="34">
        <f>_xlfn.XLOOKUP(MiningROItable[[#This Row],[Planet '#]],tblplanetvalue[Planet '#],tblplanetvalue[Total Worth])</f>
        <v>7800</v>
      </c>
      <c r="O34" s="35" t="str">
        <f>_xlfn.XLOOKUP(MiningROItable[[#This Row],[Planet '#]],tblplaneteco[Planet '#],tblplaneteco[Mining Rate Cost])</f>
        <v/>
      </c>
      <c r="P34" s="63" t="str">
        <f>_xlfn.XLOOKUP(MiningROItable[[#This Row],[Planet '#]],tblprogress[Planet '#],tblprogress[Total Time])</f>
        <v/>
      </c>
      <c r="Q34" s="14" t="str">
        <f>IF(
   _xlfn.XLOOKUP(MiningROItable[[#This Row],[Planet '#]], tblPlanets[Planet '#], tblPlanets[Name])=MiningROItable[[#This Row],[Name]],
   "Match",
   "Mismatch"
)</f>
        <v>Match</v>
      </c>
    </row>
    <row r="35" spans="1:17" x14ac:dyDescent="0.3">
      <c r="A35" s="25">
        <v>34</v>
      </c>
      <c r="B35" s="25" t="str">
        <f>_xlfn.XLOOKUP(tblprogress[[#This Row],[Planet '#]],tblPlanets[Planet '#],tblPlanets[Name])</f>
        <v>Rupert</v>
      </c>
      <c r="C35" s="25">
        <f>_xlfn.XLOOKUP(MiningROItable[[#This Row],[Mining Level]]+1,tblUpgradeStats[Level],tblUpgradeStats[Mining Speed])</f>
        <v>0.25</v>
      </c>
      <c r="D35" s="41">
        <f>IF(MiningROItable[[#This Row],[Mining Rate]]=0,0,MiningROItable[[#This Row],[Current Efficiency]]*MiningROItable[[#This Row],[Next Mining Rate]]/MiningROItable[[#This Row],[Mining Rate]])</f>
        <v>0</v>
      </c>
      <c r="E35" s="73">
        <f>IF(MiningROItable[[#This Row],[Future Deposit]] - MiningROItable[[#This Row],[Current Deposit]] &gt; 0, MiningROItable[[#This Row],[Future Deposit]] - MiningROItable[[#This Row],[Current Deposit]], 0)</f>
        <v>15</v>
      </c>
      <c r="F35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5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5" s="25">
        <f>_xlfn.XLOOKUP(MiningROItable[[#This Row],[Planet '#]],tblprogress[Planet '#],tblprogress[Mining Level])</f>
        <v>0</v>
      </c>
      <c r="I35" s="25">
        <f>_xlfn.XLOOKUP(MiningROItable[[#This Row],[Planet '#]],tblprogress[Planet '#],tblprogress[Mining Rate])</f>
        <v>0</v>
      </c>
      <c r="J35" s="28">
        <f>_xlfn.XLOOKUP(MiningROItable[[#This Row],[Planet '#]],tblprogress[Planet '#],tblprogress[Cargo])</f>
        <v>0</v>
      </c>
      <c r="K35" s="41">
        <f>_xlfn.XLOOKUP(MiningROItable[[#This Row],[Planet '#]],tblprogress[Planet '#],tblprogress[Efficiency],0)</f>
        <v>0</v>
      </c>
      <c r="L35" s="73">
        <f>IF(MiningROItable[[#This Row],[Current Efficiency]]&lt;=1,MiningROItable[[#This Row],[Mining Rate]]*60,MiningROItable[[#This Row],[Cargo]]/MiningROItable[[#This Row],[Total Time]]*60)</f>
        <v>0</v>
      </c>
      <c r="M35" s="73">
        <f>IF(MiningROItable[[#This Row],[Future Efficiency]]&lt;=1,MiningROItable[[#This Row],[Next Mining Rate]]*60,MiningROItable[[#This Row],[Cargo]]/MiningROItable[[#This Row],[Total Time]]*60)</f>
        <v>15</v>
      </c>
      <c r="N35" s="34">
        <f>_xlfn.XLOOKUP(MiningROItable[[#This Row],[Planet '#]],tblplanetvalue[Planet '#],tblplanetvalue[Total Worth])</f>
        <v>6890</v>
      </c>
      <c r="O35" s="35" t="str">
        <f>_xlfn.XLOOKUP(MiningROItable[[#This Row],[Planet '#]],tblplaneteco[Planet '#],tblplaneteco[Mining Rate Cost])</f>
        <v/>
      </c>
      <c r="P35" s="63" t="str">
        <f>_xlfn.XLOOKUP(MiningROItable[[#This Row],[Planet '#]],tblprogress[Planet '#],tblprogress[Total Time])</f>
        <v/>
      </c>
      <c r="Q35" s="14" t="str">
        <f>IF(
   _xlfn.XLOOKUP(MiningROItable[[#This Row],[Planet '#]], tblPlanets[Planet '#], tblPlanets[Name])=MiningROItable[[#This Row],[Name]],
   "Match",
   "Mismatch"
)</f>
        <v>Match</v>
      </c>
    </row>
    <row r="36" spans="1:17" x14ac:dyDescent="0.3">
      <c r="A36" s="24">
        <v>35</v>
      </c>
      <c r="B36" s="24" t="str">
        <f>_xlfn.XLOOKUP(tblprogress[[#This Row],[Planet '#]],tblPlanets[Planet '#],tblPlanets[Name])</f>
        <v>Pax</v>
      </c>
      <c r="C36" s="25">
        <f>_xlfn.XLOOKUP(MiningROItable[[#This Row],[Mining Level]]+1,tblUpgradeStats[Level],tblUpgradeStats[Mining Speed])</f>
        <v>0.25</v>
      </c>
      <c r="D36" s="41">
        <f>IF(MiningROItable[[#This Row],[Mining Rate]]=0,0,MiningROItable[[#This Row],[Current Efficiency]]*MiningROItable[[#This Row],[Next Mining Rate]]/MiningROItable[[#This Row],[Mining Rate]])</f>
        <v>0</v>
      </c>
      <c r="E36" s="73">
        <f>IF(MiningROItable[[#This Row],[Future Deposit]] - MiningROItable[[#This Row],[Current Deposit]] &gt; 0, MiningROItable[[#This Row],[Future Deposit]] - MiningROItable[[#This Row],[Current Deposit]], 0)</f>
        <v>15</v>
      </c>
      <c r="F36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6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6" s="25">
        <f>_xlfn.XLOOKUP(MiningROItable[[#This Row],[Planet '#]],tblprogress[Planet '#],tblprogress[Mining Level])</f>
        <v>0</v>
      </c>
      <c r="I36" s="25">
        <f>_xlfn.XLOOKUP(MiningROItable[[#This Row],[Planet '#]],tblprogress[Planet '#],tblprogress[Mining Rate])</f>
        <v>0</v>
      </c>
      <c r="J36" s="28">
        <f>_xlfn.XLOOKUP(MiningROItable[[#This Row],[Planet '#]],tblprogress[Planet '#],tblprogress[Cargo])</f>
        <v>0</v>
      </c>
      <c r="K36" s="41">
        <f>_xlfn.XLOOKUP(MiningROItable[[#This Row],[Planet '#]],tblprogress[Planet '#],tblprogress[Efficiency],0)</f>
        <v>0</v>
      </c>
      <c r="L36" s="73">
        <f>IF(MiningROItable[[#This Row],[Current Efficiency]]&lt;=1,MiningROItable[[#This Row],[Mining Rate]]*60,MiningROItable[[#This Row],[Cargo]]/MiningROItable[[#This Row],[Total Time]]*60)</f>
        <v>0</v>
      </c>
      <c r="M36" s="73">
        <f>IF(MiningROItable[[#This Row],[Future Efficiency]]&lt;=1,MiningROItable[[#This Row],[Next Mining Rate]]*60,MiningROItable[[#This Row],[Cargo]]/MiningROItable[[#This Row],[Total Time]]*60)</f>
        <v>15</v>
      </c>
      <c r="N36" s="34">
        <f>_xlfn.XLOOKUP(MiningROItable[[#This Row],[Planet '#]],tblplanetvalue[Planet '#],tblplanetvalue[Total Worth])</f>
        <v>8920</v>
      </c>
      <c r="O36" s="35" t="str">
        <f>_xlfn.XLOOKUP(MiningROItable[[#This Row],[Planet '#]],tblplaneteco[Planet '#],tblplaneteco[Mining Rate Cost])</f>
        <v/>
      </c>
      <c r="P36" s="63" t="str">
        <f>_xlfn.XLOOKUP(MiningROItable[[#This Row],[Planet '#]],tblprogress[Planet '#],tblprogress[Total Time])</f>
        <v/>
      </c>
      <c r="Q36" s="14" t="str">
        <f>IF(
   _xlfn.XLOOKUP(MiningROItable[[#This Row],[Planet '#]], tblPlanets[Planet '#], tblPlanets[Name])=MiningROItable[[#This Row],[Name]],
   "Match",
   "Mismatch"
)</f>
        <v>Match</v>
      </c>
    </row>
    <row r="37" spans="1:17" x14ac:dyDescent="0.3">
      <c r="A37" s="25">
        <v>36</v>
      </c>
      <c r="B37" s="25" t="str">
        <f>_xlfn.XLOOKUP(tblprogress[[#This Row],[Planet '#]],tblPlanets[Planet '#],tblPlanets[Name])</f>
        <v>Ivyra</v>
      </c>
      <c r="C37" s="25">
        <f>_xlfn.XLOOKUP(MiningROItable[[#This Row],[Mining Level]]+1,tblUpgradeStats[Level],tblUpgradeStats[Mining Speed])</f>
        <v>0.25</v>
      </c>
      <c r="D37" s="41">
        <f>IF(MiningROItable[[#This Row],[Mining Rate]]=0,0,MiningROItable[[#This Row],[Current Efficiency]]*MiningROItable[[#This Row],[Next Mining Rate]]/MiningROItable[[#This Row],[Mining Rate]])</f>
        <v>0</v>
      </c>
      <c r="E37" s="73">
        <f>IF(MiningROItable[[#This Row],[Future Deposit]] - MiningROItable[[#This Row],[Current Deposit]] &gt; 0, MiningROItable[[#This Row],[Future Deposit]] - MiningROItable[[#This Row],[Current Deposit]], 0)</f>
        <v>15</v>
      </c>
      <c r="F37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7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7" s="25">
        <f>_xlfn.XLOOKUP(MiningROItable[[#This Row],[Planet '#]],tblprogress[Planet '#],tblprogress[Mining Level])</f>
        <v>0</v>
      </c>
      <c r="I37" s="25">
        <f>_xlfn.XLOOKUP(MiningROItable[[#This Row],[Planet '#]],tblprogress[Planet '#],tblprogress[Mining Rate])</f>
        <v>0</v>
      </c>
      <c r="J37" s="28">
        <f>_xlfn.XLOOKUP(MiningROItable[[#This Row],[Planet '#]],tblprogress[Planet '#],tblprogress[Cargo])</f>
        <v>0</v>
      </c>
      <c r="K37" s="41">
        <f>_xlfn.XLOOKUP(MiningROItable[[#This Row],[Planet '#]],tblprogress[Planet '#],tblprogress[Efficiency],0)</f>
        <v>0</v>
      </c>
      <c r="L37" s="73">
        <f>IF(MiningROItable[[#This Row],[Current Efficiency]]&lt;=1,MiningROItable[[#This Row],[Mining Rate]]*60,MiningROItable[[#This Row],[Cargo]]/MiningROItable[[#This Row],[Total Time]]*60)</f>
        <v>0</v>
      </c>
      <c r="M37" s="73">
        <f>IF(MiningROItable[[#This Row],[Future Efficiency]]&lt;=1,MiningROItable[[#This Row],[Next Mining Rate]]*60,MiningROItable[[#This Row],[Cargo]]/MiningROItable[[#This Row],[Total Time]]*60)</f>
        <v>15</v>
      </c>
      <c r="N37" s="34">
        <f>_xlfn.XLOOKUP(MiningROItable[[#This Row],[Planet '#]],tblplanetvalue[Planet '#],tblplanetvalue[Total Worth])</f>
        <v>17500</v>
      </c>
      <c r="O37" s="35" t="str">
        <f>_xlfn.XLOOKUP(MiningROItable[[#This Row],[Planet '#]],tblplaneteco[Planet '#],tblplaneteco[Mining Rate Cost])</f>
        <v/>
      </c>
      <c r="P37" s="63" t="str">
        <f>_xlfn.XLOOKUP(MiningROItable[[#This Row],[Planet '#]],tblprogress[Planet '#],tblprogress[Total Time])</f>
        <v/>
      </c>
      <c r="Q37" s="14" t="str">
        <f>IF(
   _xlfn.XLOOKUP(MiningROItable[[#This Row],[Planet '#]], tblPlanets[Planet '#], tblPlanets[Name])=MiningROItable[[#This Row],[Name]],
   "Match",
   "Mismatch"
)</f>
        <v>Match</v>
      </c>
    </row>
    <row r="38" spans="1:17" x14ac:dyDescent="0.3">
      <c r="A38" s="24">
        <v>37</v>
      </c>
      <c r="B38" s="24" t="str">
        <f>_xlfn.XLOOKUP(tblprogress[[#This Row],[Planet '#]],tblPlanets[Planet '#],tblPlanets[Name])</f>
        <v>Utritis</v>
      </c>
      <c r="C38" s="25">
        <f>_xlfn.XLOOKUP(MiningROItable[[#This Row],[Mining Level]]+1,tblUpgradeStats[Level],tblUpgradeStats[Mining Speed])</f>
        <v>0.25</v>
      </c>
      <c r="D38" s="41">
        <f>IF(MiningROItable[[#This Row],[Mining Rate]]=0,0,MiningROItable[[#This Row],[Current Efficiency]]*MiningROItable[[#This Row],[Next Mining Rate]]/MiningROItable[[#This Row],[Mining Rate]])</f>
        <v>0</v>
      </c>
      <c r="E38" s="73">
        <f>IF(MiningROItable[[#This Row],[Future Deposit]] - MiningROItable[[#This Row],[Current Deposit]] &gt; 0, MiningROItable[[#This Row],[Future Deposit]] - MiningROItable[[#This Row],[Current Deposit]], 0)</f>
        <v>15</v>
      </c>
      <c r="F38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8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8" s="25">
        <f>_xlfn.XLOOKUP(MiningROItable[[#This Row],[Planet '#]],tblprogress[Planet '#],tblprogress[Mining Level])</f>
        <v>0</v>
      </c>
      <c r="I38" s="25">
        <f>_xlfn.XLOOKUP(MiningROItable[[#This Row],[Planet '#]],tblprogress[Planet '#],tblprogress[Mining Rate])</f>
        <v>0</v>
      </c>
      <c r="J38" s="28">
        <f>_xlfn.XLOOKUP(MiningROItable[[#This Row],[Planet '#]],tblprogress[Planet '#],tblprogress[Cargo])</f>
        <v>0</v>
      </c>
      <c r="K38" s="41">
        <f>_xlfn.XLOOKUP(MiningROItable[[#This Row],[Planet '#]],tblprogress[Planet '#],tblprogress[Efficiency],0)</f>
        <v>0</v>
      </c>
      <c r="L38" s="73">
        <f>IF(MiningROItable[[#This Row],[Current Efficiency]]&lt;=1,MiningROItable[[#This Row],[Mining Rate]]*60,MiningROItable[[#This Row],[Cargo]]/MiningROItable[[#This Row],[Total Time]]*60)</f>
        <v>0</v>
      </c>
      <c r="M38" s="73">
        <f>IF(MiningROItable[[#This Row],[Future Efficiency]]&lt;=1,MiningROItable[[#This Row],[Next Mining Rate]]*60,MiningROItable[[#This Row],[Cargo]]/MiningROItable[[#This Row],[Total Time]]*60)</f>
        <v>15</v>
      </c>
      <c r="N38" s="34">
        <f>_xlfn.XLOOKUP(MiningROItable[[#This Row],[Planet '#]],tblplanetvalue[Planet '#],tblplanetvalue[Total Worth])</f>
        <v>22000</v>
      </c>
      <c r="O38" s="35" t="str">
        <f>_xlfn.XLOOKUP(MiningROItable[[#This Row],[Planet '#]],tblplaneteco[Planet '#],tblplaneteco[Mining Rate Cost])</f>
        <v/>
      </c>
      <c r="P38" s="63" t="str">
        <f>_xlfn.XLOOKUP(MiningROItable[[#This Row],[Planet '#]],tblprogress[Planet '#],tblprogress[Total Time])</f>
        <v/>
      </c>
      <c r="Q38" s="14" t="str">
        <f>IF(
   _xlfn.XLOOKUP(MiningROItable[[#This Row],[Planet '#]], tblPlanets[Planet '#], tblPlanets[Name])=MiningROItable[[#This Row],[Name]],
   "Match",
   "Mismatch"
)</f>
        <v>Match</v>
      </c>
    </row>
    <row r="39" spans="1:17" x14ac:dyDescent="0.3">
      <c r="A39" s="25">
        <v>38</v>
      </c>
      <c r="B39" s="25" t="str">
        <f>_xlfn.XLOOKUP(tblprogress[[#This Row],[Planet '#]],tblPlanets[Planet '#],tblPlanets[Name])</f>
        <v>Dosie</v>
      </c>
      <c r="C39" s="25">
        <f>_xlfn.XLOOKUP(MiningROItable[[#This Row],[Mining Level]]+1,tblUpgradeStats[Level],tblUpgradeStats[Mining Speed])</f>
        <v>0.25</v>
      </c>
      <c r="D39" s="41">
        <f>IF(MiningROItable[[#This Row],[Mining Rate]]=0,0,MiningROItable[[#This Row],[Current Efficiency]]*MiningROItable[[#This Row],[Next Mining Rate]]/MiningROItable[[#This Row],[Mining Rate]])</f>
        <v>0</v>
      </c>
      <c r="E39" s="73">
        <f>IF(MiningROItable[[#This Row],[Future Deposit]] - MiningROItable[[#This Row],[Current Deposit]] &gt; 0, MiningROItable[[#This Row],[Future Deposit]] - MiningROItable[[#This Row],[Current Deposit]], 0)</f>
        <v>15</v>
      </c>
      <c r="F39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39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39" s="25">
        <f>_xlfn.XLOOKUP(MiningROItable[[#This Row],[Planet '#]],tblprogress[Planet '#],tblprogress[Mining Level])</f>
        <v>0</v>
      </c>
      <c r="I39" s="25">
        <f>_xlfn.XLOOKUP(MiningROItable[[#This Row],[Planet '#]],tblprogress[Planet '#],tblprogress[Mining Rate])</f>
        <v>0</v>
      </c>
      <c r="J39" s="28">
        <f>_xlfn.XLOOKUP(MiningROItable[[#This Row],[Planet '#]],tblprogress[Planet '#],tblprogress[Cargo])</f>
        <v>0</v>
      </c>
      <c r="K39" s="41">
        <f>_xlfn.XLOOKUP(MiningROItable[[#This Row],[Planet '#]],tblprogress[Planet '#],tblprogress[Efficiency],0)</f>
        <v>0</v>
      </c>
      <c r="L39" s="73">
        <f>IF(MiningROItable[[#This Row],[Current Efficiency]]&lt;=1,MiningROItable[[#This Row],[Mining Rate]]*60,MiningROItable[[#This Row],[Cargo]]/MiningROItable[[#This Row],[Total Time]]*60)</f>
        <v>0</v>
      </c>
      <c r="M39" s="73">
        <f>IF(MiningROItable[[#This Row],[Future Efficiency]]&lt;=1,MiningROItable[[#This Row],[Next Mining Rate]]*60,MiningROItable[[#This Row],[Cargo]]/MiningROItable[[#This Row],[Total Time]]*60)</f>
        <v>15</v>
      </c>
      <c r="N39" s="34">
        <f>_xlfn.XLOOKUP(MiningROItable[[#This Row],[Planet '#]],tblplanetvalue[Planet '#],tblplanetvalue[Total Worth])</f>
        <v>23900</v>
      </c>
      <c r="O39" s="35" t="str">
        <f>_xlfn.XLOOKUP(MiningROItable[[#This Row],[Planet '#]],tblplaneteco[Planet '#],tblplaneteco[Mining Rate Cost])</f>
        <v/>
      </c>
      <c r="P39" s="63" t="str">
        <f>_xlfn.XLOOKUP(MiningROItable[[#This Row],[Planet '#]],tblprogress[Planet '#],tblprogress[Total Time])</f>
        <v/>
      </c>
      <c r="Q39" s="14" t="str">
        <f>IF(
   _xlfn.XLOOKUP(MiningROItable[[#This Row],[Planet '#]], tblPlanets[Planet '#], tblPlanets[Name])=MiningROItable[[#This Row],[Name]],
   "Match",
   "Mismatch"
)</f>
        <v>Match</v>
      </c>
    </row>
    <row r="40" spans="1:17" x14ac:dyDescent="0.3">
      <c r="A40" s="24">
        <v>39</v>
      </c>
      <c r="B40" s="24" t="str">
        <f>_xlfn.XLOOKUP(tblprogress[[#This Row],[Planet '#]],tblPlanets[Planet '#],tblPlanets[Name])</f>
        <v>Zulu</v>
      </c>
      <c r="C40" s="25">
        <f>_xlfn.XLOOKUP(MiningROItable[[#This Row],[Mining Level]]+1,tblUpgradeStats[Level],tblUpgradeStats[Mining Speed])</f>
        <v>0.25</v>
      </c>
      <c r="D40" s="41">
        <f>IF(MiningROItable[[#This Row],[Mining Rate]]=0,0,MiningROItable[[#This Row],[Current Efficiency]]*MiningROItable[[#This Row],[Next Mining Rate]]/MiningROItable[[#This Row],[Mining Rate]])</f>
        <v>0</v>
      </c>
      <c r="E40" s="73">
        <f>IF(MiningROItable[[#This Row],[Future Deposit]] - MiningROItable[[#This Row],[Current Deposit]] &gt; 0, MiningROItable[[#This Row],[Future Deposit]] - MiningROItable[[#This Row],[Current Deposit]], 0)</f>
        <v>15</v>
      </c>
      <c r="F40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0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0" s="25">
        <f>_xlfn.XLOOKUP(MiningROItable[[#This Row],[Planet '#]],tblprogress[Planet '#],tblprogress[Mining Level])</f>
        <v>0</v>
      </c>
      <c r="I40" s="25">
        <f>_xlfn.XLOOKUP(MiningROItable[[#This Row],[Planet '#]],tblprogress[Planet '#],tblprogress[Mining Rate])</f>
        <v>0</v>
      </c>
      <c r="J40" s="28">
        <f>_xlfn.XLOOKUP(MiningROItable[[#This Row],[Planet '#]],tblprogress[Planet '#],tblprogress[Cargo])</f>
        <v>0</v>
      </c>
      <c r="K40" s="41">
        <f>_xlfn.XLOOKUP(MiningROItable[[#This Row],[Planet '#]],tblprogress[Planet '#],tblprogress[Efficiency],0)</f>
        <v>0</v>
      </c>
      <c r="L40" s="73">
        <f>IF(MiningROItable[[#This Row],[Current Efficiency]]&lt;=1,MiningROItable[[#This Row],[Mining Rate]]*60,MiningROItable[[#This Row],[Cargo]]/MiningROItable[[#This Row],[Total Time]]*60)</f>
        <v>0</v>
      </c>
      <c r="M40" s="73">
        <f>IF(MiningROItable[[#This Row],[Future Efficiency]]&lt;=1,MiningROItable[[#This Row],[Next Mining Rate]]*60,MiningROItable[[#This Row],[Cargo]]/MiningROItable[[#This Row],[Total Time]]*60)</f>
        <v>15</v>
      </c>
      <c r="N40" s="34">
        <f>_xlfn.XLOOKUP(MiningROItable[[#This Row],[Planet '#]],tblplanetvalue[Planet '#],tblplanetvalue[Total Worth])</f>
        <v>40000</v>
      </c>
      <c r="O40" s="35" t="str">
        <f>_xlfn.XLOOKUP(MiningROItable[[#This Row],[Planet '#]],tblplaneteco[Planet '#],tblplaneteco[Mining Rate Cost])</f>
        <v/>
      </c>
      <c r="P40" s="63" t="str">
        <f>_xlfn.XLOOKUP(MiningROItable[[#This Row],[Planet '#]],tblprogress[Planet '#],tblprogress[Total Time])</f>
        <v/>
      </c>
      <c r="Q40" s="14" t="str">
        <f>IF(
   _xlfn.XLOOKUP(MiningROItable[[#This Row],[Planet '#]], tblPlanets[Planet '#], tblPlanets[Name])=MiningROItable[[#This Row],[Name]],
   "Match",
   "Mismatch"
)</f>
        <v>Match</v>
      </c>
    </row>
    <row r="41" spans="1:17" x14ac:dyDescent="0.3">
      <c r="A41" s="25">
        <v>40</v>
      </c>
      <c r="B41" s="25" t="str">
        <f>_xlfn.XLOOKUP(tblprogress[[#This Row],[Planet '#]],tblPlanets[Planet '#],tblPlanets[Name])</f>
        <v>Unicae</v>
      </c>
      <c r="C41" s="25">
        <f>_xlfn.XLOOKUP(MiningROItable[[#This Row],[Mining Level]]+1,tblUpgradeStats[Level],tblUpgradeStats[Mining Speed])</f>
        <v>0.25</v>
      </c>
      <c r="D41" s="41">
        <f>IF(MiningROItable[[#This Row],[Mining Rate]]=0,0,MiningROItable[[#This Row],[Current Efficiency]]*MiningROItable[[#This Row],[Next Mining Rate]]/MiningROItable[[#This Row],[Mining Rate]])</f>
        <v>0</v>
      </c>
      <c r="E41" s="73">
        <f>IF(MiningROItable[[#This Row],[Future Deposit]] - MiningROItable[[#This Row],[Current Deposit]] &gt; 0, MiningROItable[[#This Row],[Future Deposit]] - MiningROItable[[#This Row],[Current Deposit]], 0)</f>
        <v>15</v>
      </c>
      <c r="F41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1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1" s="25">
        <f>_xlfn.XLOOKUP(MiningROItable[[#This Row],[Planet '#]],tblprogress[Planet '#],tblprogress[Mining Level])</f>
        <v>0</v>
      </c>
      <c r="I41" s="25">
        <f>_xlfn.XLOOKUP(MiningROItable[[#This Row],[Planet '#]],tblprogress[Planet '#],tblprogress[Mining Rate])</f>
        <v>0</v>
      </c>
      <c r="J41" s="28">
        <f>_xlfn.XLOOKUP(MiningROItable[[#This Row],[Planet '#]],tblprogress[Planet '#],tblprogress[Cargo])</f>
        <v>0</v>
      </c>
      <c r="K41" s="41">
        <f>_xlfn.XLOOKUP(MiningROItable[[#This Row],[Planet '#]],tblprogress[Planet '#],tblprogress[Efficiency],0)</f>
        <v>0</v>
      </c>
      <c r="L41" s="73">
        <f>IF(MiningROItable[[#This Row],[Current Efficiency]]&lt;=1,MiningROItable[[#This Row],[Mining Rate]]*60,MiningROItable[[#This Row],[Cargo]]/MiningROItable[[#This Row],[Total Time]]*60)</f>
        <v>0</v>
      </c>
      <c r="M41" s="73">
        <f>IF(MiningROItable[[#This Row],[Future Efficiency]]&lt;=1,MiningROItable[[#This Row],[Next Mining Rate]]*60,MiningROItable[[#This Row],[Cargo]]/MiningROItable[[#This Row],[Total Time]]*60)</f>
        <v>15</v>
      </c>
      <c r="N41" s="34">
        <f>_xlfn.XLOOKUP(MiningROItable[[#This Row],[Planet '#]],tblplanetvalue[Planet '#],tblplanetvalue[Total Worth])</f>
        <v>50400</v>
      </c>
      <c r="O41" s="35" t="str">
        <f>_xlfn.XLOOKUP(MiningROItable[[#This Row],[Planet '#]],tblplaneteco[Planet '#],tblplaneteco[Mining Rate Cost])</f>
        <v/>
      </c>
      <c r="P41" s="63" t="str">
        <f>_xlfn.XLOOKUP(MiningROItable[[#This Row],[Planet '#]],tblprogress[Planet '#],tblprogress[Total Time])</f>
        <v/>
      </c>
      <c r="Q41" s="14" t="str">
        <f>IF(
   _xlfn.XLOOKUP(MiningROItable[[#This Row],[Planet '#]], tblPlanets[Planet '#], tblPlanets[Name])=MiningROItable[[#This Row],[Name]],
   "Match",
   "Mismatch"
)</f>
        <v>Match</v>
      </c>
    </row>
    <row r="42" spans="1:17" x14ac:dyDescent="0.3">
      <c r="A42" s="24">
        <v>41</v>
      </c>
      <c r="B42" s="24" t="str">
        <f>_xlfn.XLOOKUP(tblprogress[[#This Row],[Planet '#]],tblPlanets[Planet '#],tblPlanets[Name])</f>
        <v>Dune</v>
      </c>
      <c r="C42" s="25">
        <f>_xlfn.XLOOKUP(MiningROItable[[#This Row],[Mining Level]]+1,tblUpgradeStats[Level],tblUpgradeStats[Mining Speed])</f>
        <v>0.25</v>
      </c>
      <c r="D42" s="41">
        <f>IF(MiningROItable[[#This Row],[Mining Rate]]=0,0,MiningROItable[[#This Row],[Current Efficiency]]*MiningROItable[[#This Row],[Next Mining Rate]]/MiningROItable[[#This Row],[Mining Rate]])</f>
        <v>0</v>
      </c>
      <c r="E42" s="73">
        <f>IF(MiningROItable[[#This Row],[Future Deposit]] - MiningROItable[[#This Row],[Current Deposit]] &gt; 0, MiningROItable[[#This Row],[Future Deposit]] - MiningROItable[[#This Row],[Current Deposit]], 0)</f>
        <v>15</v>
      </c>
      <c r="F42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2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2" s="25">
        <f>_xlfn.XLOOKUP(MiningROItable[[#This Row],[Planet '#]],tblprogress[Planet '#],tblprogress[Mining Level])</f>
        <v>0</v>
      </c>
      <c r="I42" s="25">
        <f>_xlfn.XLOOKUP(MiningROItable[[#This Row],[Planet '#]],tblprogress[Planet '#],tblprogress[Mining Rate])</f>
        <v>0</v>
      </c>
      <c r="J42" s="28">
        <f>_xlfn.XLOOKUP(MiningROItable[[#This Row],[Planet '#]],tblprogress[Planet '#],tblprogress[Cargo])</f>
        <v>0</v>
      </c>
      <c r="K42" s="41">
        <f>_xlfn.XLOOKUP(MiningROItable[[#This Row],[Planet '#]],tblprogress[Planet '#],tblprogress[Efficiency],0)</f>
        <v>0</v>
      </c>
      <c r="L42" s="73">
        <f>IF(MiningROItable[[#This Row],[Current Efficiency]]&lt;=1,MiningROItable[[#This Row],[Mining Rate]]*60,MiningROItable[[#This Row],[Cargo]]/MiningROItable[[#This Row],[Total Time]]*60)</f>
        <v>0</v>
      </c>
      <c r="M42" s="73">
        <f>IF(MiningROItable[[#This Row],[Future Efficiency]]&lt;=1,MiningROItable[[#This Row],[Next Mining Rate]]*60,MiningROItable[[#This Row],[Cargo]]/MiningROItable[[#This Row],[Total Time]]*60)</f>
        <v>15</v>
      </c>
      <c r="N42" s="34">
        <f>_xlfn.XLOOKUP(MiningROItable[[#This Row],[Planet '#]],tblplanetvalue[Planet '#],tblplanetvalue[Total Worth])</f>
        <v>41480</v>
      </c>
      <c r="O42" s="35" t="str">
        <f>_xlfn.XLOOKUP(MiningROItable[[#This Row],[Planet '#]],tblplaneteco[Planet '#],tblplaneteco[Mining Rate Cost])</f>
        <v/>
      </c>
      <c r="P42" s="63" t="str">
        <f>_xlfn.XLOOKUP(MiningROItable[[#This Row],[Planet '#]],tblprogress[Planet '#],tblprogress[Total Time])</f>
        <v/>
      </c>
      <c r="Q42" s="14" t="str">
        <f>IF(
   _xlfn.XLOOKUP(MiningROItable[[#This Row],[Planet '#]], tblPlanets[Planet '#], tblPlanets[Name])=MiningROItable[[#This Row],[Name]],
   "Match",
   "Mismatch"
)</f>
        <v>Match</v>
      </c>
    </row>
    <row r="43" spans="1:17" x14ac:dyDescent="0.3">
      <c r="A43" s="25">
        <v>42</v>
      </c>
      <c r="B43" s="25" t="str">
        <f>_xlfn.XLOOKUP(tblprogress[[#This Row],[Planet '#]],tblPlanets[Planet '#],tblPlanets[Name])</f>
        <v>Naraka</v>
      </c>
      <c r="C43" s="25">
        <f>_xlfn.XLOOKUP(MiningROItable[[#This Row],[Mining Level]]+1,tblUpgradeStats[Level],tblUpgradeStats[Mining Speed])</f>
        <v>0.25</v>
      </c>
      <c r="D43" s="41">
        <f>IF(MiningROItable[[#This Row],[Mining Rate]]=0,0,MiningROItable[[#This Row],[Current Efficiency]]*MiningROItable[[#This Row],[Next Mining Rate]]/MiningROItable[[#This Row],[Mining Rate]])</f>
        <v>0</v>
      </c>
      <c r="E43" s="73">
        <f>IF(MiningROItable[[#This Row],[Future Deposit]] - MiningROItable[[#This Row],[Current Deposit]] &gt; 0, MiningROItable[[#This Row],[Future Deposit]] - MiningROItable[[#This Row],[Current Deposit]], 0)</f>
        <v>15</v>
      </c>
      <c r="F43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3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3" s="25">
        <f>_xlfn.XLOOKUP(MiningROItable[[#This Row],[Planet '#]],tblprogress[Planet '#],tblprogress[Mining Level])</f>
        <v>0</v>
      </c>
      <c r="I43" s="25">
        <f>_xlfn.XLOOKUP(MiningROItable[[#This Row],[Planet '#]],tblprogress[Planet '#],tblprogress[Mining Rate])</f>
        <v>0</v>
      </c>
      <c r="J43" s="28">
        <f>_xlfn.XLOOKUP(MiningROItable[[#This Row],[Planet '#]],tblprogress[Planet '#],tblprogress[Cargo])</f>
        <v>0</v>
      </c>
      <c r="K43" s="41">
        <f>_xlfn.XLOOKUP(MiningROItable[[#This Row],[Planet '#]],tblprogress[Planet '#],tblprogress[Efficiency],0)</f>
        <v>0</v>
      </c>
      <c r="L43" s="73">
        <f>IF(MiningROItable[[#This Row],[Current Efficiency]]&lt;=1,MiningROItable[[#This Row],[Mining Rate]]*60,MiningROItable[[#This Row],[Cargo]]/MiningROItable[[#This Row],[Total Time]]*60)</f>
        <v>0</v>
      </c>
      <c r="M43" s="73">
        <f>IF(MiningROItable[[#This Row],[Future Efficiency]]&lt;=1,MiningROItable[[#This Row],[Next Mining Rate]]*60,MiningROItable[[#This Row],[Cargo]]/MiningROItable[[#This Row],[Total Time]]*60)</f>
        <v>15</v>
      </c>
      <c r="N43" s="34">
        <f>_xlfn.XLOOKUP(MiningROItable[[#This Row],[Planet '#]],tblplanetvalue[Planet '#],tblplanetvalue[Total Worth])</f>
        <v>92000</v>
      </c>
      <c r="O43" s="35" t="str">
        <f>_xlfn.XLOOKUP(MiningROItable[[#This Row],[Planet '#]],tblplaneteco[Planet '#],tblplaneteco[Mining Rate Cost])</f>
        <v/>
      </c>
      <c r="P43" s="63" t="str">
        <f>_xlfn.XLOOKUP(MiningROItable[[#This Row],[Planet '#]],tblprogress[Planet '#],tblprogress[Total Time])</f>
        <v/>
      </c>
      <c r="Q43" s="14" t="str">
        <f>IF(
   _xlfn.XLOOKUP(MiningROItable[[#This Row],[Planet '#]], tblPlanets[Planet '#], tblPlanets[Name])=MiningROItable[[#This Row],[Name]],
   "Match",
   "Mismatch"
)</f>
        <v>Match</v>
      </c>
    </row>
    <row r="44" spans="1:17" x14ac:dyDescent="0.3">
      <c r="A44" s="24">
        <v>43</v>
      </c>
      <c r="B44" s="24" t="str">
        <f>_xlfn.XLOOKUP(tblprogress[[#This Row],[Planet '#]],tblPlanets[Planet '#],tblPlanets[Name])</f>
        <v>Daedalus</v>
      </c>
      <c r="C44" s="25">
        <f>_xlfn.XLOOKUP(MiningROItable[[#This Row],[Mining Level]]+1,tblUpgradeStats[Level],tblUpgradeStats[Mining Speed])</f>
        <v>0.25</v>
      </c>
      <c r="D44" s="41">
        <f>IF(MiningROItable[[#This Row],[Mining Rate]]=0,0,MiningROItable[[#This Row],[Current Efficiency]]*MiningROItable[[#This Row],[Next Mining Rate]]/MiningROItable[[#This Row],[Mining Rate]])</f>
        <v>0</v>
      </c>
      <c r="E44" s="73">
        <f>IF(MiningROItable[[#This Row],[Future Deposit]] - MiningROItable[[#This Row],[Current Deposit]] &gt; 0, MiningROItable[[#This Row],[Future Deposit]] - MiningROItable[[#This Row],[Current Deposit]], 0)</f>
        <v>15</v>
      </c>
      <c r="F44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4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4" s="25">
        <f>_xlfn.XLOOKUP(MiningROItable[[#This Row],[Planet '#]],tblprogress[Planet '#],tblprogress[Mining Level])</f>
        <v>0</v>
      </c>
      <c r="I44" s="25">
        <f>_xlfn.XLOOKUP(MiningROItable[[#This Row],[Planet '#]],tblprogress[Planet '#],tblprogress[Mining Rate])</f>
        <v>0</v>
      </c>
      <c r="J44" s="28">
        <f>_xlfn.XLOOKUP(MiningROItable[[#This Row],[Planet '#]],tblprogress[Planet '#],tblprogress[Cargo])</f>
        <v>0</v>
      </c>
      <c r="K44" s="41">
        <f>_xlfn.XLOOKUP(MiningROItable[[#This Row],[Planet '#]],tblprogress[Planet '#],tblprogress[Efficiency],0)</f>
        <v>0</v>
      </c>
      <c r="L44" s="73">
        <f>IF(MiningROItable[[#This Row],[Current Efficiency]]&lt;=1,MiningROItable[[#This Row],[Mining Rate]]*60,MiningROItable[[#This Row],[Cargo]]/MiningROItable[[#This Row],[Total Time]]*60)</f>
        <v>0</v>
      </c>
      <c r="M44" s="73">
        <f>IF(MiningROItable[[#This Row],[Future Efficiency]]&lt;=1,MiningROItable[[#This Row],[Next Mining Rate]]*60,MiningROItable[[#This Row],[Cargo]]/MiningROItable[[#This Row],[Total Time]]*60)</f>
        <v>15</v>
      </c>
      <c r="N44" s="34">
        <f>_xlfn.XLOOKUP(MiningROItable[[#This Row],[Planet '#]],tblplanetvalue[Planet '#],tblplanetvalue[Total Worth])</f>
        <v>97450</v>
      </c>
      <c r="O44" s="35" t="str">
        <f>_xlfn.XLOOKUP(MiningROItable[[#This Row],[Planet '#]],tblplaneteco[Planet '#],tblplaneteco[Mining Rate Cost])</f>
        <v/>
      </c>
      <c r="P44" s="63" t="str">
        <f>_xlfn.XLOOKUP(MiningROItable[[#This Row],[Planet '#]],tblprogress[Planet '#],tblprogress[Total Time])</f>
        <v/>
      </c>
      <c r="Q44" s="14" t="str">
        <f>IF(
   _xlfn.XLOOKUP(MiningROItable[[#This Row],[Planet '#]], tblPlanets[Planet '#], tblPlanets[Name])=MiningROItable[[#This Row],[Name]],
   "Match",
   "Mismatch"
)</f>
        <v>Match</v>
      </c>
    </row>
    <row r="45" spans="1:17" x14ac:dyDescent="0.3">
      <c r="A45" s="25">
        <v>44</v>
      </c>
      <c r="B45" s="25" t="str">
        <f>_xlfn.XLOOKUP(tblprogress[[#This Row],[Planet '#]],tblPlanets[Planet '#],tblPlanets[Name])</f>
        <v>Clovis</v>
      </c>
      <c r="C45" s="25">
        <f>_xlfn.XLOOKUP(MiningROItable[[#This Row],[Mining Level]]+1,tblUpgradeStats[Level],tblUpgradeStats[Mining Speed])</f>
        <v>0.25</v>
      </c>
      <c r="D45" s="41">
        <f>IF(MiningROItable[[#This Row],[Mining Rate]]=0,0,MiningROItable[[#This Row],[Current Efficiency]]*MiningROItable[[#This Row],[Next Mining Rate]]/MiningROItable[[#This Row],[Mining Rate]])</f>
        <v>0</v>
      </c>
      <c r="E45" s="73">
        <f>IF(MiningROItable[[#This Row],[Future Deposit]] - MiningROItable[[#This Row],[Current Deposit]] &gt; 0, MiningROItable[[#This Row],[Future Deposit]] - MiningROItable[[#This Row],[Current Deposit]], 0)</f>
        <v>15</v>
      </c>
      <c r="F45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5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5" s="25">
        <f>_xlfn.XLOOKUP(MiningROItable[[#This Row],[Planet '#]],tblprogress[Planet '#],tblprogress[Mining Level])</f>
        <v>0</v>
      </c>
      <c r="I45" s="25">
        <f>_xlfn.XLOOKUP(MiningROItable[[#This Row],[Planet '#]],tblprogress[Planet '#],tblprogress[Mining Rate])</f>
        <v>0</v>
      </c>
      <c r="J45" s="28">
        <f>_xlfn.XLOOKUP(MiningROItable[[#This Row],[Planet '#]],tblprogress[Planet '#],tblprogress[Cargo])</f>
        <v>0</v>
      </c>
      <c r="K45" s="41">
        <f>_xlfn.XLOOKUP(MiningROItable[[#This Row],[Planet '#]],tblprogress[Planet '#],tblprogress[Efficiency],0)</f>
        <v>0</v>
      </c>
      <c r="L45" s="73">
        <f>IF(MiningROItable[[#This Row],[Current Efficiency]]&lt;=1,MiningROItable[[#This Row],[Mining Rate]]*60,MiningROItable[[#This Row],[Cargo]]/MiningROItable[[#This Row],[Total Time]]*60)</f>
        <v>0</v>
      </c>
      <c r="M45" s="73">
        <f>IF(MiningROItable[[#This Row],[Future Efficiency]]&lt;=1,MiningROItable[[#This Row],[Next Mining Rate]]*60,MiningROItable[[#This Row],[Cargo]]/MiningROItable[[#This Row],[Total Time]]*60)</f>
        <v>15</v>
      </c>
      <c r="N45" s="34">
        <f>_xlfn.XLOOKUP(MiningROItable[[#This Row],[Planet '#]],tblplanetvalue[Planet '#],tblplanetvalue[Total Worth])</f>
        <v>153500</v>
      </c>
      <c r="O45" s="35" t="str">
        <f>_xlfn.XLOOKUP(MiningROItable[[#This Row],[Planet '#]],tblplaneteco[Planet '#],tblplaneteco[Mining Rate Cost])</f>
        <v/>
      </c>
      <c r="P45" s="63" t="str">
        <f>_xlfn.XLOOKUP(MiningROItable[[#This Row],[Planet '#]],tblprogress[Planet '#],tblprogress[Total Time])</f>
        <v/>
      </c>
      <c r="Q45" s="14" t="str">
        <f>IF(
   _xlfn.XLOOKUP(MiningROItable[[#This Row],[Planet '#]], tblPlanets[Planet '#], tblPlanets[Name])=MiningROItable[[#This Row],[Name]],
   "Match",
   "Mismatch"
)</f>
        <v>Match</v>
      </c>
    </row>
    <row r="46" spans="1:17" x14ac:dyDescent="0.3">
      <c r="A46" s="24">
        <v>45</v>
      </c>
      <c r="B46" s="24" t="str">
        <f>_xlfn.XLOOKUP(tblprogress[[#This Row],[Planet '#]],tblPlanets[Planet '#],tblPlanets[Name])</f>
        <v>Zero</v>
      </c>
      <c r="C46" s="25">
        <f>_xlfn.XLOOKUP(MiningROItable[[#This Row],[Mining Level]]+1,tblUpgradeStats[Level],tblUpgradeStats[Mining Speed])</f>
        <v>0.25</v>
      </c>
      <c r="D46" s="41">
        <f>IF(MiningROItable[[#This Row],[Mining Rate]]=0,0,MiningROItable[[#This Row],[Current Efficiency]]*MiningROItable[[#This Row],[Next Mining Rate]]/MiningROItable[[#This Row],[Mining Rate]])</f>
        <v>0</v>
      </c>
      <c r="E46" s="73">
        <f>IF(MiningROItable[[#This Row],[Future Deposit]] - MiningROItable[[#This Row],[Current Deposit]] &gt; 0, MiningROItable[[#This Row],[Future Deposit]] - MiningROItable[[#This Row],[Current Deposit]], 0)</f>
        <v>15</v>
      </c>
      <c r="F46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6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6" s="25">
        <f>_xlfn.XLOOKUP(MiningROItable[[#This Row],[Planet '#]],tblprogress[Planet '#],tblprogress[Mining Level])</f>
        <v>0</v>
      </c>
      <c r="I46" s="25">
        <f>_xlfn.XLOOKUP(MiningROItable[[#This Row],[Planet '#]],tblprogress[Planet '#],tblprogress[Mining Rate])</f>
        <v>0</v>
      </c>
      <c r="J46" s="28">
        <f>_xlfn.XLOOKUP(MiningROItable[[#This Row],[Planet '#]],tblprogress[Planet '#],tblprogress[Cargo])</f>
        <v>0</v>
      </c>
      <c r="K46" s="41">
        <f>_xlfn.XLOOKUP(MiningROItable[[#This Row],[Planet '#]],tblprogress[Planet '#],tblprogress[Efficiency],0)</f>
        <v>0</v>
      </c>
      <c r="L46" s="73">
        <f>IF(MiningROItable[[#This Row],[Current Efficiency]]&lt;=1,MiningROItable[[#This Row],[Mining Rate]]*60,MiningROItable[[#This Row],[Cargo]]/MiningROItable[[#This Row],[Total Time]]*60)</f>
        <v>0</v>
      </c>
      <c r="M46" s="73">
        <f>IF(MiningROItable[[#This Row],[Future Efficiency]]&lt;=1,MiningROItable[[#This Row],[Next Mining Rate]]*60,MiningROItable[[#This Row],[Cargo]]/MiningROItable[[#This Row],[Total Time]]*60)</f>
        <v>15</v>
      </c>
      <c r="N46" s="34">
        <f>_xlfn.XLOOKUP(MiningROItable[[#This Row],[Planet '#]],tblplanetvalue[Planet '#],tblplanetvalue[Total Worth])</f>
        <v>215000</v>
      </c>
      <c r="O46" s="35" t="str">
        <f>_xlfn.XLOOKUP(MiningROItable[[#This Row],[Planet '#]],tblplaneteco[Planet '#],tblplaneteco[Mining Rate Cost])</f>
        <v/>
      </c>
      <c r="P46" s="63" t="str">
        <f>_xlfn.XLOOKUP(MiningROItable[[#This Row],[Planet '#]],tblprogress[Planet '#],tblprogress[Total Time])</f>
        <v/>
      </c>
      <c r="Q46" s="14" t="str">
        <f>IF(
   _xlfn.XLOOKUP(MiningROItable[[#This Row],[Planet '#]], tblPlanets[Planet '#], tblPlanets[Name])=MiningROItable[[#This Row],[Name]],
   "Match",
   "Mismatch"
)</f>
        <v>Match</v>
      </c>
    </row>
    <row r="47" spans="1:17" x14ac:dyDescent="0.3">
      <c r="A47" s="25">
        <v>46</v>
      </c>
      <c r="B47" s="25" t="str">
        <f>_xlfn.XLOOKUP(tblprogress[[#This Row],[Planet '#]],tblPlanets[Planet '#],tblPlanets[Name])</f>
        <v>Sotomi</v>
      </c>
      <c r="C47" s="25">
        <f>_xlfn.XLOOKUP(MiningROItable[[#This Row],[Mining Level]]+1,tblUpgradeStats[Level],tblUpgradeStats[Mining Speed])</f>
        <v>0.25</v>
      </c>
      <c r="D47" s="41">
        <f>IF(MiningROItable[[#This Row],[Mining Rate]]=0,0,MiningROItable[[#This Row],[Current Efficiency]]*MiningROItable[[#This Row],[Next Mining Rate]]/MiningROItable[[#This Row],[Mining Rate]])</f>
        <v>0</v>
      </c>
      <c r="E47" s="73">
        <f>IF(MiningROItable[[#This Row],[Future Deposit]] - MiningROItable[[#This Row],[Current Deposit]] &gt; 0, MiningROItable[[#This Row],[Future Deposit]] - MiningROItable[[#This Row],[Current Deposit]], 0)</f>
        <v>15</v>
      </c>
      <c r="F47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7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7" s="25">
        <f>_xlfn.XLOOKUP(MiningROItable[[#This Row],[Planet '#]],tblprogress[Planet '#],tblprogress[Mining Level])</f>
        <v>0</v>
      </c>
      <c r="I47" s="25">
        <f>_xlfn.XLOOKUP(MiningROItable[[#This Row],[Planet '#]],tblprogress[Planet '#],tblprogress[Mining Rate])</f>
        <v>0</v>
      </c>
      <c r="J47" s="28">
        <f>_xlfn.XLOOKUP(MiningROItable[[#This Row],[Planet '#]],tblprogress[Planet '#],tblprogress[Cargo])</f>
        <v>0</v>
      </c>
      <c r="K47" s="41">
        <f>_xlfn.XLOOKUP(MiningROItable[[#This Row],[Planet '#]],tblprogress[Planet '#],tblprogress[Efficiency],0)</f>
        <v>0</v>
      </c>
      <c r="L47" s="73">
        <f>IF(MiningROItable[[#This Row],[Current Efficiency]]&lt;=1,MiningROItable[[#This Row],[Mining Rate]]*60,MiningROItable[[#This Row],[Cargo]]/MiningROItable[[#This Row],[Total Time]]*60)</f>
        <v>0</v>
      </c>
      <c r="M47" s="73">
        <f>IF(MiningROItable[[#This Row],[Future Efficiency]]&lt;=1,MiningROItable[[#This Row],[Next Mining Rate]]*60,MiningROItable[[#This Row],[Cargo]]/MiningROItable[[#This Row],[Total Time]]*60)</f>
        <v>15</v>
      </c>
      <c r="N47" s="34">
        <f>_xlfn.XLOOKUP(MiningROItable[[#This Row],[Planet '#]],tblplanetvalue[Planet '#],tblplanetvalue[Total Worth])</f>
        <v>288750</v>
      </c>
      <c r="O47" s="35" t="str">
        <f>_xlfn.XLOOKUP(MiningROItable[[#This Row],[Planet '#]],tblplaneteco[Planet '#],tblplaneteco[Mining Rate Cost])</f>
        <v/>
      </c>
      <c r="P47" s="63" t="str">
        <f>_xlfn.XLOOKUP(MiningROItable[[#This Row],[Planet '#]],tblprogress[Planet '#],tblprogress[Total Time])</f>
        <v/>
      </c>
      <c r="Q47" s="14" t="str">
        <f>IF(
   _xlfn.XLOOKUP(MiningROItable[[#This Row],[Planet '#]], tblPlanets[Planet '#], tblPlanets[Name])=MiningROItable[[#This Row],[Name]],
   "Match",
   "Mismatch"
)</f>
        <v>Match</v>
      </c>
    </row>
    <row r="48" spans="1:17" x14ac:dyDescent="0.3">
      <c r="A48" s="24">
        <v>47</v>
      </c>
      <c r="B48" s="24" t="str">
        <f>_xlfn.XLOOKUP(tblprogress[[#This Row],[Planet '#]],tblPlanets[Planet '#],tblPlanets[Name])</f>
        <v>Remidian</v>
      </c>
      <c r="C48" s="25">
        <f>_xlfn.XLOOKUP(MiningROItable[[#This Row],[Mining Level]]+1,tblUpgradeStats[Level],tblUpgradeStats[Mining Speed])</f>
        <v>0.25</v>
      </c>
      <c r="D48" s="41">
        <f>IF(MiningROItable[[#This Row],[Mining Rate]]=0,0,MiningROItable[[#This Row],[Current Efficiency]]*MiningROItable[[#This Row],[Next Mining Rate]]/MiningROItable[[#This Row],[Mining Rate]])</f>
        <v>0</v>
      </c>
      <c r="E48" s="73">
        <f>IF(MiningROItable[[#This Row],[Future Deposit]] - MiningROItable[[#This Row],[Current Deposit]] &gt; 0, MiningROItable[[#This Row],[Future Deposit]] - MiningROItable[[#This Row],[Current Deposit]], 0)</f>
        <v>15</v>
      </c>
      <c r="F48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8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8" s="25">
        <f>_xlfn.XLOOKUP(MiningROItable[[#This Row],[Planet '#]],tblprogress[Planet '#],tblprogress[Mining Level])</f>
        <v>0</v>
      </c>
      <c r="I48" s="25">
        <f>_xlfn.XLOOKUP(MiningROItable[[#This Row],[Planet '#]],tblprogress[Planet '#],tblprogress[Mining Rate])</f>
        <v>0</v>
      </c>
      <c r="J48" s="28">
        <f>_xlfn.XLOOKUP(MiningROItable[[#This Row],[Planet '#]],tblprogress[Planet '#],tblprogress[Cargo])</f>
        <v>0</v>
      </c>
      <c r="K48" s="41">
        <f>_xlfn.XLOOKUP(MiningROItable[[#This Row],[Planet '#]],tblprogress[Planet '#],tblprogress[Efficiency],0)</f>
        <v>0</v>
      </c>
      <c r="L48" s="73">
        <f>IF(MiningROItable[[#This Row],[Current Efficiency]]&lt;=1,MiningROItable[[#This Row],[Mining Rate]]*60,MiningROItable[[#This Row],[Cargo]]/MiningROItable[[#This Row],[Total Time]]*60)</f>
        <v>0</v>
      </c>
      <c r="M48" s="73">
        <f>IF(MiningROItable[[#This Row],[Future Efficiency]]&lt;=1,MiningROItable[[#This Row],[Next Mining Rate]]*60,MiningROItable[[#This Row],[Cargo]]/MiningROItable[[#This Row],[Total Time]]*60)</f>
        <v>15</v>
      </c>
      <c r="N48" s="34">
        <f>_xlfn.XLOOKUP(MiningROItable[[#This Row],[Planet '#]],tblplanetvalue[Planet '#],tblplanetvalue[Total Worth])</f>
        <v>342800</v>
      </c>
      <c r="O48" s="35" t="str">
        <f>_xlfn.XLOOKUP(MiningROItable[[#This Row],[Planet '#]],tblplaneteco[Planet '#],tblplaneteco[Mining Rate Cost])</f>
        <v/>
      </c>
      <c r="P48" s="63" t="str">
        <f>_xlfn.XLOOKUP(MiningROItable[[#This Row],[Planet '#]],tblprogress[Planet '#],tblprogress[Total Time])</f>
        <v/>
      </c>
      <c r="Q48" s="14" t="str">
        <f>IF(
   _xlfn.XLOOKUP(MiningROItable[[#This Row],[Planet '#]], tblPlanets[Planet '#], tblPlanets[Name])=MiningROItable[[#This Row],[Name]],
   "Match",
   "Mismatch"
)</f>
        <v>Match</v>
      </c>
    </row>
    <row r="49" spans="1:17" x14ac:dyDescent="0.3">
      <c r="A49" s="25">
        <v>48</v>
      </c>
      <c r="B49" s="25" t="str">
        <f>_xlfn.XLOOKUP(tblprogress[[#This Row],[Planet '#]],tblPlanets[Planet '#],tblPlanets[Name])</f>
        <v>Muse</v>
      </c>
      <c r="C49" s="25">
        <f>_xlfn.XLOOKUP(MiningROItable[[#This Row],[Mining Level]]+1,tblUpgradeStats[Level],tblUpgradeStats[Mining Speed])</f>
        <v>0.25</v>
      </c>
      <c r="D49" s="41">
        <f>IF(MiningROItable[[#This Row],[Mining Rate]]=0,0,MiningROItable[[#This Row],[Current Efficiency]]*MiningROItable[[#This Row],[Next Mining Rate]]/MiningROItable[[#This Row],[Mining Rate]])</f>
        <v>0</v>
      </c>
      <c r="E49" s="73">
        <f>IF(MiningROItable[[#This Row],[Future Deposit]] - MiningROItable[[#This Row],[Current Deposit]] &gt; 0, MiningROItable[[#This Row],[Future Deposit]] - MiningROItable[[#This Row],[Current Deposit]], 0)</f>
        <v>15</v>
      </c>
      <c r="F49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49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49" s="25">
        <f>_xlfn.XLOOKUP(MiningROItable[[#This Row],[Planet '#]],tblprogress[Planet '#],tblprogress[Mining Level])</f>
        <v>0</v>
      </c>
      <c r="I49" s="25">
        <f>_xlfn.XLOOKUP(MiningROItable[[#This Row],[Planet '#]],tblprogress[Planet '#],tblprogress[Mining Rate])</f>
        <v>0</v>
      </c>
      <c r="J49" s="28">
        <f>_xlfn.XLOOKUP(MiningROItable[[#This Row],[Planet '#]],tblprogress[Planet '#],tblprogress[Cargo])</f>
        <v>0</v>
      </c>
      <c r="K49" s="41">
        <f>_xlfn.XLOOKUP(MiningROItable[[#This Row],[Planet '#]],tblprogress[Planet '#],tblprogress[Efficiency],0)</f>
        <v>0</v>
      </c>
      <c r="L49" s="73">
        <f>IF(MiningROItable[[#This Row],[Current Efficiency]]&lt;=1,MiningROItable[[#This Row],[Mining Rate]]*60,MiningROItable[[#This Row],[Cargo]]/MiningROItable[[#This Row],[Total Time]]*60)</f>
        <v>0</v>
      </c>
      <c r="M49" s="73">
        <f>IF(MiningROItable[[#This Row],[Future Efficiency]]&lt;=1,MiningROItable[[#This Row],[Next Mining Rate]]*60,MiningROItable[[#This Row],[Cargo]]/MiningROItable[[#This Row],[Total Time]]*60)</f>
        <v>15</v>
      </c>
      <c r="N49" s="34">
        <f>_xlfn.XLOOKUP(MiningROItable[[#This Row],[Planet '#]],tblplanetvalue[Planet '#],tblplanetvalue[Total Worth])</f>
        <v>510000</v>
      </c>
      <c r="O49" s="35" t="str">
        <f>_xlfn.XLOOKUP(MiningROItable[[#This Row],[Planet '#]],tblplaneteco[Planet '#],tblplaneteco[Mining Rate Cost])</f>
        <v/>
      </c>
      <c r="P49" s="63" t="str">
        <f>_xlfn.XLOOKUP(MiningROItable[[#This Row],[Planet '#]],tblprogress[Planet '#],tblprogress[Total Time])</f>
        <v/>
      </c>
      <c r="Q49" s="14" t="str">
        <f>IF(
   _xlfn.XLOOKUP(MiningROItable[[#This Row],[Planet '#]], tblPlanets[Planet '#], tblPlanets[Name])=MiningROItable[[#This Row],[Name]],
   "Match",
   "Mismatch"
)</f>
        <v>Match</v>
      </c>
    </row>
    <row r="50" spans="1:17" x14ac:dyDescent="0.3">
      <c r="A50" s="24">
        <v>49</v>
      </c>
      <c r="B50" s="24" t="str">
        <f>_xlfn.XLOOKUP(tblprogress[[#This Row],[Planet '#]],tblPlanets[Planet '#],tblPlanets[Name])</f>
        <v>Arabis</v>
      </c>
      <c r="C50" s="25">
        <f>_xlfn.XLOOKUP(MiningROItable[[#This Row],[Mining Level]]+1,tblUpgradeStats[Level],tblUpgradeStats[Mining Speed])</f>
        <v>0.25</v>
      </c>
      <c r="D50" s="41">
        <f>IF(MiningROItable[[#This Row],[Mining Rate]]=0,0,MiningROItable[[#This Row],[Current Efficiency]]*MiningROItable[[#This Row],[Next Mining Rate]]/MiningROItable[[#This Row],[Mining Rate]])</f>
        <v>0</v>
      </c>
      <c r="E50" s="73">
        <f>IF(MiningROItable[[#This Row],[Future Deposit]] - MiningROItable[[#This Row],[Current Deposit]] &gt; 0, MiningROItable[[#This Row],[Future Deposit]] - MiningROItable[[#This Row],[Current Deposit]], 0)</f>
        <v>15</v>
      </c>
      <c r="F50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0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0" s="25">
        <f>_xlfn.XLOOKUP(MiningROItable[[#This Row],[Planet '#]],tblprogress[Planet '#],tblprogress[Mining Level])</f>
        <v>0</v>
      </c>
      <c r="I50" s="25">
        <f>_xlfn.XLOOKUP(MiningROItable[[#This Row],[Planet '#]],tblprogress[Planet '#],tblprogress[Mining Rate])</f>
        <v>0</v>
      </c>
      <c r="J50" s="28">
        <f>_xlfn.XLOOKUP(MiningROItable[[#This Row],[Planet '#]],tblprogress[Planet '#],tblprogress[Cargo])</f>
        <v>0</v>
      </c>
      <c r="K50" s="41">
        <f>_xlfn.XLOOKUP(MiningROItable[[#This Row],[Planet '#]],tblprogress[Planet '#],tblprogress[Efficiency],0)</f>
        <v>0</v>
      </c>
      <c r="L50" s="73">
        <f>IF(MiningROItable[[#This Row],[Current Efficiency]]&lt;=1,MiningROItable[[#This Row],[Mining Rate]]*60,MiningROItable[[#This Row],[Cargo]]/MiningROItable[[#This Row],[Total Time]]*60)</f>
        <v>0</v>
      </c>
      <c r="M50" s="73">
        <f>IF(MiningROItable[[#This Row],[Future Efficiency]]&lt;=1,MiningROItable[[#This Row],[Next Mining Rate]]*60,MiningROItable[[#This Row],[Cargo]]/MiningROItable[[#This Row],[Total Time]]*60)</f>
        <v>15</v>
      </c>
      <c r="N50" s="34">
        <f>_xlfn.XLOOKUP(MiningROItable[[#This Row],[Planet '#]],tblplanetvalue[Planet '#],tblplanetvalue[Total Worth])</f>
        <v>880000</v>
      </c>
      <c r="O50" s="35" t="str">
        <f>_xlfn.XLOOKUP(MiningROItable[[#This Row],[Planet '#]],tblplaneteco[Planet '#],tblplaneteco[Mining Rate Cost])</f>
        <v/>
      </c>
      <c r="P50" s="63" t="str">
        <f>_xlfn.XLOOKUP(MiningROItable[[#This Row],[Planet '#]],tblprogress[Planet '#],tblprogress[Total Time])</f>
        <v/>
      </c>
      <c r="Q50" s="14" t="str">
        <f>IF(
   _xlfn.XLOOKUP(MiningROItable[[#This Row],[Planet '#]], tblPlanets[Planet '#], tblPlanets[Name])=MiningROItable[[#This Row],[Name]],
   "Match",
   "Mismatch"
)</f>
        <v>Match</v>
      </c>
    </row>
    <row r="51" spans="1:17" x14ac:dyDescent="0.3">
      <c r="A51" s="25">
        <v>50</v>
      </c>
      <c r="B51" s="25" t="str">
        <f>_xlfn.XLOOKUP(tblprogress[[#This Row],[Planet '#]],tblPlanets[Planet '#],tblPlanets[Name])</f>
        <v>Vesna</v>
      </c>
      <c r="C51" s="25">
        <f>_xlfn.XLOOKUP(MiningROItable[[#This Row],[Mining Level]]+1,tblUpgradeStats[Level],tblUpgradeStats[Mining Speed])</f>
        <v>0.25</v>
      </c>
      <c r="D51" s="41">
        <f>IF(MiningROItable[[#This Row],[Mining Rate]]=0,0,MiningROItable[[#This Row],[Current Efficiency]]*MiningROItable[[#This Row],[Next Mining Rate]]/MiningROItable[[#This Row],[Mining Rate]])</f>
        <v>0</v>
      </c>
      <c r="E51" s="73">
        <f>IF(MiningROItable[[#This Row],[Future Deposit]] - MiningROItable[[#This Row],[Current Deposit]] &gt; 0, MiningROItable[[#This Row],[Future Deposit]] - MiningROItable[[#This Row],[Current Deposit]], 0)</f>
        <v>15</v>
      </c>
      <c r="F51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1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1" s="25">
        <f>_xlfn.XLOOKUP(MiningROItable[[#This Row],[Planet '#]],tblprogress[Planet '#],tblprogress[Mining Level])</f>
        <v>0</v>
      </c>
      <c r="I51" s="25">
        <f>_xlfn.XLOOKUP(MiningROItable[[#This Row],[Planet '#]],tblprogress[Planet '#],tblprogress[Mining Rate])</f>
        <v>0</v>
      </c>
      <c r="J51" s="28">
        <f>_xlfn.XLOOKUP(MiningROItable[[#This Row],[Planet '#]],tblprogress[Planet '#],tblprogress[Cargo])</f>
        <v>0</v>
      </c>
      <c r="K51" s="41">
        <f>_xlfn.XLOOKUP(MiningROItable[[#This Row],[Planet '#]],tblprogress[Planet '#],tblprogress[Efficiency],0)</f>
        <v>0</v>
      </c>
      <c r="L51" s="73">
        <f>IF(MiningROItable[[#This Row],[Current Efficiency]]&lt;=1,MiningROItable[[#This Row],[Mining Rate]]*60,MiningROItable[[#This Row],[Cargo]]/MiningROItable[[#This Row],[Total Time]]*60)</f>
        <v>0</v>
      </c>
      <c r="M51" s="73">
        <f>IF(MiningROItable[[#This Row],[Future Efficiency]]&lt;=1,MiningROItable[[#This Row],[Next Mining Rate]]*60,MiningROItable[[#This Row],[Cargo]]/MiningROItable[[#This Row],[Total Time]]*60)</f>
        <v>15</v>
      </c>
      <c r="N51" s="34">
        <f>_xlfn.XLOOKUP(MiningROItable[[#This Row],[Planet '#]],tblplanetvalue[Planet '#],tblplanetvalue[Total Worth])</f>
        <v>836000</v>
      </c>
      <c r="O51" s="35" t="str">
        <f>_xlfn.XLOOKUP(MiningROItable[[#This Row],[Planet '#]],tblplaneteco[Planet '#],tblplaneteco[Mining Rate Cost])</f>
        <v/>
      </c>
      <c r="P51" s="63" t="str">
        <f>_xlfn.XLOOKUP(MiningROItable[[#This Row],[Planet '#]],tblprogress[Planet '#],tblprogress[Total Time])</f>
        <v/>
      </c>
      <c r="Q51" s="14" t="str">
        <f>IF(
   _xlfn.XLOOKUP(MiningROItable[[#This Row],[Planet '#]], tblPlanets[Planet '#], tblPlanets[Name])=MiningROItable[[#This Row],[Name]],
   "Match",
   "Mismatch"
)</f>
        <v>Match</v>
      </c>
    </row>
    <row r="52" spans="1:17" x14ac:dyDescent="0.3">
      <c r="A52" s="24">
        <v>51</v>
      </c>
      <c r="B52" s="24" t="str">
        <f>_xlfn.XLOOKUP(tblprogress[[#This Row],[Planet '#]],tblPlanets[Planet '#],tblPlanets[Name])</f>
        <v>Chandra</v>
      </c>
      <c r="C52" s="25">
        <f>_xlfn.XLOOKUP(MiningROItable[[#This Row],[Mining Level]]+1,tblUpgradeStats[Level],tblUpgradeStats[Mining Speed])</f>
        <v>0.25</v>
      </c>
      <c r="D52" s="41">
        <f>IF(MiningROItable[[#This Row],[Mining Rate]]=0,0,MiningROItable[[#This Row],[Current Efficiency]]*MiningROItable[[#This Row],[Next Mining Rate]]/MiningROItable[[#This Row],[Mining Rate]])</f>
        <v>0</v>
      </c>
      <c r="E52" s="73">
        <f>IF(MiningROItable[[#This Row],[Future Deposit]] - MiningROItable[[#This Row],[Current Deposit]] &gt; 0, MiningROItable[[#This Row],[Future Deposit]] - MiningROItable[[#This Row],[Current Deposit]], 0)</f>
        <v>15</v>
      </c>
      <c r="F52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2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2" s="25">
        <f>_xlfn.XLOOKUP(MiningROItable[[#This Row],[Planet '#]],tblprogress[Planet '#],tblprogress[Mining Level])</f>
        <v>0</v>
      </c>
      <c r="I52" s="25">
        <f>_xlfn.XLOOKUP(MiningROItable[[#This Row],[Planet '#]],tblprogress[Planet '#],tblprogress[Mining Rate])</f>
        <v>0</v>
      </c>
      <c r="J52" s="28">
        <f>_xlfn.XLOOKUP(MiningROItable[[#This Row],[Planet '#]],tblprogress[Planet '#],tblprogress[Cargo])</f>
        <v>0</v>
      </c>
      <c r="K52" s="41">
        <f>_xlfn.XLOOKUP(MiningROItable[[#This Row],[Planet '#]],tblprogress[Planet '#],tblprogress[Efficiency],0)</f>
        <v>0</v>
      </c>
      <c r="L52" s="73">
        <f>IF(MiningROItable[[#This Row],[Current Efficiency]]&lt;=1,MiningROItable[[#This Row],[Mining Rate]]*60,MiningROItable[[#This Row],[Cargo]]/MiningROItable[[#This Row],[Total Time]]*60)</f>
        <v>0</v>
      </c>
      <c r="M52" s="73">
        <f>IF(MiningROItable[[#This Row],[Future Efficiency]]&lt;=1,MiningROItable[[#This Row],[Next Mining Rate]]*60,MiningROItable[[#This Row],[Cargo]]/MiningROItable[[#This Row],[Total Time]]*60)</f>
        <v>15</v>
      </c>
      <c r="N52" s="34">
        <f>_xlfn.XLOOKUP(MiningROItable[[#This Row],[Planet '#]],tblplanetvalue[Planet '#],tblplanetvalue[Total Worth])</f>
        <v>1250000</v>
      </c>
      <c r="O52" s="35" t="str">
        <f>_xlfn.XLOOKUP(MiningROItable[[#This Row],[Planet '#]],tblplaneteco[Planet '#],tblplaneteco[Mining Rate Cost])</f>
        <v/>
      </c>
      <c r="P52" s="63" t="str">
        <f>_xlfn.XLOOKUP(MiningROItable[[#This Row],[Planet '#]],tblprogress[Planet '#],tblprogress[Total Time])</f>
        <v/>
      </c>
      <c r="Q52" s="14" t="str">
        <f>IF(
   _xlfn.XLOOKUP(MiningROItable[[#This Row],[Planet '#]], tblPlanets[Planet '#], tblPlanets[Name])=MiningROItable[[#This Row],[Name]],
   "Match",
   "Mismatch"
)</f>
        <v>Match</v>
      </c>
    </row>
    <row r="53" spans="1:17" x14ac:dyDescent="0.3">
      <c r="A53" s="25">
        <v>52</v>
      </c>
      <c r="B53" s="25" t="str">
        <f>_xlfn.XLOOKUP(tblprogress[[#This Row],[Planet '#]],tblPlanets[Planet '#],tblPlanets[Name])</f>
        <v>Vega</v>
      </c>
      <c r="C53" s="25">
        <f>_xlfn.XLOOKUP(MiningROItable[[#This Row],[Mining Level]]+1,tblUpgradeStats[Level],tblUpgradeStats[Mining Speed])</f>
        <v>0.25</v>
      </c>
      <c r="D53" s="41">
        <f>IF(MiningROItable[[#This Row],[Mining Rate]]=0,0,MiningROItable[[#This Row],[Current Efficiency]]*MiningROItable[[#This Row],[Next Mining Rate]]/MiningROItable[[#This Row],[Mining Rate]])</f>
        <v>0</v>
      </c>
      <c r="E53" s="73">
        <f>IF(MiningROItable[[#This Row],[Future Deposit]] - MiningROItable[[#This Row],[Current Deposit]] &gt; 0, MiningROItable[[#This Row],[Future Deposit]] - MiningROItable[[#This Row],[Current Deposit]], 0)</f>
        <v>15</v>
      </c>
      <c r="F53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3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3" s="25">
        <f>_xlfn.XLOOKUP(MiningROItable[[#This Row],[Planet '#]],tblprogress[Planet '#],tblprogress[Mining Level])</f>
        <v>0</v>
      </c>
      <c r="I53" s="25">
        <f>_xlfn.XLOOKUP(MiningROItable[[#This Row],[Planet '#]],tblprogress[Planet '#],tblprogress[Mining Rate])</f>
        <v>0</v>
      </c>
      <c r="J53" s="28">
        <f>_xlfn.XLOOKUP(MiningROItable[[#This Row],[Planet '#]],tblprogress[Planet '#],tblprogress[Cargo])</f>
        <v>0</v>
      </c>
      <c r="K53" s="41">
        <f>_xlfn.XLOOKUP(MiningROItable[[#This Row],[Planet '#]],tblprogress[Planet '#],tblprogress[Efficiency],0)</f>
        <v>0</v>
      </c>
      <c r="L53" s="73">
        <f>IF(MiningROItable[[#This Row],[Current Efficiency]]&lt;=1,MiningROItable[[#This Row],[Mining Rate]]*60,MiningROItable[[#This Row],[Cargo]]/MiningROItable[[#This Row],[Total Time]]*60)</f>
        <v>0</v>
      </c>
      <c r="M53" s="73">
        <f>IF(MiningROItable[[#This Row],[Future Efficiency]]&lt;=1,MiningROItable[[#This Row],[Next Mining Rate]]*60,MiningROItable[[#This Row],[Cargo]]/MiningROItable[[#This Row],[Total Time]]*60)</f>
        <v>15</v>
      </c>
      <c r="N53" s="34">
        <f>_xlfn.XLOOKUP(MiningROItable[[#This Row],[Planet '#]],tblplanetvalue[Planet '#],tblplanetvalue[Total Worth])</f>
        <v>1516750</v>
      </c>
      <c r="O53" s="35" t="str">
        <f>_xlfn.XLOOKUP(MiningROItable[[#This Row],[Planet '#]],tblplaneteco[Planet '#],tblplaneteco[Mining Rate Cost])</f>
        <v/>
      </c>
      <c r="P53" s="63" t="str">
        <f>_xlfn.XLOOKUP(MiningROItable[[#This Row],[Planet '#]],tblprogress[Planet '#],tblprogress[Total Time])</f>
        <v/>
      </c>
      <c r="Q53" s="14" t="str">
        <f>IF(
   _xlfn.XLOOKUP(MiningROItable[[#This Row],[Planet '#]], tblPlanets[Planet '#], tblPlanets[Name])=MiningROItable[[#This Row],[Name]],
   "Match",
   "Mismatch"
)</f>
        <v>Match</v>
      </c>
    </row>
    <row r="54" spans="1:17" x14ac:dyDescent="0.3">
      <c r="A54" s="24">
        <v>53</v>
      </c>
      <c r="B54" s="24" t="str">
        <f>_xlfn.XLOOKUP(tblprogress[[#This Row],[Planet '#]],tblPlanets[Planet '#],tblPlanets[Name])</f>
        <v>Crius</v>
      </c>
      <c r="C54" s="25">
        <f>_xlfn.XLOOKUP(MiningROItable[[#This Row],[Mining Level]]+1,tblUpgradeStats[Level],tblUpgradeStats[Mining Speed])</f>
        <v>0.25</v>
      </c>
      <c r="D54" s="41">
        <f>IF(MiningROItable[[#This Row],[Mining Rate]]=0,0,MiningROItable[[#This Row],[Current Efficiency]]*MiningROItable[[#This Row],[Next Mining Rate]]/MiningROItable[[#This Row],[Mining Rate]])</f>
        <v>0</v>
      </c>
      <c r="E54" s="73">
        <f>IF(MiningROItable[[#This Row],[Future Deposit]] - MiningROItable[[#This Row],[Current Deposit]] &gt; 0, MiningROItable[[#This Row],[Future Deposit]] - MiningROItable[[#This Row],[Current Deposit]], 0)</f>
        <v>15</v>
      </c>
      <c r="F54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4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4" s="25">
        <f>_xlfn.XLOOKUP(MiningROItable[[#This Row],[Planet '#]],tblprogress[Planet '#],tblprogress[Mining Level])</f>
        <v>0</v>
      </c>
      <c r="I54" s="25">
        <f>_xlfn.XLOOKUP(MiningROItable[[#This Row],[Planet '#]],tblprogress[Planet '#],tblprogress[Mining Rate])</f>
        <v>0</v>
      </c>
      <c r="J54" s="28">
        <f>_xlfn.XLOOKUP(MiningROItable[[#This Row],[Planet '#]],tblprogress[Planet '#],tblprogress[Cargo])</f>
        <v>0</v>
      </c>
      <c r="K54" s="41">
        <f>_xlfn.XLOOKUP(MiningROItable[[#This Row],[Planet '#]],tblprogress[Planet '#],tblprogress[Efficiency],0)</f>
        <v>0</v>
      </c>
      <c r="L54" s="73">
        <f>IF(MiningROItable[[#This Row],[Current Efficiency]]&lt;=1,MiningROItable[[#This Row],[Mining Rate]]*60,MiningROItable[[#This Row],[Cargo]]/MiningROItable[[#This Row],[Total Time]]*60)</f>
        <v>0</v>
      </c>
      <c r="M54" s="73">
        <f>IF(MiningROItable[[#This Row],[Future Efficiency]]&lt;=1,MiningROItable[[#This Row],[Next Mining Rate]]*60,MiningROItable[[#This Row],[Cargo]]/MiningROItable[[#This Row],[Total Time]]*60)</f>
        <v>15</v>
      </c>
      <c r="N54" s="34">
        <f>_xlfn.XLOOKUP(MiningROItable[[#This Row],[Planet '#]],tblplanetvalue[Planet '#],tblplanetvalue[Total Worth])</f>
        <v>1707500</v>
      </c>
      <c r="O54" s="35" t="str">
        <f>_xlfn.XLOOKUP(MiningROItable[[#This Row],[Planet '#]],tblplaneteco[Planet '#],tblplaneteco[Mining Rate Cost])</f>
        <v/>
      </c>
      <c r="P54" s="63" t="str">
        <f>_xlfn.XLOOKUP(MiningROItable[[#This Row],[Planet '#]],tblprogress[Planet '#],tblprogress[Total Time])</f>
        <v/>
      </c>
      <c r="Q54" s="14" t="str">
        <f>IF(
   _xlfn.XLOOKUP(MiningROItable[[#This Row],[Planet '#]], tblPlanets[Planet '#], tblPlanets[Name])=MiningROItable[[#This Row],[Name]],
   "Match",
   "Mismatch"
)</f>
        <v>Match</v>
      </c>
    </row>
    <row r="55" spans="1:17" x14ac:dyDescent="0.3">
      <c r="A55" s="25">
        <v>54</v>
      </c>
      <c r="B55" s="25" t="str">
        <f>_xlfn.XLOOKUP(tblprogress[[#This Row],[Planet '#]],tblPlanets[Planet '#],tblPlanets[Name])</f>
        <v>Singhana</v>
      </c>
      <c r="C55" s="25">
        <f>_xlfn.XLOOKUP(MiningROItable[[#This Row],[Mining Level]]+1,tblUpgradeStats[Level],tblUpgradeStats[Mining Speed])</f>
        <v>0.25</v>
      </c>
      <c r="D55" s="41">
        <f>IF(MiningROItable[[#This Row],[Mining Rate]]=0,0,MiningROItable[[#This Row],[Current Efficiency]]*MiningROItable[[#This Row],[Next Mining Rate]]/MiningROItable[[#This Row],[Mining Rate]])</f>
        <v>0</v>
      </c>
      <c r="E55" s="73">
        <f>IF(MiningROItable[[#This Row],[Future Deposit]] - MiningROItable[[#This Row],[Current Deposit]] &gt; 0, MiningROItable[[#This Row],[Future Deposit]] - MiningROItable[[#This Row],[Current Deposit]], 0)</f>
        <v>15</v>
      </c>
      <c r="F55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5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5" s="25">
        <f>_xlfn.XLOOKUP(MiningROItable[[#This Row],[Planet '#]],tblprogress[Planet '#],tblprogress[Mining Level])</f>
        <v>0</v>
      </c>
      <c r="I55" s="25">
        <f>_xlfn.XLOOKUP(MiningROItable[[#This Row],[Planet '#]],tblprogress[Planet '#],tblprogress[Mining Rate])</f>
        <v>0</v>
      </c>
      <c r="J55" s="28">
        <f>_xlfn.XLOOKUP(MiningROItable[[#This Row],[Planet '#]],tblprogress[Planet '#],tblprogress[Cargo])</f>
        <v>0</v>
      </c>
      <c r="K55" s="41">
        <f>_xlfn.XLOOKUP(MiningROItable[[#This Row],[Planet '#]],tblprogress[Planet '#],tblprogress[Efficiency],0)</f>
        <v>0</v>
      </c>
      <c r="L55" s="73">
        <f>IF(MiningROItable[[#This Row],[Current Efficiency]]&lt;=1,MiningROItable[[#This Row],[Mining Rate]]*60,MiningROItable[[#This Row],[Cargo]]/MiningROItable[[#This Row],[Total Time]]*60)</f>
        <v>0</v>
      </c>
      <c r="M55" s="73">
        <f>IF(MiningROItable[[#This Row],[Future Efficiency]]&lt;=1,MiningROItable[[#This Row],[Next Mining Rate]]*60,MiningROItable[[#This Row],[Cargo]]/MiningROItable[[#This Row],[Total Time]]*60)</f>
        <v>15</v>
      </c>
      <c r="N55" s="34">
        <f>_xlfn.XLOOKUP(MiningROItable[[#This Row],[Planet '#]],tblplanetvalue[Planet '#],tblplanetvalue[Total Worth])</f>
        <v>3200000</v>
      </c>
      <c r="O55" s="35" t="str">
        <f>_xlfn.XLOOKUP(MiningROItable[[#This Row],[Planet '#]],tblplaneteco[Planet '#],tblplaneteco[Mining Rate Cost])</f>
        <v/>
      </c>
      <c r="P55" s="63" t="str">
        <f>_xlfn.XLOOKUP(MiningROItable[[#This Row],[Planet '#]],tblprogress[Planet '#],tblprogress[Total Time])</f>
        <v/>
      </c>
      <c r="Q55" s="14" t="str">
        <f>IF(
   _xlfn.XLOOKUP(MiningROItable[[#This Row],[Planet '#]], tblPlanets[Planet '#], tblPlanets[Name])=MiningROItable[[#This Row],[Name]],
   "Match",
   "Mismatch"
)</f>
        <v>Match</v>
      </c>
    </row>
    <row r="56" spans="1:17" x14ac:dyDescent="0.3">
      <c r="A56" s="24">
        <v>55</v>
      </c>
      <c r="B56" s="24" t="str">
        <f>_xlfn.XLOOKUP(tblprogress[[#This Row],[Planet '#]],tblPlanets[Planet '#],tblPlanets[Name])</f>
        <v>Zumbia</v>
      </c>
      <c r="C56" s="25">
        <f>_xlfn.XLOOKUP(MiningROItable[[#This Row],[Mining Level]]+1,tblUpgradeStats[Level],tblUpgradeStats[Mining Speed])</f>
        <v>0.25</v>
      </c>
      <c r="D56" s="41">
        <f>IF(MiningROItable[[#This Row],[Mining Rate]]=0,0,MiningROItable[[#This Row],[Current Efficiency]]*MiningROItable[[#This Row],[Next Mining Rate]]/MiningROItable[[#This Row],[Mining Rate]])</f>
        <v>0</v>
      </c>
      <c r="E56" s="73">
        <f>IF(MiningROItable[[#This Row],[Future Deposit]] - MiningROItable[[#This Row],[Current Deposit]] &gt; 0, MiningROItable[[#This Row],[Future Deposit]] - MiningROItable[[#This Row],[Current Deposit]], 0)</f>
        <v>15</v>
      </c>
      <c r="F56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6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6" s="25">
        <f>_xlfn.XLOOKUP(MiningROItable[[#This Row],[Planet '#]],tblprogress[Planet '#],tblprogress[Mining Level])</f>
        <v>0</v>
      </c>
      <c r="I56" s="25">
        <f>_xlfn.XLOOKUP(MiningROItable[[#This Row],[Planet '#]],tblprogress[Planet '#],tblprogress[Mining Rate])</f>
        <v>0</v>
      </c>
      <c r="J56" s="28">
        <f>_xlfn.XLOOKUP(MiningROItable[[#This Row],[Planet '#]],tblprogress[Planet '#],tblprogress[Cargo])</f>
        <v>0</v>
      </c>
      <c r="K56" s="41">
        <f>_xlfn.XLOOKUP(MiningROItable[[#This Row],[Planet '#]],tblprogress[Planet '#],tblprogress[Efficiency],0)</f>
        <v>0</v>
      </c>
      <c r="L56" s="73">
        <f>IF(MiningROItable[[#This Row],[Current Efficiency]]&lt;=1,MiningROItable[[#This Row],[Mining Rate]]*60,MiningROItable[[#This Row],[Cargo]]/MiningROItable[[#This Row],[Total Time]]*60)</f>
        <v>0</v>
      </c>
      <c r="M56" s="73">
        <f>IF(MiningROItable[[#This Row],[Future Efficiency]]&lt;=1,MiningROItable[[#This Row],[Next Mining Rate]]*60,MiningROItable[[#This Row],[Cargo]]/MiningROItable[[#This Row],[Total Time]]*60)</f>
        <v>15</v>
      </c>
      <c r="N56" s="34">
        <f>_xlfn.XLOOKUP(MiningROItable[[#This Row],[Planet '#]],tblplanetvalue[Planet '#],tblplanetvalue[Total Worth])</f>
        <v>3390000</v>
      </c>
      <c r="O56" s="35" t="str">
        <f>_xlfn.XLOOKUP(MiningROItable[[#This Row],[Planet '#]],tblplaneteco[Planet '#],tblplaneteco[Mining Rate Cost])</f>
        <v/>
      </c>
      <c r="P56" s="63" t="str">
        <f>_xlfn.XLOOKUP(MiningROItable[[#This Row],[Planet '#]],tblprogress[Planet '#],tblprogress[Total Time])</f>
        <v/>
      </c>
      <c r="Q56" s="14" t="str">
        <f>IF(
   _xlfn.XLOOKUP(MiningROItable[[#This Row],[Planet '#]], tblPlanets[Planet '#], tblPlanets[Name])=MiningROItable[[#This Row],[Name]],
   "Match",
   "Mismatch"
)</f>
        <v>Match</v>
      </c>
    </row>
    <row r="57" spans="1:17" x14ac:dyDescent="0.3">
      <c r="A57" s="25">
        <v>56</v>
      </c>
      <c r="B57" s="25" t="str">
        <f>_xlfn.XLOOKUP(tblprogress[[#This Row],[Planet '#]],tblPlanets[Planet '#],tblPlanets[Name])</f>
        <v>Elysium</v>
      </c>
      <c r="C57" s="25">
        <f>_xlfn.XLOOKUP(MiningROItable[[#This Row],[Mining Level]]+1,tblUpgradeStats[Level],tblUpgradeStats[Mining Speed])</f>
        <v>0.25</v>
      </c>
      <c r="D57" s="41">
        <f>IF(MiningROItable[[#This Row],[Mining Rate]]=0,0,MiningROItable[[#This Row],[Current Efficiency]]*MiningROItable[[#This Row],[Next Mining Rate]]/MiningROItable[[#This Row],[Mining Rate]])</f>
        <v>0</v>
      </c>
      <c r="E57" s="73">
        <f>IF(MiningROItable[[#This Row],[Future Deposit]] - MiningROItable[[#This Row],[Current Deposit]] &gt; 0, MiningROItable[[#This Row],[Future Deposit]] - MiningROItable[[#This Row],[Current Deposit]], 0)</f>
        <v>15</v>
      </c>
      <c r="F57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7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7" s="25">
        <f>_xlfn.XLOOKUP(MiningROItable[[#This Row],[Planet '#]],tblprogress[Planet '#],tblprogress[Mining Level])</f>
        <v>0</v>
      </c>
      <c r="I57" s="25">
        <f>_xlfn.XLOOKUP(MiningROItable[[#This Row],[Planet '#]],tblprogress[Planet '#],tblprogress[Mining Rate])</f>
        <v>0</v>
      </c>
      <c r="J57" s="28">
        <f>_xlfn.XLOOKUP(MiningROItable[[#This Row],[Planet '#]],tblprogress[Planet '#],tblprogress[Cargo])</f>
        <v>0</v>
      </c>
      <c r="K57" s="41">
        <f>_xlfn.XLOOKUP(MiningROItable[[#This Row],[Planet '#]],tblprogress[Planet '#],tblprogress[Efficiency],0)</f>
        <v>0</v>
      </c>
      <c r="L57" s="73">
        <f>IF(MiningROItable[[#This Row],[Current Efficiency]]&lt;=1,MiningROItable[[#This Row],[Mining Rate]]*60,MiningROItable[[#This Row],[Cargo]]/MiningROItable[[#This Row],[Total Time]]*60)</f>
        <v>0</v>
      </c>
      <c r="M57" s="73">
        <f>IF(MiningROItable[[#This Row],[Future Efficiency]]&lt;=1,MiningROItable[[#This Row],[Next Mining Rate]]*60,MiningROItable[[#This Row],[Cargo]]/MiningROItable[[#This Row],[Total Time]]*60)</f>
        <v>15</v>
      </c>
      <c r="N57" s="34">
        <f>_xlfn.XLOOKUP(MiningROItable[[#This Row],[Planet '#]],tblplanetvalue[Planet '#],tblplanetvalue[Total Worth])</f>
        <v>5604000</v>
      </c>
      <c r="O57" s="35" t="str">
        <f>_xlfn.XLOOKUP(MiningROItable[[#This Row],[Planet '#]],tblplaneteco[Planet '#],tblplaneteco[Mining Rate Cost])</f>
        <v/>
      </c>
      <c r="P57" s="63" t="str">
        <f>_xlfn.XLOOKUP(MiningROItable[[#This Row],[Planet '#]],tblprogress[Planet '#],tblprogress[Total Time])</f>
        <v/>
      </c>
      <c r="Q57" s="14" t="str">
        <f>IF(
   _xlfn.XLOOKUP(MiningROItable[[#This Row],[Planet '#]], tblPlanets[Planet '#], tblPlanets[Name])=MiningROItable[[#This Row],[Name]],
   "Match",
   "Mismatch"
)</f>
        <v>Match</v>
      </c>
    </row>
    <row r="58" spans="1:17" x14ac:dyDescent="0.3">
      <c r="A58" s="24">
        <v>57</v>
      </c>
      <c r="B58" s="24" t="str">
        <f>_xlfn.XLOOKUP(tblprogress[[#This Row],[Planet '#]],tblPlanets[Planet '#],tblPlanets[Name])</f>
        <v>Nyota</v>
      </c>
      <c r="C58" s="25">
        <f>_xlfn.XLOOKUP(MiningROItable[[#This Row],[Mining Level]]+1,tblUpgradeStats[Level],tblUpgradeStats[Mining Speed])</f>
        <v>0.25</v>
      </c>
      <c r="D58" s="41">
        <f>IF(MiningROItable[[#This Row],[Mining Rate]]=0,0,MiningROItable[[#This Row],[Current Efficiency]]*MiningROItable[[#This Row],[Next Mining Rate]]/MiningROItable[[#This Row],[Mining Rate]])</f>
        <v>0</v>
      </c>
      <c r="E58" s="73">
        <f>IF(MiningROItable[[#This Row],[Future Deposit]] - MiningROItable[[#This Row],[Current Deposit]] &gt; 0, MiningROItable[[#This Row],[Future Deposit]] - MiningROItable[[#This Row],[Current Deposit]], 0)</f>
        <v>15</v>
      </c>
      <c r="F58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8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8" s="25">
        <f>_xlfn.XLOOKUP(MiningROItable[[#This Row],[Planet '#]],tblprogress[Planet '#],tblprogress[Mining Level])</f>
        <v>0</v>
      </c>
      <c r="I58" s="25">
        <f>_xlfn.XLOOKUP(MiningROItable[[#This Row],[Planet '#]],tblprogress[Planet '#],tblprogress[Mining Rate])</f>
        <v>0</v>
      </c>
      <c r="J58" s="28">
        <f>_xlfn.XLOOKUP(MiningROItable[[#This Row],[Planet '#]],tblprogress[Planet '#],tblprogress[Cargo])</f>
        <v>0</v>
      </c>
      <c r="K58" s="41">
        <f>_xlfn.XLOOKUP(MiningROItable[[#This Row],[Planet '#]],tblprogress[Planet '#],tblprogress[Efficiency],0)</f>
        <v>0</v>
      </c>
      <c r="L58" s="73">
        <f>IF(MiningROItable[[#This Row],[Current Efficiency]]&lt;=1,MiningROItable[[#This Row],[Mining Rate]]*60,MiningROItable[[#This Row],[Cargo]]/MiningROItable[[#This Row],[Total Time]]*60)</f>
        <v>0</v>
      </c>
      <c r="M58" s="73">
        <f>IF(MiningROItable[[#This Row],[Future Efficiency]]&lt;=1,MiningROItable[[#This Row],[Next Mining Rate]]*60,MiningROItable[[#This Row],[Cargo]]/MiningROItable[[#This Row],[Total Time]]*60)</f>
        <v>15</v>
      </c>
      <c r="N58" s="34">
        <f>_xlfn.XLOOKUP(MiningROItable[[#This Row],[Planet '#]],tblplanetvalue[Planet '#],tblplanetvalue[Total Worth])</f>
        <v>9000000</v>
      </c>
      <c r="O58" s="35" t="str">
        <f>_xlfn.XLOOKUP(MiningROItable[[#This Row],[Planet '#]],tblplaneteco[Planet '#],tblplaneteco[Mining Rate Cost])</f>
        <v/>
      </c>
      <c r="P58" s="63" t="str">
        <f>_xlfn.XLOOKUP(MiningROItable[[#This Row],[Planet '#]],tblprogress[Planet '#],tblprogress[Total Time])</f>
        <v/>
      </c>
      <c r="Q58" s="14" t="str">
        <f>IF(
   _xlfn.XLOOKUP(MiningROItable[[#This Row],[Planet '#]], tblPlanets[Planet '#], tblPlanets[Name])=MiningROItable[[#This Row],[Name]],
   "Match",
   "Mismatch"
)</f>
        <v>Match</v>
      </c>
    </row>
    <row r="59" spans="1:17" x14ac:dyDescent="0.3">
      <c r="A59" s="25">
        <v>58</v>
      </c>
      <c r="B59" s="25" t="str">
        <f>_xlfn.XLOOKUP(tblprogress[[#This Row],[Planet '#]],tblPlanets[Planet '#],tblPlanets[Name])</f>
        <v>Doral</v>
      </c>
      <c r="C59" s="25">
        <f>_xlfn.XLOOKUP(MiningROItable[[#This Row],[Mining Level]]+1,tblUpgradeStats[Level],tblUpgradeStats[Mining Speed])</f>
        <v>0.25</v>
      </c>
      <c r="D59" s="41">
        <f>IF(MiningROItable[[#This Row],[Mining Rate]]=0,0,MiningROItable[[#This Row],[Current Efficiency]]*MiningROItable[[#This Row],[Next Mining Rate]]/MiningROItable[[#This Row],[Mining Rate]])</f>
        <v>0</v>
      </c>
      <c r="E59" s="73">
        <f>IF(MiningROItable[[#This Row],[Future Deposit]] - MiningROItable[[#This Row],[Current Deposit]] &gt; 0, MiningROItable[[#This Row],[Future Deposit]] - MiningROItable[[#This Row],[Current Deposit]], 0)</f>
        <v>15</v>
      </c>
      <c r="F59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59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59" s="25">
        <f>_xlfn.XLOOKUP(MiningROItable[[#This Row],[Planet '#]],tblprogress[Planet '#],tblprogress[Mining Level])</f>
        <v>0</v>
      </c>
      <c r="I59" s="25">
        <f>_xlfn.XLOOKUP(MiningROItable[[#This Row],[Planet '#]],tblprogress[Planet '#],tblprogress[Mining Rate])</f>
        <v>0</v>
      </c>
      <c r="J59" s="28">
        <f>_xlfn.XLOOKUP(MiningROItable[[#This Row],[Planet '#]],tblprogress[Planet '#],tblprogress[Cargo])</f>
        <v>0</v>
      </c>
      <c r="K59" s="41">
        <f>_xlfn.XLOOKUP(MiningROItable[[#This Row],[Planet '#]],tblprogress[Planet '#],tblprogress[Efficiency],0)</f>
        <v>0</v>
      </c>
      <c r="L59" s="73">
        <f>IF(MiningROItable[[#This Row],[Current Efficiency]]&lt;=1,MiningROItable[[#This Row],[Mining Rate]]*60,MiningROItable[[#This Row],[Cargo]]/MiningROItable[[#This Row],[Total Time]]*60)</f>
        <v>0</v>
      </c>
      <c r="M59" s="73">
        <f>IF(MiningROItable[[#This Row],[Future Efficiency]]&lt;=1,MiningROItable[[#This Row],[Next Mining Rate]]*60,MiningROItable[[#This Row],[Cargo]]/MiningROItable[[#This Row],[Total Time]]*60)</f>
        <v>15</v>
      </c>
      <c r="N59" s="34">
        <f>_xlfn.XLOOKUP(MiningROItable[[#This Row],[Planet '#]],tblplanetvalue[Planet '#],tblplanetvalue[Total Worth])</f>
        <v>10480000</v>
      </c>
      <c r="O59" s="35" t="str">
        <f>_xlfn.XLOOKUP(MiningROItable[[#This Row],[Planet '#]],tblplaneteco[Planet '#],tblplaneteco[Mining Rate Cost])</f>
        <v/>
      </c>
      <c r="P59" s="63" t="str">
        <f>_xlfn.XLOOKUP(MiningROItable[[#This Row],[Planet '#]],tblprogress[Planet '#],tblprogress[Total Time])</f>
        <v/>
      </c>
      <c r="Q59" s="14" t="str">
        <f>IF(
   _xlfn.XLOOKUP(MiningROItable[[#This Row],[Planet '#]], tblPlanets[Planet '#], tblPlanets[Name])=MiningROItable[[#This Row],[Name]],
   "Match",
   "Mismatch"
)</f>
        <v>Match</v>
      </c>
    </row>
    <row r="60" spans="1:17" x14ac:dyDescent="0.3">
      <c r="A60" s="24">
        <v>59</v>
      </c>
      <c r="B60" s="24" t="str">
        <f>_xlfn.XLOOKUP(tblprogress[[#This Row],[Planet '#]],tblPlanets[Planet '#],tblPlanets[Name])</f>
        <v>Nikara</v>
      </c>
      <c r="C60" s="25">
        <f>_xlfn.XLOOKUP(MiningROItable[[#This Row],[Mining Level]]+1,tblUpgradeStats[Level],tblUpgradeStats[Mining Speed])</f>
        <v>0.25</v>
      </c>
      <c r="D60" s="41">
        <f>IF(MiningROItable[[#This Row],[Mining Rate]]=0,0,MiningROItable[[#This Row],[Current Efficiency]]*MiningROItable[[#This Row],[Next Mining Rate]]/MiningROItable[[#This Row],[Mining Rate]])</f>
        <v>0</v>
      </c>
      <c r="E60" s="73">
        <f>IF(MiningROItable[[#This Row],[Future Deposit]] - MiningROItable[[#This Row],[Current Deposit]] &gt; 0, MiningROItable[[#This Row],[Future Deposit]] - MiningROItable[[#This Row],[Current Deposit]], 0)</f>
        <v>15</v>
      </c>
      <c r="F60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0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0" s="25">
        <f>_xlfn.XLOOKUP(MiningROItable[[#This Row],[Planet '#]],tblprogress[Planet '#],tblprogress[Mining Level])</f>
        <v>0</v>
      </c>
      <c r="I60" s="25">
        <f>_xlfn.XLOOKUP(MiningROItable[[#This Row],[Planet '#]],tblprogress[Planet '#],tblprogress[Mining Rate])</f>
        <v>0</v>
      </c>
      <c r="J60" s="28">
        <f>_xlfn.XLOOKUP(MiningROItable[[#This Row],[Planet '#]],tblprogress[Planet '#],tblprogress[Cargo])</f>
        <v>0</v>
      </c>
      <c r="K60" s="41">
        <f>_xlfn.XLOOKUP(MiningROItable[[#This Row],[Planet '#]],tblprogress[Planet '#],tblprogress[Efficiency],0)</f>
        <v>0</v>
      </c>
      <c r="L60" s="73">
        <f>IF(MiningROItable[[#This Row],[Current Efficiency]]&lt;=1,MiningROItable[[#This Row],[Mining Rate]]*60,MiningROItable[[#This Row],[Cargo]]/MiningROItable[[#This Row],[Total Time]]*60)</f>
        <v>0</v>
      </c>
      <c r="M60" s="73">
        <f>IF(MiningROItable[[#This Row],[Future Efficiency]]&lt;=1,MiningROItable[[#This Row],[Next Mining Rate]]*60,MiningROItable[[#This Row],[Cargo]]/MiningROItable[[#This Row],[Total Time]]*60)</f>
        <v>15</v>
      </c>
      <c r="N60" s="34">
        <f>_xlfn.XLOOKUP(MiningROItable[[#This Row],[Planet '#]],tblplanetvalue[Planet '#],tblplanetvalue[Total Worth])</f>
        <v>19975000</v>
      </c>
      <c r="O60" s="35" t="str">
        <f>_xlfn.XLOOKUP(MiningROItable[[#This Row],[Planet '#]],tblplaneteco[Planet '#],tblplaneteco[Mining Rate Cost])</f>
        <v/>
      </c>
      <c r="P60" s="63" t="str">
        <f>_xlfn.XLOOKUP(MiningROItable[[#This Row],[Planet '#]],tblprogress[Planet '#],tblprogress[Total Time])</f>
        <v/>
      </c>
      <c r="Q60" s="14" t="str">
        <f>IF(
   _xlfn.XLOOKUP(MiningROItable[[#This Row],[Planet '#]], tblPlanets[Planet '#], tblPlanets[Name])=MiningROItable[[#This Row],[Name]],
   "Match",
   "Mismatch"
)</f>
        <v>Match</v>
      </c>
    </row>
    <row r="61" spans="1:17" x14ac:dyDescent="0.3">
      <c r="A61" s="25">
        <v>60</v>
      </c>
      <c r="B61" s="25" t="str">
        <f>_xlfn.XLOOKUP(tblprogress[[#This Row],[Planet '#]],tblPlanets[Planet '#],tblPlanets[Name])</f>
        <v>Limbo</v>
      </c>
      <c r="C61" s="25">
        <f>_xlfn.XLOOKUP(MiningROItable[[#This Row],[Mining Level]]+1,tblUpgradeStats[Level],tblUpgradeStats[Mining Speed])</f>
        <v>0.25</v>
      </c>
      <c r="D61" s="41">
        <f>IF(MiningROItable[[#This Row],[Mining Rate]]=0,0,MiningROItable[[#This Row],[Current Efficiency]]*MiningROItable[[#This Row],[Next Mining Rate]]/MiningROItable[[#This Row],[Mining Rate]])</f>
        <v>0</v>
      </c>
      <c r="E61" s="73">
        <f>IF(MiningROItable[[#This Row],[Future Deposit]] - MiningROItable[[#This Row],[Current Deposit]] &gt; 0, MiningROItable[[#This Row],[Future Deposit]] - MiningROItable[[#This Row],[Current Deposit]], 0)</f>
        <v>15</v>
      </c>
      <c r="F61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1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1" s="25">
        <f>_xlfn.XLOOKUP(MiningROItable[[#This Row],[Planet '#]],tblprogress[Planet '#],tblprogress[Mining Level])</f>
        <v>0</v>
      </c>
      <c r="I61" s="25">
        <f>_xlfn.XLOOKUP(MiningROItable[[#This Row],[Planet '#]],tblprogress[Planet '#],tblprogress[Mining Rate])</f>
        <v>0</v>
      </c>
      <c r="J61" s="28">
        <f>_xlfn.XLOOKUP(MiningROItable[[#This Row],[Planet '#]],tblprogress[Planet '#],tblprogress[Cargo])</f>
        <v>0</v>
      </c>
      <c r="K61" s="41">
        <f>_xlfn.XLOOKUP(MiningROItable[[#This Row],[Planet '#]],tblprogress[Planet '#],tblprogress[Efficiency],0)</f>
        <v>0</v>
      </c>
      <c r="L61" s="73">
        <f>IF(MiningROItable[[#This Row],[Current Efficiency]]&lt;=1,MiningROItable[[#This Row],[Mining Rate]]*60,MiningROItable[[#This Row],[Cargo]]/MiningROItable[[#This Row],[Total Time]]*60)</f>
        <v>0</v>
      </c>
      <c r="M61" s="73">
        <f>IF(MiningROItable[[#This Row],[Future Efficiency]]&lt;=1,MiningROItable[[#This Row],[Next Mining Rate]]*60,MiningROItable[[#This Row],[Cargo]]/MiningROItable[[#This Row],[Total Time]]*60)</f>
        <v>15</v>
      </c>
      <c r="N61" s="34">
        <f>_xlfn.XLOOKUP(MiningROItable[[#This Row],[Planet '#]],tblplanetvalue[Planet '#],tblplanetvalue[Total Worth])</f>
        <v>28000000</v>
      </c>
      <c r="O61" s="35" t="str">
        <f>_xlfn.XLOOKUP(MiningROItable[[#This Row],[Planet '#]],tblplaneteco[Planet '#],tblplaneteco[Mining Rate Cost])</f>
        <v/>
      </c>
      <c r="P61" s="63" t="str">
        <f>_xlfn.XLOOKUP(MiningROItable[[#This Row],[Planet '#]],tblprogress[Planet '#],tblprogress[Total Time])</f>
        <v/>
      </c>
      <c r="Q61" s="14" t="str">
        <f>IF(
   _xlfn.XLOOKUP(MiningROItable[[#This Row],[Planet '#]], tblPlanets[Planet '#], tblPlanets[Name])=MiningROItable[[#This Row],[Name]],
   "Match",
   "Mismatch"
)</f>
        <v>Match</v>
      </c>
    </row>
    <row r="62" spans="1:17" x14ac:dyDescent="0.3">
      <c r="A62" s="24">
        <v>61</v>
      </c>
      <c r="B62" s="24" t="str">
        <f>_xlfn.XLOOKUP(tblprogress[[#This Row],[Planet '#]],tblPlanets[Planet '#],tblPlanets[Name])</f>
        <v>Bob</v>
      </c>
      <c r="C62" s="25">
        <f>_xlfn.XLOOKUP(MiningROItable[[#This Row],[Mining Level]]+1,tblUpgradeStats[Level],tblUpgradeStats[Mining Speed])</f>
        <v>0.25</v>
      </c>
      <c r="D62" s="41">
        <f>IF(MiningROItable[[#This Row],[Mining Rate]]=0,0,MiningROItable[[#This Row],[Current Efficiency]]*MiningROItable[[#This Row],[Next Mining Rate]]/MiningROItable[[#This Row],[Mining Rate]])</f>
        <v>0</v>
      </c>
      <c r="E62" s="73">
        <f>IF(MiningROItable[[#This Row],[Future Deposit]] - MiningROItable[[#This Row],[Current Deposit]] &gt; 0, MiningROItable[[#This Row],[Future Deposit]] - MiningROItable[[#This Row],[Current Deposit]], 0)</f>
        <v>15</v>
      </c>
      <c r="F62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2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2" s="25">
        <f>_xlfn.XLOOKUP(MiningROItable[[#This Row],[Planet '#]],tblprogress[Planet '#],tblprogress[Mining Level])</f>
        <v>0</v>
      </c>
      <c r="I62" s="25">
        <f>_xlfn.XLOOKUP(MiningROItable[[#This Row],[Planet '#]],tblprogress[Planet '#],tblprogress[Mining Rate])</f>
        <v>0</v>
      </c>
      <c r="J62" s="28">
        <f>_xlfn.XLOOKUP(MiningROItable[[#This Row],[Planet '#]],tblprogress[Planet '#],tblprogress[Cargo])</f>
        <v>0</v>
      </c>
      <c r="K62" s="41">
        <f>_xlfn.XLOOKUP(MiningROItable[[#This Row],[Planet '#]],tblprogress[Planet '#],tblprogress[Efficiency],0)</f>
        <v>0</v>
      </c>
      <c r="L62" s="73">
        <f>IF(MiningROItable[[#This Row],[Current Efficiency]]&lt;=1,MiningROItable[[#This Row],[Mining Rate]]*60,MiningROItable[[#This Row],[Cargo]]/MiningROItable[[#This Row],[Total Time]]*60)</f>
        <v>0</v>
      </c>
      <c r="M62" s="73">
        <f>IF(MiningROItable[[#This Row],[Future Efficiency]]&lt;=1,MiningROItable[[#This Row],[Next Mining Rate]]*60,MiningROItable[[#This Row],[Cargo]]/MiningROItable[[#This Row],[Total Time]]*60)</f>
        <v>15</v>
      </c>
      <c r="N62" s="34">
        <f>_xlfn.XLOOKUP(MiningROItable[[#This Row],[Planet '#]],tblplanetvalue[Planet '#],tblplanetvalue[Total Worth])</f>
        <v>46600000</v>
      </c>
      <c r="O62" s="35" t="str">
        <f>_xlfn.XLOOKUP(MiningROItable[[#This Row],[Planet '#]],tblplaneteco[Planet '#],tblplaneteco[Mining Rate Cost])</f>
        <v/>
      </c>
      <c r="P62" s="63" t="str">
        <f>_xlfn.XLOOKUP(MiningROItable[[#This Row],[Planet '#]],tblprogress[Planet '#],tblprogress[Total Time])</f>
        <v/>
      </c>
      <c r="Q62" s="14" t="str">
        <f>IF(
   _xlfn.XLOOKUP(MiningROItable[[#This Row],[Planet '#]], tblPlanets[Planet '#], tblPlanets[Name])=MiningROItable[[#This Row],[Name]],
   "Match",
   "Mismatch"
)</f>
        <v>Match</v>
      </c>
    </row>
    <row r="63" spans="1:17" x14ac:dyDescent="0.3">
      <c r="A63" s="25">
        <v>62</v>
      </c>
      <c r="B63" s="25" t="str">
        <f>_xlfn.XLOOKUP(tblprogress[[#This Row],[Planet '#]],tblPlanets[Planet '#],tblPlanets[Name])</f>
        <v>Midas</v>
      </c>
      <c r="C63" s="25">
        <f>_xlfn.XLOOKUP(MiningROItable[[#This Row],[Mining Level]]+1,tblUpgradeStats[Level],tblUpgradeStats[Mining Speed])</f>
        <v>0.25</v>
      </c>
      <c r="D63" s="41">
        <f>IF(MiningROItable[[#This Row],[Mining Rate]]=0,0,MiningROItable[[#This Row],[Current Efficiency]]*MiningROItable[[#This Row],[Next Mining Rate]]/MiningROItable[[#This Row],[Mining Rate]])</f>
        <v>0</v>
      </c>
      <c r="E63" s="73">
        <f>IF(MiningROItable[[#This Row],[Future Deposit]] - MiningROItable[[#This Row],[Current Deposit]] &gt; 0, MiningROItable[[#This Row],[Future Deposit]] - MiningROItable[[#This Row],[Current Deposit]], 0)</f>
        <v>15</v>
      </c>
      <c r="F63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3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3" s="25">
        <f>_xlfn.XLOOKUP(MiningROItable[[#This Row],[Planet '#]],tblprogress[Planet '#],tblprogress[Mining Level])</f>
        <v>0</v>
      </c>
      <c r="I63" s="25">
        <f>_xlfn.XLOOKUP(MiningROItable[[#This Row],[Planet '#]],tblprogress[Planet '#],tblprogress[Mining Rate])</f>
        <v>0</v>
      </c>
      <c r="J63" s="28">
        <f>_xlfn.XLOOKUP(MiningROItable[[#This Row],[Planet '#]],tblprogress[Planet '#],tblprogress[Cargo])</f>
        <v>0</v>
      </c>
      <c r="K63" s="41">
        <f>_xlfn.XLOOKUP(MiningROItable[[#This Row],[Planet '#]],tblprogress[Planet '#],tblprogress[Efficiency],0)</f>
        <v>0</v>
      </c>
      <c r="L63" s="73">
        <f>IF(MiningROItable[[#This Row],[Current Efficiency]]&lt;=1,MiningROItable[[#This Row],[Mining Rate]]*60,MiningROItable[[#This Row],[Cargo]]/MiningROItable[[#This Row],[Total Time]]*60)</f>
        <v>0</v>
      </c>
      <c r="M63" s="73">
        <f>IF(MiningROItable[[#This Row],[Future Efficiency]]&lt;=1,MiningROItable[[#This Row],[Next Mining Rate]]*60,MiningROItable[[#This Row],[Cargo]]/MiningROItable[[#This Row],[Total Time]]*60)</f>
        <v>15</v>
      </c>
      <c r="N63" s="34">
        <f>_xlfn.XLOOKUP(MiningROItable[[#This Row],[Planet '#]],tblplanetvalue[Planet '#],tblplanetvalue[Total Worth])</f>
        <v>50940000.000000007</v>
      </c>
      <c r="O63" s="35" t="str">
        <f>_xlfn.XLOOKUP(MiningROItable[[#This Row],[Planet '#]],tblplaneteco[Planet '#],tblplaneteco[Mining Rate Cost])</f>
        <v/>
      </c>
      <c r="P63" s="63" t="str">
        <f>_xlfn.XLOOKUP(MiningROItable[[#This Row],[Planet '#]],tblprogress[Planet '#],tblprogress[Total Time])</f>
        <v/>
      </c>
      <c r="Q63" s="14" t="str">
        <f>IF(
   _xlfn.XLOOKUP(MiningROItable[[#This Row],[Planet '#]], tblPlanets[Planet '#], tblPlanets[Name])=MiningROItable[[#This Row],[Name]],
   "Match",
   "Mismatch"
)</f>
        <v>Match</v>
      </c>
    </row>
    <row r="64" spans="1:17" x14ac:dyDescent="0.3">
      <c r="A64" s="24">
        <v>63</v>
      </c>
      <c r="B64" s="24" t="str">
        <f>_xlfn.XLOOKUP(tblprogress[[#This Row],[Planet '#]],tblPlanets[Planet '#],tblPlanets[Name])</f>
        <v>Antigone</v>
      </c>
      <c r="C64" s="25">
        <f>_xlfn.XLOOKUP(MiningROItable[[#This Row],[Mining Level]]+1,tblUpgradeStats[Level],tblUpgradeStats[Mining Speed])</f>
        <v>0.25</v>
      </c>
      <c r="D64" s="41">
        <f>IF(MiningROItable[[#This Row],[Mining Rate]]=0,0,MiningROItable[[#This Row],[Current Efficiency]]*MiningROItable[[#This Row],[Next Mining Rate]]/MiningROItable[[#This Row],[Mining Rate]])</f>
        <v>0</v>
      </c>
      <c r="E64" s="73">
        <f>IF(MiningROItable[[#This Row],[Future Deposit]] - MiningROItable[[#This Row],[Current Deposit]] &gt; 0, MiningROItable[[#This Row],[Future Deposit]] - MiningROItable[[#This Row],[Current Deposit]], 0)</f>
        <v>15</v>
      </c>
      <c r="F64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4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4" s="25">
        <f>_xlfn.XLOOKUP(MiningROItable[[#This Row],[Planet '#]],tblprogress[Planet '#],tblprogress[Mining Level])</f>
        <v>0</v>
      </c>
      <c r="I64" s="25">
        <f>_xlfn.XLOOKUP(MiningROItable[[#This Row],[Planet '#]],tblprogress[Planet '#],tblprogress[Mining Rate])</f>
        <v>0</v>
      </c>
      <c r="J64" s="28">
        <f>_xlfn.XLOOKUP(MiningROItable[[#This Row],[Planet '#]],tblprogress[Planet '#],tblprogress[Cargo])</f>
        <v>0</v>
      </c>
      <c r="K64" s="41">
        <f>_xlfn.XLOOKUP(MiningROItable[[#This Row],[Planet '#]],tblprogress[Planet '#],tblprogress[Efficiency],0)</f>
        <v>0</v>
      </c>
      <c r="L64" s="73">
        <f>IF(MiningROItable[[#This Row],[Current Efficiency]]&lt;=1,MiningROItable[[#This Row],[Mining Rate]]*60,MiningROItable[[#This Row],[Cargo]]/MiningROItable[[#This Row],[Total Time]]*60)</f>
        <v>0</v>
      </c>
      <c r="M64" s="73">
        <f>IF(MiningROItable[[#This Row],[Future Efficiency]]&lt;=1,MiningROItable[[#This Row],[Next Mining Rate]]*60,MiningROItable[[#This Row],[Cargo]]/MiningROItable[[#This Row],[Total Time]]*60)</f>
        <v>15</v>
      </c>
      <c r="N64" s="34">
        <f>_xlfn.XLOOKUP(MiningROItable[[#This Row],[Planet '#]],tblplanetvalue[Planet '#],tblplanetvalue[Total Worth])</f>
        <v>90000000</v>
      </c>
      <c r="O64" s="35" t="str">
        <f>_xlfn.XLOOKUP(MiningROItable[[#This Row],[Planet '#]],tblplaneteco[Planet '#],tblplaneteco[Mining Rate Cost])</f>
        <v/>
      </c>
      <c r="P64" s="63" t="str">
        <f>_xlfn.XLOOKUP(MiningROItable[[#This Row],[Planet '#]],tblprogress[Planet '#],tblprogress[Total Time])</f>
        <v/>
      </c>
      <c r="Q64" s="14" t="str">
        <f>IF(
   _xlfn.XLOOKUP(MiningROItable[[#This Row],[Planet '#]], tblPlanets[Planet '#], tblPlanets[Name])=MiningROItable[[#This Row],[Name]],
   "Match",
   "Mismatch"
)</f>
        <v>Match</v>
      </c>
    </row>
    <row r="65" spans="1:17" x14ac:dyDescent="0.3">
      <c r="A65" s="25">
        <v>64</v>
      </c>
      <c r="B65" s="25" t="str">
        <f>_xlfn.XLOOKUP(tblprogress[[#This Row],[Planet '#]],tblPlanets[Planet '#],tblPlanets[Name])</f>
        <v>Hecate</v>
      </c>
      <c r="C65" s="25">
        <f>_xlfn.XLOOKUP(MiningROItable[[#This Row],[Mining Level]]+1,tblUpgradeStats[Level],tblUpgradeStats[Mining Speed])</f>
        <v>0.25</v>
      </c>
      <c r="D65" s="41">
        <f>IF(MiningROItable[[#This Row],[Mining Rate]]=0,0,MiningROItable[[#This Row],[Current Efficiency]]*MiningROItable[[#This Row],[Next Mining Rate]]/MiningROItable[[#This Row],[Mining Rate]])</f>
        <v>0</v>
      </c>
      <c r="E65" s="73">
        <f>IF(MiningROItable[[#This Row],[Future Deposit]] - MiningROItable[[#This Row],[Current Deposit]] &gt; 0, MiningROItable[[#This Row],[Future Deposit]] - MiningROItable[[#This Row],[Current Deposit]], 0)</f>
        <v>15</v>
      </c>
      <c r="F65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5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5" s="25">
        <f>_xlfn.XLOOKUP(MiningROItable[[#This Row],[Planet '#]],tblprogress[Planet '#],tblprogress[Mining Level])</f>
        <v>0</v>
      </c>
      <c r="I65" s="25">
        <f>_xlfn.XLOOKUP(MiningROItable[[#This Row],[Planet '#]],tblprogress[Planet '#],tblprogress[Mining Rate])</f>
        <v>0</v>
      </c>
      <c r="J65" s="28">
        <f>_xlfn.XLOOKUP(MiningROItable[[#This Row],[Planet '#]],tblprogress[Planet '#],tblprogress[Cargo])</f>
        <v>0</v>
      </c>
      <c r="K65" s="41">
        <f>_xlfn.XLOOKUP(MiningROItable[[#This Row],[Planet '#]],tblprogress[Planet '#],tblprogress[Efficiency],0)</f>
        <v>0</v>
      </c>
      <c r="L65" s="73">
        <f>IF(MiningROItable[[#This Row],[Current Efficiency]]&lt;=1,MiningROItable[[#This Row],[Mining Rate]]*60,MiningROItable[[#This Row],[Cargo]]/MiningROItable[[#This Row],[Total Time]]*60)</f>
        <v>0</v>
      </c>
      <c r="M65" s="73">
        <f>IF(MiningROItable[[#This Row],[Future Efficiency]]&lt;=1,MiningROItable[[#This Row],[Next Mining Rate]]*60,MiningROItable[[#This Row],[Cargo]]/MiningROItable[[#This Row],[Total Time]]*60)</f>
        <v>15</v>
      </c>
      <c r="N65" s="34">
        <f>_xlfn.XLOOKUP(MiningROItable[[#This Row],[Planet '#]],tblplanetvalue[Planet '#],tblplanetvalue[Total Worth])</f>
        <v>127000000</v>
      </c>
      <c r="O65" s="35" t="str">
        <f>_xlfn.XLOOKUP(MiningROItable[[#This Row],[Planet '#]],tblplaneteco[Planet '#],tblplaneteco[Mining Rate Cost])</f>
        <v/>
      </c>
      <c r="P65" s="63" t="str">
        <f>_xlfn.XLOOKUP(MiningROItable[[#This Row],[Planet '#]],tblprogress[Planet '#],tblprogress[Total Time])</f>
        <v/>
      </c>
      <c r="Q65" s="14" t="str">
        <f>IF(
   _xlfn.XLOOKUP(MiningROItable[[#This Row],[Planet '#]], tblPlanets[Planet '#], tblPlanets[Name])=MiningROItable[[#This Row],[Name]],
   "Match",
   "Mismatch"
)</f>
        <v>Match</v>
      </c>
    </row>
    <row r="66" spans="1:17" x14ac:dyDescent="0.3">
      <c r="A66" s="24">
        <v>65</v>
      </c>
      <c r="B66" s="24" t="str">
        <f>_xlfn.XLOOKUP(tblprogress[[#This Row],[Planet '#]],tblPlanets[Planet '#],tblPlanets[Name])</f>
        <v>Sterop</v>
      </c>
      <c r="C66" s="25">
        <f>_xlfn.XLOOKUP(MiningROItable[[#This Row],[Mining Level]]+1,tblUpgradeStats[Level],tblUpgradeStats[Mining Speed])</f>
        <v>0.25</v>
      </c>
      <c r="D66" s="41">
        <f>IF(MiningROItable[[#This Row],[Mining Rate]]=0,0,MiningROItable[[#This Row],[Current Efficiency]]*MiningROItable[[#This Row],[Next Mining Rate]]/MiningROItable[[#This Row],[Mining Rate]])</f>
        <v>0</v>
      </c>
      <c r="E66" s="73">
        <f>IF(MiningROItable[[#This Row],[Future Deposit]] - MiningROItable[[#This Row],[Current Deposit]] &gt; 0, MiningROItable[[#This Row],[Future Deposit]] - MiningROItable[[#This Row],[Current Deposit]], 0)</f>
        <v>15</v>
      </c>
      <c r="F66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6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6" s="25">
        <f>_xlfn.XLOOKUP(MiningROItable[[#This Row],[Planet '#]],tblprogress[Planet '#],tblprogress[Mining Level])</f>
        <v>0</v>
      </c>
      <c r="I66" s="25">
        <f>_xlfn.XLOOKUP(MiningROItable[[#This Row],[Planet '#]],tblprogress[Planet '#],tblprogress[Mining Rate])</f>
        <v>0</v>
      </c>
      <c r="J66" s="28">
        <f>_xlfn.XLOOKUP(MiningROItable[[#This Row],[Planet '#]],tblprogress[Planet '#],tblprogress[Cargo])</f>
        <v>0</v>
      </c>
      <c r="K66" s="41">
        <f>_xlfn.XLOOKUP(MiningROItable[[#This Row],[Planet '#]],tblprogress[Planet '#],tblprogress[Efficiency],0)</f>
        <v>0</v>
      </c>
      <c r="L66" s="73">
        <f>IF(MiningROItable[[#This Row],[Current Efficiency]]&lt;=1,MiningROItable[[#This Row],[Mining Rate]]*60,MiningROItable[[#This Row],[Cargo]]/MiningROItable[[#This Row],[Total Time]]*60)</f>
        <v>0</v>
      </c>
      <c r="M66" s="73">
        <f>IF(MiningROItable[[#This Row],[Future Efficiency]]&lt;=1,MiningROItable[[#This Row],[Next Mining Rate]]*60,MiningROItable[[#This Row],[Cargo]]/MiningROItable[[#This Row],[Total Time]]*60)</f>
        <v>15</v>
      </c>
      <c r="N66" s="34">
        <f>_xlfn.XLOOKUP(MiningROItable[[#This Row],[Planet '#]],tblplanetvalue[Planet '#],tblplanetvalue[Total Worth])</f>
        <v>199800000</v>
      </c>
      <c r="O66" s="35" t="str">
        <f>_xlfn.XLOOKUP(MiningROItable[[#This Row],[Planet '#]],tblplaneteco[Planet '#],tblplaneteco[Mining Rate Cost])</f>
        <v/>
      </c>
      <c r="P66" s="63" t="str">
        <f>_xlfn.XLOOKUP(MiningROItable[[#This Row],[Planet '#]],tblprogress[Planet '#],tblprogress[Total Time])</f>
        <v/>
      </c>
      <c r="Q66" s="14" t="str">
        <f>IF(
   _xlfn.XLOOKUP(MiningROItable[[#This Row],[Planet '#]], tblPlanets[Planet '#], tblPlanets[Name])=MiningROItable[[#This Row],[Name]],
   "Match",
   "Mismatch"
)</f>
        <v>Match</v>
      </c>
    </row>
    <row r="67" spans="1:17" x14ac:dyDescent="0.3">
      <c r="A67" s="25">
        <v>66</v>
      </c>
      <c r="B67" s="25" t="str">
        <f>_xlfn.XLOOKUP(tblprogress[[#This Row],[Planet '#]],tblPlanets[Planet '#],tblPlanets[Name])</f>
        <v>Lavinia</v>
      </c>
      <c r="C67" s="25">
        <f>_xlfn.XLOOKUP(MiningROItable[[#This Row],[Mining Level]]+1,tblUpgradeStats[Level],tblUpgradeStats[Mining Speed])</f>
        <v>0.25</v>
      </c>
      <c r="D67" s="41">
        <f>IF(MiningROItable[[#This Row],[Mining Rate]]=0,0,MiningROItable[[#This Row],[Current Efficiency]]*MiningROItable[[#This Row],[Next Mining Rate]]/MiningROItable[[#This Row],[Mining Rate]])</f>
        <v>0</v>
      </c>
      <c r="E67" s="73">
        <f>IF(MiningROItable[[#This Row],[Future Deposit]] - MiningROItable[[#This Row],[Current Deposit]] &gt; 0, MiningROItable[[#This Row],[Future Deposit]] - MiningROItable[[#This Row],[Current Deposit]], 0)</f>
        <v>15</v>
      </c>
      <c r="F67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7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7" s="25">
        <f>_xlfn.XLOOKUP(MiningROItable[[#This Row],[Planet '#]],tblprogress[Planet '#],tblprogress[Mining Level])</f>
        <v>0</v>
      </c>
      <c r="I67" s="25">
        <f>_xlfn.XLOOKUP(MiningROItable[[#This Row],[Planet '#]],tblprogress[Planet '#],tblprogress[Mining Rate])</f>
        <v>0</v>
      </c>
      <c r="J67" s="28">
        <f>_xlfn.XLOOKUP(MiningROItable[[#This Row],[Planet '#]],tblprogress[Planet '#],tblprogress[Cargo])</f>
        <v>0</v>
      </c>
      <c r="K67" s="41">
        <f>_xlfn.XLOOKUP(MiningROItable[[#This Row],[Planet '#]],tblprogress[Planet '#],tblprogress[Efficiency],0)</f>
        <v>0</v>
      </c>
      <c r="L67" s="73">
        <f>IF(MiningROItable[[#This Row],[Current Efficiency]]&lt;=1,MiningROItable[[#This Row],[Mining Rate]]*60,MiningROItable[[#This Row],[Cargo]]/MiningROItable[[#This Row],[Total Time]]*60)</f>
        <v>0</v>
      </c>
      <c r="M67" s="73">
        <f>IF(MiningROItable[[#This Row],[Future Efficiency]]&lt;=1,MiningROItable[[#This Row],[Next Mining Rate]]*60,MiningROItable[[#This Row],[Cargo]]/MiningROItable[[#This Row],[Total Time]]*60)</f>
        <v>15</v>
      </c>
      <c r="N67" s="34">
        <f>_xlfn.XLOOKUP(MiningROItable[[#This Row],[Planet '#]],tblplanetvalue[Planet '#],tblplanetvalue[Total Worth])</f>
        <v>300000000</v>
      </c>
      <c r="O67" s="35" t="str">
        <f>_xlfn.XLOOKUP(MiningROItable[[#This Row],[Planet '#]],tblplaneteco[Planet '#],tblplaneteco[Mining Rate Cost])</f>
        <v/>
      </c>
      <c r="P67" s="63" t="str">
        <f>_xlfn.XLOOKUP(MiningROItable[[#This Row],[Planet '#]],tblprogress[Planet '#],tblprogress[Total Time])</f>
        <v/>
      </c>
      <c r="Q67" s="14" t="str">
        <f>IF(
   _xlfn.XLOOKUP(MiningROItable[[#This Row],[Planet '#]], tblPlanets[Planet '#], tblPlanets[Name])=MiningROItable[[#This Row],[Name]],
   "Match",
   "Mismatch"
)</f>
        <v>Match</v>
      </c>
    </row>
    <row r="68" spans="1:17" x14ac:dyDescent="0.3">
      <c r="A68" s="24">
        <v>67</v>
      </c>
      <c r="B68" s="24" t="str">
        <f>_xlfn.XLOOKUP(tblprogress[[#This Row],[Planet '#]],tblPlanets[Planet '#],tblPlanets[Name])</f>
        <v>Ren</v>
      </c>
      <c r="C68" s="25">
        <f>_xlfn.XLOOKUP(MiningROItable[[#This Row],[Mining Level]]+1,tblUpgradeStats[Level],tblUpgradeStats[Mining Speed])</f>
        <v>0.25</v>
      </c>
      <c r="D68" s="41">
        <f>IF(MiningROItable[[#This Row],[Mining Rate]]=0,0,MiningROItable[[#This Row],[Current Efficiency]]*MiningROItable[[#This Row],[Next Mining Rate]]/MiningROItable[[#This Row],[Mining Rate]])</f>
        <v>0</v>
      </c>
      <c r="E68" s="73">
        <f>IF(MiningROItable[[#This Row],[Future Deposit]] - MiningROItable[[#This Row],[Current Deposit]] &gt; 0, MiningROItable[[#This Row],[Future Deposit]] - MiningROItable[[#This Row],[Current Deposit]], 0)</f>
        <v>15</v>
      </c>
      <c r="F68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8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8" s="25">
        <f>_xlfn.XLOOKUP(MiningROItable[[#This Row],[Planet '#]],tblprogress[Planet '#],tblprogress[Mining Level])</f>
        <v>0</v>
      </c>
      <c r="I68" s="25">
        <f>_xlfn.XLOOKUP(MiningROItable[[#This Row],[Planet '#]],tblprogress[Planet '#],tblprogress[Mining Rate])</f>
        <v>0</v>
      </c>
      <c r="J68" s="28">
        <f>_xlfn.XLOOKUP(MiningROItable[[#This Row],[Planet '#]],tblprogress[Planet '#],tblprogress[Cargo])</f>
        <v>0</v>
      </c>
      <c r="K68" s="41">
        <f>_xlfn.XLOOKUP(MiningROItable[[#This Row],[Planet '#]],tblprogress[Planet '#],tblprogress[Efficiency],0)</f>
        <v>0</v>
      </c>
      <c r="L68" s="73">
        <f>IF(MiningROItable[[#This Row],[Current Efficiency]]&lt;=1,MiningROItable[[#This Row],[Mining Rate]]*60,MiningROItable[[#This Row],[Cargo]]/MiningROItable[[#This Row],[Total Time]]*60)</f>
        <v>0</v>
      </c>
      <c r="M68" s="73">
        <f>IF(MiningROItable[[#This Row],[Future Efficiency]]&lt;=1,MiningROItable[[#This Row],[Next Mining Rate]]*60,MiningROItable[[#This Row],[Cargo]]/MiningROItable[[#This Row],[Total Time]]*60)</f>
        <v>15</v>
      </c>
      <c r="N68" s="34">
        <f>_xlfn.XLOOKUP(MiningROItable[[#This Row],[Planet '#]],tblplanetvalue[Planet '#],tblplanetvalue[Total Worth])</f>
        <v>338000000</v>
      </c>
      <c r="O68" s="35" t="str">
        <f>_xlfn.XLOOKUP(MiningROItable[[#This Row],[Planet '#]],tblplaneteco[Planet '#],tblplaneteco[Mining Rate Cost])</f>
        <v/>
      </c>
      <c r="P68" s="63" t="str">
        <f>_xlfn.XLOOKUP(MiningROItable[[#This Row],[Planet '#]],tblprogress[Planet '#],tblprogress[Total Time])</f>
        <v/>
      </c>
      <c r="Q68" s="14" t="str">
        <f>IF(
   _xlfn.XLOOKUP(MiningROItable[[#This Row],[Planet '#]], tblPlanets[Planet '#], tblPlanets[Name])=MiningROItable[[#This Row],[Name]],
   "Match",
   "Mismatch"
)</f>
        <v>Match</v>
      </c>
    </row>
    <row r="69" spans="1:17" x14ac:dyDescent="0.3">
      <c r="A69" s="25">
        <v>68</v>
      </c>
      <c r="B69" s="25" t="str">
        <f>_xlfn.XLOOKUP(tblprogress[[#This Row],[Planet '#]],tblPlanets[Planet '#],tblPlanets[Name])</f>
        <v>Gorgons</v>
      </c>
      <c r="C69" s="25">
        <f>_xlfn.XLOOKUP(MiningROItable[[#This Row],[Mining Level]]+1,tblUpgradeStats[Level],tblUpgradeStats[Mining Speed])</f>
        <v>0.25</v>
      </c>
      <c r="D69" s="41">
        <f>IF(MiningROItable[[#This Row],[Mining Rate]]=0,0,MiningROItable[[#This Row],[Current Efficiency]]*MiningROItable[[#This Row],[Next Mining Rate]]/MiningROItable[[#This Row],[Mining Rate]])</f>
        <v>0</v>
      </c>
      <c r="E69" s="73">
        <f>IF(MiningROItable[[#This Row],[Future Deposit]] - MiningROItable[[#This Row],[Current Deposit]] &gt; 0, MiningROItable[[#This Row],[Future Deposit]] - MiningROItable[[#This Row],[Current Deposit]], 0)</f>
        <v>15</v>
      </c>
      <c r="F69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69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69" s="25">
        <f>_xlfn.XLOOKUP(MiningROItable[[#This Row],[Planet '#]],tblprogress[Planet '#],tblprogress[Mining Level])</f>
        <v>0</v>
      </c>
      <c r="I69" s="25">
        <f>_xlfn.XLOOKUP(MiningROItable[[#This Row],[Planet '#]],tblprogress[Planet '#],tblprogress[Mining Rate])</f>
        <v>0</v>
      </c>
      <c r="J69" s="28">
        <f>_xlfn.XLOOKUP(MiningROItable[[#This Row],[Planet '#]],tblprogress[Planet '#],tblprogress[Cargo])</f>
        <v>0</v>
      </c>
      <c r="K69" s="41">
        <f>_xlfn.XLOOKUP(MiningROItable[[#This Row],[Planet '#]],tblprogress[Planet '#],tblprogress[Efficiency],0)</f>
        <v>0</v>
      </c>
      <c r="L69" s="73">
        <f>IF(MiningROItable[[#This Row],[Current Efficiency]]&lt;=1,MiningROItable[[#This Row],[Mining Rate]]*60,MiningROItable[[#This Row],[Cargo]]/MiningROItable[[#This Row],[Total Time]]*60)</f>
        <v>0</v>
      </c>
      <c r="M69" s="73">
        <f>IF(MiningROItable[[#This Row],[Future Efficiency]]&lt;=1,MiningROItable[[#This Row],[Next Mining Rate]]*60,MiningROItable[[#This Row],[Cargo]]/MiningROItable[[#This Row],[Total Time]]*60)</f>
        <v>15</v>
      </c>
      <c r="N69" s="34">
        <f>_xlfn.XLOOKUP(MiningROItable[[#This Row],[Planet '#]],tblplanetvalue[Planet '#],tblplanetvalue[Total Worth])</f>
        <v>671200000</v>
      </c>
      <c r="O69" s="35" t="str">
        <f>_xlfn.XLOOKUP(MiningROItable[[#This Row],[Planet '#]],tblplaneteco[Planet '#],tblplaneteco[Mining Rate Cost])</f>
        <v/>
      </c>
      <c r="P69" s="63" t="str">
        <f>_xlfn.XLOOKUP(MiningROItable[[#This Row],[Planet '#]],tblprogress[Planet '#],tblprogress[Total Time])</f>
        <v/>
      </c>
      <c r="Q69" s="14" t="str">
        <f>IF(
   _xlfn.XLOOKUP(MiningROItable[[#This Row],[Planet '#]], tblPlanets[Planet '#], tblPlanets[Name])=MiningROItable[[#This Row],[Name]],
   "Match",
   "Mismatch"
)</f>
        <v>Match</v>
      </c>
    </row>
    <row r="70" spans="1:17" x14ac:dyDescent="0.3">
      <c r="A70" s="24">
        <v>69</v>
      </c>
      <c r="B70" s="24" t="str">
        <f>_xlfn.XLOOKUP(tblprogress[[#This Row],[Planet '#]],tblPlanets[Planet '#],tblPlanets[Name])</f>
        <v>Pontus</v>
      </c>
      <c r="C70" s="25">
        <f>_xlfn.XLOOKUP(MiningROItable[[#This Row],[Mining Level]]+1,tblUpgradeStats[Level],tblUpgradeStats[Mining Speed])</f>
        <v>0.25</v>
      </c>
      <c r="D70" s="41">
        <f>IF(MiningROItable[[#This Row],[Mining Rate]]=0,0,MiningROItable[[#This Row],[Current Efficiency]]*MiningROItable[[#This Row],[Next Mining Rate]]/MiningROItable[[#This Row],[Mining Rate]])</f>
        <v>0</v>
      </c>
      <c r="E70" s="73">
        <f>IF(MiningROItable[[#This Row],[Future Deposit]] - MiningROItable[[#This Row],[Current Deposit]] &gt; 0, MiningROItable[[#This Row],[Future Deposit]] - MiningROItable[[#This Row],[Current Deposit]], 0)</f>
        <v>15</v>
      </c>
      <c r="F70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0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0" s="25">
        <f>_xlfn.XLOOKUP(MiningROItable[[#This Row],[Planet '#]],tblprogress[Planet '#],tblprogress[Mining Level])</f>
        <v>0</v>
      </c>
      <c r="I70" s="25">
        <f>_xlfn.XLOOKUP(MiningROItable[[#This Row],[Planet '#]],tblprogress[Planet '#],tblprogress[Mining Rate])</f>
        <v>0</v>
      </c>
      <c r="J70" s="28">
        <f>_xlfn.XLOOKUP(MiningROItable[[#This Row],[Planet '#]],tblprogress[Planet '#],tblprogress[Cargo])</f>
        <v>0</v>
      </c>
      <c r="K70" s="41">
        <f>_xlfn.XLOOKUP(MiningROItable[[#This Row],[Planet '#]],tblprogress[Planet '#],tblprogress[Efficiency],0)</f>
        <v>0</v>
      </c>
      <c r="L70" s="73">
        <f>IF(MiningROItable[[#This Row],[Current Efficiency]]&lt;=1,MiningROItable[[#This Row],[Mining Rate]]*60,MiningROItable[[#This Row],[Cargo]]/MiningROItable[[#This Row],[Total Time]]*60)</f>
        <v>0</v>
      </c>
      <c r="M70" s="73">
        <f>IF(MiningROItable[[#This Row],[Future Efficiency]]&lt;=1,MiningROItable[[#This Row],[Next Mining Rate]]*60,MiningROItable[[#This Row],[Cargo]]/MiningROItable[[#This Row],[Total Time]]*60)</f>
        <v>15</v>
      </c>
      <c r="N70" s="34">
        <f>_xlfn.XLOOKUP(MiningROItable[[#This Row],[Planet '#]],tblplanetvalue[Planet '#],tblplanetvalue[Total Worth])</f>
        <v>940000000</v>
      </c>
      <c r="O70" s="35" t="str">
        <f>_xlfn.XLOOKUP(MiningROItable[[#This Row],[Planet '#]],tblplaneteco[Planet '#],tblplaneteco[Mining Rate Cost])</f>
        <v/>
      </c>
      <c r="P70" s="63" t="str">
        <f>_xlfn.XLOOKUP(MiningROItable[[#This Row],[Planet '#]],tblprogress[Planet '#],tblprogress[Total Time])</f>
        <v/>
      </c>
      <c r="Q70" s="14" t="str">
        <f>IF(
   _xlfn.XLOOKUP(MiningROItable[[#This Row],[Planet '#]], tblPlanets[Planet '#], tblPlanets[Name])=MiningROItable[[#This Row],[Name]],
   "Match",
   "Mismatch"
)</f>
        <v>Match</v>
      </c>
    </row>
    <row r="71" spans="1:17" x14ac:dyDescent="0.3">
      <c r="A71" s="25">
        <v>70</v>
      </c>
      <c r="B71" s="25" t="str">
        <f>_xlfn.XLOOKUP(tblprogress[[#This Row],[Planet '#]],tblPlanets[Planet '#],tblPlanets[Name])</f>
        <v>Leto</v>
      </c>
      <c r="C71" s="25">
        <f>_xlfn.XLOOKUP(MiningROItable[[#This Row],[Mining Level]]+1,tblUpgradeStats[Level],tblUpgradeStats[Mining Speed])</f>
        <v>0.25</v>
      </c>
      <c r="D71" s="41">
        <f>IF(MiningROItable[[#This Row],[Mining Rate]]=0,0,MiningROItable[[#This Row],[Current Efficiency]]*MiningROItable[[#This Row],[Next Mining Rate]]/MiningROItable[[#This Row],[Mining Rate]])</f>
        <v>0</v>
      </c>
      <c r="E71" s="73">
        <f>IF(MiningROItable[[#This Row],[Future Deposit]] - MiningROItable[[#This Row],[Current Deposit]] &gt; 0, MiningROItable[[#This Row],[Future Deposit]] - MiningROItable[[#This Row],[Current Deposit]], 0)</f>
        <v>15</v>
      </c>
      <c r="F71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1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1" s="25">
        <f>_xlfn.XLOOKUP(MiningROItable[[#This Row],[Planet '#]],tblprogress[Planet '#],tblprogress[Mining Level])</f>
        <v>0</v>
      </c>
      <c r="I71" s="25">
        <f>_xlfn.XLOOKUP(MiningROItable[[#This Row],[Planet '#]],tblprogress[Planet '#],tblprogress[Mining Rate])</f>
        <v>0</v>
      </c>
      <c r="J71" s="28">
        <f>_xlfn.XLOOKUP(MiningROItable[[#This Row],[Planet '#]],tblprogress[Planet '#],tblprogress[Cargo])</f>
        <v>0</v>
      </c>
      <c r="K71" s="41">
        <f>_xlfn.XLOOKUP(MiningROItable[[#This Row],[Planet '#]],tblprogress[Planet '#],tblprogress[Efficiency],0)</f>
        <v>0</v>
      </c>
      <c r="L71" s="73">
        <f>IF(MiningROItable[[#This Row],[Current Efficiency]]&lt;=1,MiningROItable[[#This Row],[Mining Rate]]*60,MiningROItable[[#This Row],[Cargo]]/MiningROItable[[#This Row],[Total Time]]*60)</f>
        <v>0</v>
      </c>
      <c r="M71" s="73">
        <f>IF(MiningROItable[[#This Row],[Future Efficiency]]&lt;=1,MiningROItable[[#This Row],[Next Mining Rate]]*60,MiningROItable[[#This Row],[Cargo]]/MiningROItable[[#This Row],[Total Time]]*60)</f>
        <v>15</v>
      </c>
      <c r="N71" s="34">
        <f>_xlfn.XLOOKUP(MiningROItable[[#This Row],[Planet '#]],tblplanetvalue[Planet '#],tblplanetvalue[Total Worth])</f>
        <v>1100000000</v>
      </c>
      <c r="O71" s="35" t="str">
        <f>_xlfn.XLOOKUP(MiningROItable[[#This Row],[Planet '#]],tblplaneteco[Planet '#],tblplaneteco[Mining Rate Cost])</f>
        <v/>
      </c>
      <c r="P71" s="63" t="str">
        <f>_xlfn.XLOOKUP(MiningROItable[[#This Row],[Planet '#]],tblprogress[Planet '#],tblprogress[Total Time])</f>
        <v/>
      </c>
      <c r="Q71" s="14" t="str">
        <f>IF(
   _xlfn.XLOOKUP(MiningROItable[[#This Row],[Planet '#]], tblPlanets[Planet '#], tblPlanets[Name])=MiningROItable[[#This Row],[Name]],
   "Match",
   "Mismatch"
)</f>
        <v>Match</v>
      </c>
    </row>
    <row r="72" spans="1:17" x14ac:dyDescent="0.3">
      <c r="A72" s="24">
        <v>71</v>
      </c>
      <c r="B72" s="24" t="str">
        <f>_xlfn.XLOOKUP(tblprogress[[#This Row],[Planet '#]],tblPlanets[Planet '#],tblPlanets[Name])</f>
        <v>Laconia</v>
      </c>
      <c r="C72" s="25">
        <f>_xlfn.XLOOKUP(MiningROItable[[#This Row],[Mining Level]]+1,tblUpgradeStats[Level],tblUpgradeStats[Mining Speed])</f>
        <v>0.25</v>
      </c>
      <c r="D72" s="41">
        <f>IF(MiningROItable[[#This Row],[Mining Rate]]=0,0,MiningROItable[[#This Row],[Current Efficiency]]*MiningROItable[[#This Row],[Next Mining Rate]]/MiningROItable[[#This Row],[Mining Rate]])</f>
        <v>0</v>
      </c>
      <c r="E72" s="73">
        <f>IF(MiningROItable[[#This Row],[Future Deposit]] - MiningROItable[[#This Row],[Current Deposit]] &gt; 0, MiningROItable[[#This Row],[Future Deposit]] - MiningROItable[[#This Row],[Current Deposit]], 0)</f>
        <v>15</v>
      </c>
      <c r="F72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2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2" s="25">
        <f>_xlfn.XLOOKUP(MiningROItable[[#This Row],[Planet '#]],tblprogress[Planet '#],tblprogress[Mining Level])</f>
        <v>0</v>
      </c>
      <c r="I72" s="25">
        <f>_xlfn.XLOOKUP(MiningROItable[[#This Row],[Planet '#]],tblprogress[Planet '#],tblprogress[Mining Rate])</f>
        <v>0</v>
      </c>
      <c r="J72" s="28">
        <f>_xlfn.XLOOKUP(MiningROItable[[#This Row],[Planet '#]],tblprogress[Planet '#],tblprogress[Cargo])</f>
        <v>0</v>
      </c>
      <c r="K72" s="41">
        <f>_xlfn.XLOOKUP(MiningROItable[[#This Row],[Planet '#]],tblprogress[Planet '#],tblprogress[Efficiency],0)</f>
        <v>0</v>
      </c>
      <c r="L72" s="73">
        <f>IF(MiningROItable[[#This Row],[Current Efficiency]]&lt;=1,MiningROItable[[#This Row],[Mining Rate]]*60,MiningROItable[[#This Row],[Cargo]]/MiningROItable[[#This Row],[Total Time]]*60)</f>
        <v>0</v>
      </c>
      <c r="M72" s="73">
        <f>IF(MiningROItable[[#This Row],[Future Efficiency]]&lt;=1,MiningROItable[[#This Row],[Next Mining Rate]]*60,MiningROItable[[#This Row],[Cargo]]/MiningROItable[[#This Row],[Total Time]]*60)</f>
        <v>15</v>
      </c>
      <c r="N72" s="34">
        <f>_xlfn.XLOOKUP(MiningROItable[[#This Row],[Planet '#]],tblplanetvalue[Planet '#],tblplanetvalue[Total Worth])</f>
        <v>1420000000</v>
      </c>
      <c r="O72" s="35" t="str">
        <f>_xlfn.XLOOKUP(MiningROItable[[#This Row],[Planet '#]],tblplaneteco[Planet '#],tblplaneteco[Mining Rate Cost])</f>
        <v/>
      </c>
      <c r="P72" s="63" t="str">
        <f>_xlfn.XLOOKUP(MiningROItable[[#This Row],[Planet '#]],tblprogress[Planet '#],tblprogress[Total Time])</f>
        <v/>
      </c>
      <c r="Q72" s="14" t="str">
        <f>IF(
   _xlfn.XLOOKUP(MiningROItable[[#This Row],[Planet '#]], tblPlanets[Planet '#], tblPlanets[Name])=MiningROItable[[#This Row],[Name]],
   "Match",
   "Mismatch"
)</f>
        <v>Match</v>
      </c>
    </row>
    <row r="73" spans="1:17" x14ac:dyDescent="0.3">
      <c r="A73" s="25">
        <v>72</v>
      </c>
      <c r="B73" s="25" t="str">
        <f>_xlfn.XLOOKUP(tblprogress[[#This Row],[Planet '#]],tblPlanets[Planet '#],tblPlanets[Name])</f>
        <v>Awohali</v>
      </c>
      <c r="C73" s="25">
        <f>_xlfn.XLOOKUP(MiningROItable[[#This Row],[Mining Level]]+1,tblUpgradeStats[Level],tblUpgradeStats[Mining Speed])</f>
        <v>0.25</v>
      </c>
      <c r="D73" s="41">
        <f>IF(MiningROItable[[#This Row],[Mining Rate]]=0,0,MiningROItable[[#This Row],[Current Efficiency]]*MiningROItable[[#This Row],[Next Mining Rate]]/MiningROItable[[#This Row],[Mining Rate]])</f>
        <v>0</v>
      </c>
      <c r="E73" s="73">
        <f>IF(MiningROItable[[#This Row],[Future Deposit]] - MiningROItable[[#This Row],[Current Deposit]] &gt; 0, MiningROItable[[#This Row],[Future Deposit]] - MiningROItable[[#This Row],[Current Deposit]], 0)</f>
        <v>15</v>
      </c>
      <c r="F73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3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3" s="25">
        <f>_xlfn.XLOOKUP(MiningROItable[[#This Row],[Planet '#]],tblprogress[Planet '#],tblprogress[Mining Level])</f>
        <v>0</v>
      </c>
      <c r="I73" s="25">
        <f>_xlfn.XLOOKUP(MiningROItable[[#This Row],[Planet '#]],tblprogress[Planet '#],tblprogress[Mining Rate])</f>
        <v>0</v>
      </c>
      <c r="J73" s="28">
        <f>_xlfn.XLOOKUP(MiningROItable[[#This Row],[Planet '#]],tblprogress[Planet '#],tblprogress[Cargo])</f>
        <v>0</v>
      </c>
      <c r="K73" s="41">
        <f>_xlfn.XLOOKUP(MiningROItable[[#This Row],[Planet '#]],tblprogress[Planet '#],tblprogress[Efficiency],0)</f>
        <v>0</v>
      </c>
      <c r="L73" s="73">
        <f>IF(MiningROItable[[#This Row],[Current Efficiency]]&lt;=1,MiningROItable[[#This Row],[Mining Rate]]*60,MiningROItable[[#This Row],[Cargo]]/MiningROItable[[#This Row],[Total Time]]*60)</f>
        <v>0</v>
      </c>
      <c r="M73" s="73">
        <f>IF(MiningROItable[[#This Row],[Future Efficiency]]&lt;=1,MiningROItable[[#This Row],[Next Mining Rate]]*60,MiningROItable[[#This Row],[Cargo]]/MiningROItable[[#This Row],[Total Time]]*60)</f>
        <v>15</v>
      </c>
      <c r="N73" s="34">
        <f>_xlfn.XLOOKUP(MiningROItable[[#This Row],[Planet '#]],tblplanetvalue[Planet '#],tblplanetvalue[Total Worth])</f>
        <v>3037000000</v>
      </c>
      <c r="O73" s="35" t="str">
        <f>_xlfn.XLOOKUP(MiningROItable[[#This Row],[Planet '#]],tblplaneteco[Planet '#],tblplaneteco[Mining Rate Cost])</f>
        <v/>
      </c>
      <c r="P73" s="63" t="str">
        <f>_xlfn.XLOOKUP(MiningROItable[[#This Row],[Planet '#]],tblprogress[Planet '#],tblprogress[Total Time])</f>
        <v/>
      </c>
      <c r="Q73" s="14" t="str">
        <f>IF(
   _xlfn.XLOOKUP(MiningROItable[[#This Row],[Planet '#]], tblPlanets[Planet '#], tblPlanets[Name])=MiningROItable[[#This Row],[Name]],
   "Match",
   "Mismatch"
)</f>
        <v>Match</v>
      </c>
    </row>
    <row r="74" spans="1:17" x14ac:dyDescent="0.3">
      <c r="A74" s="24">
        <v>73</v>
      </c>
      <c r="B74" s="24" t="str">
        <f>_xlfn.XLOOKUP(tblprogress[[#This Row],[Planet '#]],tblPlanets[Planet '#],tblPlanets[Name])</f>
        <v>Pegasi</v>
      </c>
      <c r="C74" s="25">
        <f>_xlfn.XLOOKUP(MiningROItable[[#This Row],[Mining Level]]+1,tblUpgradeStats[Level],tblUpgradeStats[Mining Speed])</f>
        <v>0.25</v>
      </c>
      <c r="D74" s="41">
        <f>IF(MiningROItable[[#This Row],[Mining Rate]]=0,0,MiningROItable[[#This Row],[Current Efficiency]]*MiningROItable[[#This Row],[Next Mining Rate]]/MiningROItable[[#This Row],[Mining Rate]])</f>
        <v>0</v>
      </c>
      <c r="E74" s="73">
        <f>IF(MiningROItable[[#This Row],[Future Deposit]] - MiningROItable[[#This Row],[Current Deposit]] &gt; 0, MiningROItable[[#This Row],[Future Deposit]] - MiningROItable[[#This Row],[Current Deposit]], 0)</f>
        <v>15</v>
      </c>
      <c r="F74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4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4" s="25">
        <f>_xlfn.XLOOKUP(MiningROItable[[#This Row],[Planet '#]],tblprogress[Planet '#],tblprogress[Mining Level])</f>
        <v>0</v>
      </c>
      <c r="I74" s="25">
        <f>_xlfn.XLOOKUP(MiningROItable[[#This Row],[Planet '#]],tblprogress[Planet '#],tblprogress[Mining Rate])</f>
        <v>0</v>
      </c>
      <c r="J74" s="28">
        <f>_xlfn.XLOOKUP(MiningROItable[[#This Row],[Planet '#]],tblprogress[Planet '#],tblprogress[Cargo])</f>
        <v>0</v>
      </c>
      <c r="K74" s="41">
        <f>_xlfn.XLOOKUP(MiningROItable[[#This Row],[Planet '#]],tblprogress[Planet '#],tblprogress[Efficiency],0)</f>
        <v>0</v>
      </c>
      <c r="L74" s="73">
        <f>IF(MiningROItable[[#This Row],[Current Efficiency]]&lt;=1,MiningROItable[[#This Row],[Mining Rate]]*60,MiningROItable[[#This Row],[Cargo]]/MiningROItable[[#This Row],[Total Time]]*60)</f>
        <v>0</v>
      </c>
      <c r="M74" s="73">
        <f>IF(MiningROItable[[#This Row],[Future Efficiency]]&lt;=1,MiningROItable[[#This Row],[Next Mining Rate]]*60,MiningROItable[[#This Row],[Cargo]]/MiningROItable[[#This Row],[Total Time]]*60)</f>
        <v>15</v>
      </c>
      <c r="N74" s="34">
        <f>_xlfn.XLOOKUP(MiningROItable[[#This Row],[Planet '#]],tblplanetvalue[Planet '#],tblplanetvalue[Total Worth])</f>
        <v>4300000000</v>
      </c>
      <c r="O74" s="35" t="str">
        <f>_xlfn.XLOOKUP(MiningROItable[[#This Row],[Planet '#]],tblplaneteco[Planet '#],tblplaneteco[Mining Rate Cost])</f>
        <v/>
      </c>
      <c r="P74" s="63" t="str">
        <f>_xlfn.XLOOKUP(MiningROItable[[#This Row],[Planet '#]],tblprogress[Planet '#],tblprogress[Total Time])</f>
        <v/>
      </c>
      <c r="Q74" s="14" t="str">
        <f>IF(
   _xlfn.XLOOKUP(MiningROItable[[#This Row],[Planet '#]], tblPlanets[Planet '#], tblPlanets[Name])=MiningROItable[[#This Row],[Name]],
   "Match",
   "Mismatch"
)</f>
        <v>Match</v>
      </c>
    </row>
    <row r="75" spans="1:17" x14ac:dyDescent="0.3">
      <c r="A75" s="25">
        <v>74</v>
      </c>
      <c r="B75" s="25" t="str">
        <f>_xlfn.XLOOKUP(tblprogress[[#This Row],[Planet '#]],tblPlanets[Planet '#],tblPlanets[Name])</f>
        <v>Typhon</v>
      </c>
      <c r="C75" s="25">
        <f>_xlfn.XLOOKUP(MiningROItable[[#This Row],[Mining Level]]+1,tblUpgradeStats[Level],tblUpgradeStats[Mining Speed])</f>
        <v>0.25</v>
      </c>
      <c r="D75" s="41">
        <f>IF(MiningROItable[[#This Row],[Mining Rate]]=0,0,MiningROItable[[#This Row],[Current Efficiency]]*MiningROItable[[#This Row],[Next Mining Rate]]/MiningROItable[[#This Row],[Mining Rate]])</f>
        <v>0</v>
      </c>
      <c r="E75" s="73">
        <f>IF(MiningROItable[[#This Row],[Future Deposit]] - MiningROItable[[#This Row],[Current Deposit]] &gt; 0, MiningROItable[[#This Row],[Future Deposit]] - MiningROItable[[#This Row],[Current Deposit]], 0)</f>
        <v>15</v>
      </c>
      <c r="F75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5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5" s="25">
        <f>_xlfn.XLOOKUP(MiningROItable[[#This Row],[Planet '#]],tblprogress[Planet '#],tblprogress[Mining Level])</f>
        <v>0</v>
      </c>
      <c r="I75" s="25">
        <f>_xlfn.XLOOKUP(MiningROItable[[#This Row],[Planet '#]],tblprogress[Planet '#],tblprogress[Mining Rate])</f>
        <v>0</v>
      </c>
      <c r="J75" s="28">
        <f>_xlfn.XLOOKUP(MiningROItable[[#This Row],[Planet '#]],tblprogress[Planet '#],tblprogress[Cargo])</f>
        <v>0</v>
      </c>
      <c r="K75" s="41">
        <f>_xlfn.XLOOKUP(MiningROItable[[#This Row],[Planet '#]],tblprogress[Planet '#],tblprogress[Efficiency],0)</f>
        <v>0</v>
      </c>
      <c r="L75" s="73">
        <f>IF(MiningROItable[[#This Row],[Current Efficiency]]&lt;=1,MiningROItable[[#This Row],[Mining Rate]]*60,MiningROItable[[#This Row],[Cargo]]/MiningROItable[[#This Row],[Total Time]]*60)</f>
        <v>0</v>
      </c>
      <c r="M75" s="73">
        <f>IF(MiningROItable[[#This Row],[Future Efficiency]]&lt;=1,MiningROItable[[#This Row],[Next Mining Rate]]*60,MiningROItable[[#This Row],[Cargo]]/MiningROItable[[#This Row],[Total Time]]*60)</f>
        <v>15</v>
      </c>
      <c r="N75" s="34">
        <f>_xlfn.XLOOKUP(MiningROItable[[#This Row],[Planet '#]],tblplanetvalue[Planet '#],tblplanetvalue[Total Worth])</f>
        <v>9780000000</v>
      </c>
      <c r="O75" s="35" t="str">
        <f>_xlfn.XLOOKUP(MiningROItable[[#This Row],[Planet '#]],tblplaneteco[Planet '#],tblplaneteco[Mining Rate Cost])</f>
        <v/>
      </c>
      <c r="P75" s="63" t="str">
        <f>_xlfn.XLOOKUP(MiningROItable[[#This Row],[Planet '#]],tblprogress[Planet '#],tblprogress[Total Time])</f>
        <v/>
      </c>
      <c r="Q75" s="14" t="str">
        <f>IF(
   _xlfn.XLOOKUP(MiningROItable[[#This Row],[Planet '#]], tblPlanets[Planet '#], tblPlanets[Name])=MiningROItable[[#This Row],[Name]],
   "Match",
   "Mismatch"
)</f>
        <v>Match</v>
      </c>
    </row>
    <row r="76" spans="1:17" x14ac:dyDescent="0.3">
      <c r="A76" s="24">
        <v>75</v>
      </c>
      <c r="B76" s="24" t="str">
        <f>_xlfn.XLOOKUP(tblprogress[[#This Row],[Planet '#]],tblPlanets[Planet '#],tblPlanets[Name])</f>
        <v>Surtur</v>
      </c>
      <c r="C76" s="25">
        <f>_xlfn.XLOOKUP(MiningROItable[[#This Row],[Mining Level]]+1,tblUpgradeStats[Level],tblUpgradeStats[Mining Speed])</f>
        <v>0.25</v>
      </c>
      <c r="D76" s="41">
        <f>IF(MiningROItable[[#This Row],[Mining Rate]]=0,0,MiningROItable[[#This Row],[Current Efficiency]]*MiningROItable[[#This Row],[Next Mining Rate]]/MiningROItable[[#This Row],[Mining Rate]])</f>
        <v>0</v>
      </c>
      <c r="E76" s="73">
        <f>IF(MiningROItable[[#This Row],[Future Deposit]] - MiningROItable[[#This Row],[Current Deposit]] &gt; 0, MiningROItable[[#This Row],[Future Deposit]] - MiningROItable[[#This Row],[Current Deposit]], 0)</f>
        <v>15</v>
      </c>
      <c r="F76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6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6" s="25">
        <f>_xlfn.XLOOKUP(MiningROItable[[#This Row],[Planet '#]],tblprogress[Planet '#],tblprogress[Mining Level])</f>
        <v>0</v>
      </c>
      <c r="I76" s="25">
        <f>_xlfn.XLOOKUP(MiningROItable[[#This Row],[Planet '#]],tblprogress[Planet '#],tblprogress[Mining Rate])</f>
        <v>0</v>
      </c>
      <c r="J76" s="28">
        <f>_xlfn.XLOOKUP(MiningROItable[[#This Row],[Planet '#]],tblprogress[Planet '#],tblprogress[Cargo])</f>
        <v>0</v>
      </c>
      <c r="K76" s="41">
        <f>_xlfn.XLOOKUP(MiningROItable[[#This Row],[Planet '#]],tblprogress[Planet '#],tblprogress[Efficiency],0)</f>
        <v>0</v>
      </c>
      <c r="L76" s="73">
        <f>IF(MiningROItable[[#This Row],[Current Efficiency]]&lt;=1,MiningROItable[[#This Row],[Mining Rate]]*60,MiningROItable[[#This Row],[Cargo]]/MiningROItable[[#This Row],[Total Time]]*60)</f>
        <v>0</v>
      </c>
      <c r="M76" s="73">
        <f>IF(MiningROItable[[#This Row],[Future Efficiency]]&lt;=1,MiningROItable[[#This Row],[Next Mining Rate]]*60,MiningROItable[[#This Row],[Cargo]]/MiningROItable[[#This Row],[Total Time]]*60)</f>
        <v>15</v>
      </c>
      <c r="N76" s="34">
        <f>_xlfn.XLOOKUP(MiningROItable[[#This Row],[Planet '#]],tblplanetvalue[Planet '#],tblplanetvalue[Total Worth])</f>
        <v>12930000000</v>
      </c>
      <c r="O76" s="35" t="str">
        <f>_xlfn.XLOOKUP(MiningROItable[[#This Row],[Planet '#]],tblplaneteco[Planet '#],tblplaneteco[Mining Rate Cost])</f>
        <v/>
      </c>
      <c r="P76" s="63" t="str">
        <f>_xlfn.XLOOKUP(MiningROItable[[#This Row],[Planet '#]],tblprogress[Planet '#],tblprogress[Total Time])</f>
        <v/>
      </c>
      <c r="Q76" s="14" t="str">
        <f>IF(
   _xlfn.XLOOKUP(MiningROItable[[#This Row],[Planet '#]], tblPlanets[Planet '#], tblPlanets[Name])=MiningROItable[[#This Row],[Name]],
   "Match",
   "Mismatch"
)</f>
        <v>Match</v>
      </c>
    </row>
    <row r="77" spans="1:17" x14ac:dyDescent="0.3">
      <c r="A77" s="27">
        <v>76</v>
      </c>
      <c r="B77" s="27" t="str">
        <f>_xlfn.XLOOKUP(tblprogress[[#This Row],[Planet '#]],tblPlanets[Planet '#],tblPlanets[Name])</f>
        <v>Vesta</v>
      </c>
      <c r="C77" s="27">
        <f>_xlfn.XLOOKUP(MiningROItable[[#This Row],[Mining Level]]+1,tblUpgradeStats[Level],tblUpgradeStats[Mining Speed])</f>
        <v>0.25</v>
      </c>
      <c r="D77" s="42">
        <f>IF(MiningROItable[[#This Row],[Mining Rate]]=0,0,MiningROItable[[#This Row],[Current Efficiency]]*MiningROItable[[#This Row],[Next Mining Rate]]/MiningROItable[[#This Row],[Mining Rate]])</f>
        <v>0</v>
      </c>
      <c r="E77" s="74">
        <f>IF(MiningROItable[[#This Row],[Future Deposit]] - MiningROItable[[#This Row],[Current Deposit]] &gt; 0, MiningROItable[[#This Row],[Future Deposit]] - MiningROItable[[#This Row],[Current Deposit]], 0)</f>
        <v>15</v>
      </c>
      <c r="F77" s="47" t="str">
        <f>IF(OR(MiningROItable[[#This Row],[Upgrade Mining Cost]]="",MiningROItable[[#This Row],[Deposit Increase]]=0),"",(MiningROItable[[#This Row],[Deposit Increase]]*MiningROItable[[#This Row],[Planet Worth]]*3600)/MiningROItable[[#This Row],[Upgrade Mining Cost]])</f>
        <v/>
      </c>
      <c r="G77" s="47" t="str">
        <f>IF(OR(MiningROItable[[#This Row],[Future Efficiency]]="",MiningROItable[[#This Row],[Planet Worth]]="",MiningROItable[[#This Row],[Upgrade Mining Cost]]=""),"",
   IF(MiningROItable[[#This Row],[Future Efficiency]]&lt;=1,
      IF((MiningROItable[[#This Row],[Next Mining Rate]]-MiningROItable[[#This Row],[Mining Rate]])=0,"",
         MiningROItable[[#This Row],[Upgrade Mining Cost]]/((MiningROItable[[#This Row],[Next Mining Rate]]-MiningROItable[[#This Row],[Mining Rate]])*MiningROItable[[#This Row],[Planet Worth]])),
      IF(OR(MiningROItable[[#This Row],[Deposit Increase]]=0,MiningROItable[[#This Row],[Total Time]]="",MiningROItable[[#This Row],[Total Time]]=0),"",
         MiningROItable[[#This Row],[Upgrade Mining Cost]]/((MiningROItable[[#This Row],[Deposit Increase]]*MiningROItable[[#This Row],[Planet Worth]])/MiningROItable[[#This Row],[Total Time]]))
   )
)</f>
        <v/>
      </c>
      <c r="H77" s="27">
        <f>_xlfn.XLOOKUP(MiningROItable[[#This Row],[Planet '#]],tblprogress[Planet '#],tblprogress[Mining Level])</f>
        <v>0</v>
      </c>
      <c r="I77" s="27">
        <f>_xlfn.XLOOKUP(MiningROItable[[#This Row],[Planet '#]],tblprogress[Planet '#],tblprogress[Mining Rate])</f>
        <v>0</v>
      </c>
      <c r="J77" s="14">
        <f>_xlfn.XLOOKUP(MiningROItable[[#This Row],[Planet '#]],tblprogress[Planet '#],tblprogress[Cargo])</f>
        <v>0</v>
      </c>
      <c r="K77" s="42">
        <f>_xlfn.XLOOKUP(MiningROItable[[#This Row],[Planet '#]],tblprogress[Planet '#],tblprogress[Efficiency],0)</f>
        <v>0</v>
      </c>
      <c r="L77" s="74">
        <f>IF(MiningROItable[[#This Row],[Current Efficiency]]&lt;=1,MiningROItable[[#This Row],[Mining Rate]]*60,MiningROItable[[#This Row],[Cargo]]/MiningROItable[[#This Row],[Total Time]]*60)</f>
        <v>0</v>
      </c>
      <c r="M77" s="74">
        <f>IF(MiningROItable[[#This Row],[Future Efficiency]]&lt;=1,MiningROItable[[#This Row],[Next Mining Rate]]*60,MiningROItable[[#This Row],[Cargo]]/MiningROItable[[#This Row],[Total Time]]*60)</f>
        <v>15</v>
      </c>
      <c r="N77" s="34">
        <f>_xlfn.XLOOKUP(MiningROItable[[#This Row],[Planet '#]],tblplanetvalue[Planet '#],tblplanetvalue[Total Worth])</f>
        <v>18000000000</v>
      </c>
      <c r="O77" s="36" t="str">
        <f>_xlfn.XLOOKUP(MiningROItable[[#This Row],[Planet '#]],tblplaneteco[Planet '#],tblplaneteco[Mining Rate Cost])</f>
        <v/>
      </c>
      <c r="P77" s="63" t="str">
        <f>_xlfn.XLOOKUP(MiningROItable[[#This Row],[Planet '#]],tblprogress[Planet '#],tblprogress[Total Time])</f>
        <v/>
      </c>
      <c r="Q77" s="14" t="str">
        <f>IF(
   _xlfn.XLOOKUP(MiningROItable[[#This Row],[Planet '#]], tblPlanets[Planet '#], tblPlanets[Name])=MiningROItable[[#This Row],[Name]],
   "Match",
   "Mismatch"
)</f>
        <v>Match</v>
      </c>
    </row>
  </sheetData>
  <phoneticPr fontId="3" type="noConversion"/>
  <conditionalFormatting sqref="A2:Q77">
    <cfRule type="expression" dxfId="94" priority="17">
      <formula>$Q2 = "mismatch"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7D47-C716-4F3D-B534-B16E4BFD2D63}">
  <sheetPr codeName="Sheet10"/>
  <dimension ref="A1:S77"/>
  <sheetViews>
    <sheetView workbookViewId="0">
      <selection activeCell="S1" sqref="H1:S1048576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19.21875" style="51" bestFit="1" customWidth="1"/>
    <col min="4" max="4" width="15" bestFit="1" customWidth="1"/>
    <col min="5" max="5" width="19.33203125" customWidth="1"/>
    <col min="6" max="6" width="10.21875" customWidth="1"/>
    <col min="7" max="7" width="14.44140625" customWidth="1"/>
    <col min="8" max="8" width="15.5546875" style="39" hidden="1" customWidth="1"/>
    <col min="9" max="10" width="15" style="51" hidden="1" customWidth="1"/>
    <col min="11" max="11" width="10.21875" style="39" hidden="1" customWidth="1"/>
    <col min="12" max="12" width="19.6640625" style="51" hidden="1" customWidth="1"/>
    <col min="13" max="14" width="18.5546875" style="51" hidden="1" customWidth="1"/>
    <col min="15" max="15" width="18.5546875" style="37" hidden="1" customWidth="1"/>
    <col min="16" max="16" width="23.88671875" style="48" hidden="1" customWidth="1"/>
    <col min="17" max="18" width="14" style="48" hidden="1" customWidth="1"/>
    <col min="19" max="19" width="12.44140625" hidden="1" customWidth="1"/>
  </cols>
  <sheetData>
    <row r="1" spans="1:19" x14ac:dyDescent="0.3">
      <c r="A1" s="26" t="s">
        <v>0</v>
      </c>
      <c r="B1" s="26" t="s">
        <v>155</v>
      </c>
      <c r="C1" s="26" t="s">
        <v>182</v>
      </c>
      <c r="D1" s="38" t="s">
        <v>206</v>
      </c>
      <c r="E1" s="50" t="s">
        <v>207</v>
      </c>
      <c r="F1" s="46" t="s">
        <v>178</v>
      </c>
      <c r="G1" s="46" t="s">
        <v>187</v>
      </c>
      <c r="H1" s="26" t="s">
        <v>181</v>
      </c>
      <c r="I1" s="26" t="s">
        <v>151</v>
      </c>
      <c r="J1" s="26" t="s">
        <v>158</v>
      </c>
      <c r="K1" s="26" t="s">
        <v>159</v>
      </c>
      <c r="L1" s="38" t="s">
        <v>208</v>
      </c>
      <c r="M1" s="50" t="s">
        <v>179</v>
      </c>
      <c r="N1" s="50" t="s">
        <v>180</v>
      </c>
      <c r="O1" s="33" t="s">
        <v>209</v>
      </c>
      <c r="P1" s="33" t="s">
        <v>183</v>
      </c>
      <c r="Q1" s="62" t="s">
        <v>165</v>
      </c>
      <c r="R1" s="62" t="s">
        <v>230</v>
      </c>
      <c r="S1" s="26" t="s">
        <v>176</v>
      </c>
    </row>
    <row r="2" spans="1:19" x14ac:dyDescent="0.3">
      <c r="A2" s="24">
        <v>1</v>
      </c>
      <c r="B2" s="24" t="str">
        <f>_xlfn.XLOOKUP(tblprogress[[#This Row],[Planet '#]],tblPlanets[Planet '#],tblPlanets[Name])</f>
        <v>Balor</v>
      </c>
      <c r="C2" s="43">
        <f>_xlfn.XLOOKUP(SpeedROI[[#This Row],[Speed Level]]+1,tblUpgradeStats[Level],tblUpgradeStats[Ship Speed])</f>
        <v>7</v>
      </c>
      <c r="D2" s="41">
        <f>IFERROR(SpeedROI[[#This Row],[Current Efficiency]]*(SpeedROI[[#This Row],[Ship Speed]]/SpeedROI[[#This Row],[Next Ship Speed]]),0)</f>
        <v>0.41645641952983736</v>
      </c>
      <c r="E2" s="60">
        <f>SpeedROI[[#This Row],[Future Deposit]]-SpeedROI[[#This Row],[Current Deposit]]</f>
        <v>0</v>
      </c>
      <c r="F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" s="28">
        <f>_xlfn.XLOOKUP(SpeedROI[[#This Row],[Planet '#]],tblprogress[Planet '#],tblprogress[Ship Level])</f>
        <v>15</v>
      </c>
      <c r="I2" s="43">
        <f>_xlfn.XLOOKUP(SpeedROI[[#This Row],[Planet '#]],tblprogress[Planet '#],tblprogress[Ship Speed])</f>
        <v>6.413333333333334</v>
      </c>
      <c r="J2" s="75">
        <f>_xlfn.XLOOKUP(SpeedROI[[#This Row],[Planet '#]],tblprogress[Planet '#],tblprogress[Mining Rate])</f>
        <v>17.447000000000003</v>
      </c>
      <c r="K2" s="28">
        <f>_xlfn.XLOOKUP(SpeedROI[[#This Row],[Planet '#]],tblprogress[Planet '#],tblprogress[Cargo])</f>
        <v>79</v>
      </c>
      <c r="L2" s="41">
        <f>_xlfn.XLOOKUP(SpeedROI[[#This Row],[Planet '#]],tblprogress[Planet '#],tblprogress[Efficiency],0)</f>
        <v>0.45455222505855425</v>
      </c>
      <c r="M2" s="73">
        <f>IF(SpeedROI[[#This Row],[Current Efficiency]]&lt;=1,SpeedROI[[#This Row],[Mining Rate]]*60,SpeedROI[[#This Row],[Cargo]]/SpeedROI[[#This Row],[Total Time]]*60)</f>
        <v>1046.8200000000002</v>
      </c>
      <c r="N2" s="73">
        <f>IF(SpeedROI[[#This Row],[Future Efficiency]]&lt;=1,SpeedROI[[#This Row],[Mining Rate]]*60,SpeedROI[[#This Row],[Cargo]]/SpeedROI[[#This Row],[New Time]]*60)</f>
        <v>1046.8200000000002</v>
      </c>
      <c r="O2" s="34">
        <f>_xlfn.XLOOKUP(SpeedROI[[#This Row],[Planet '#]],tblplanetvalue[Planet '#],tblplanetvalue[Total Worth])</f>
        <v>1</v>
      </c>
      <c r="P2" s="34">
        <f>_xlfn.XLOOKUP(SpeedROI[[#This Row],[Planet '#]],tblplaneteco[Planet '#],tblplaneteco[Ship Speed Cost])</f>
        <v>197</v>
      </c>
      <c r="Q2" s="63">
        <f>_xlfn.XLOOKUP(SpeedROI[[#This Row],[Planet '#]],tblprogress[Planet '#],tblprogress[Total Time])</f>
        <v>2.058212058212058</v>
      </c>
      <c r="R2" s="63">
        <f>IF(SpeedROI[[#This Row],[Current Deposit]]&gt;0,SpeedROI[[#This Row],[Total Time]]*SpeedROI[[#This Row],[Ship Speed]]/SpeedROI[[#This Row],[Next Ship Speed]],"")</f>
        <v>1.8857142857142857</v>
      </c>
      <c r="S2" s="14" t="str">
        <f>IF(
   _xlfn.XLOOKUP(SpeedROI[[#This Row],[Planet '#]], tblPlanets[Planet '#], tblPlanets[Name])=SpeedROI[[#This Row],[Name]],
   "Match",
   "Mismatch"
)</f>
        <v>Match</v>
      </c>
    </row>
    <row r="3" spans="1:19" x14ac:dyDescent="0.3">
      <c r="A3" s="25">
        <v>2</v>
      </c>
      <c r="B3" s="25" t="str">
        <f>_xlfn.XLOOKUP(tblprogress[[#This Row],[Planet '#]],tblPlanets[Planet '#],tblPlanets[Name])</f>
        <v>Drasta</v>
      </c>
      <c r="C3" s="44">
        <f>_xlfn.XLOOKUP(SpeedROI[[#This Row],[Speed Level]]+1,tblUpgradeStats[Level],tblUpgradeStats[Ship Speed])</f>
        <v>5.8533333333333335</v>
      </c>
      <c r="D3" s="41">
        <f>IFERROR(SpeedROI[[#This Row],[Current Efficiency]]*(SpeedROI[[#This Row],[Ship Speed]]/SpeedROI[[#This Row],[Next Ship Speed]]),0)</f>
        <v>0.5575338973858337</v>
      </c>
      <c r="E3" s="60">
        <f>SpeedROI[[#This Row],[Future Deposit]]-SpeedROI[[#This Row],[Current Deposit]]</f>
        <v>0</v>
      </c>
      <c r="F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" s="25">
        <f>_xlfn.XLOOKUP(SpeedROI[[#This Row],[Planet '#]],tblprogress[Planet '#],tblprogress[Ship Level])</f>
        <v>13</v>
      </c>
      <c r="I3" s="44">
        <f>_xlfn.XLOOKUP(SpeedROI[[#This Row],[Planet '#]],tblprogress[Planet '#],tblprogress[Ship Speed])</f>
        <v>5.32</v>
      </c>
      <c r="J3" s="75">
        <f>_xlfn.XLOOKUP(SpeedROI[[#This Row],[Planet '#]],tblprogress[Planet '#],tblprogress[Mining Rate])</f>
        <v>15.343</v>
      </c>
      <c r="K3" s="28">
        <f>_xlfn.XLOOKUP(SpeedROI[[#This Row],[Planet '#]],tblprogress[Planet '#],tblprogress[Cargo])</f>
        <v>63</v>
      </c>
      <c r="L3" s="41">
        <f>_xlfn.XLOOKUP(SpeedROI[[#This Row],[Planet '#]],tblprogress[Planet '#],tblprogress[Efficiency],0)</f>
        <v>0.61342701993077942</v>
      </c>
      <c r="M3" s="73">
        <f>IF(SpeedROI[[#This Row],[Current Efficiency]]&lt;=1,SpeedROI[[#This Row],[Mining Rate]]*60,SpeedROI[[#This Row],[Cargo]]/SpeedROI[[#This Row],[Total Time]]*60)</f>
        <v>920.58</v>
      </c>
      <c r="N3" s="73">
        <f>IF(SpeedROI[[#This Row],[Future Efficiency]]&lt;=1,SpeedROI[[#This Row],[Mining Rate]]*60,SpeedROI[[#This Row],[Cargo]]/SpeedROI[[#This Row],[New Time]]*60)</f>
        <v>920.58</v>
      </c>
      <c r="O3" s="34">
        <f>_xlfn.XLOOKUP(SpeedROI[[#This Row],[Planet '#]],tblplanetvalue[Planet '#],tblplanetvalue[Total Worth])</f>
        <v>1.2000000000000002</v>
      </c>
      <c r="P3" s="35">
        <f>_xlfn.XLOOKUP(SpeedROI[[#This Row],[Planet '#]],tblplaneteco[Planet '#],tblplaneteco[Ship Speed Cost])</f>
        <v>233</v>
      </c>
      <c r="Q3" s="63">
        <f>_xlfn.XLOOKUP(SpeedROI[[#This Row],[Planet '#]],tblprogress[Planet '#],tblprogress[Total Time])</f>
        <v>2.518796992481203</v>
      </c>
      <c r="R3" s="63">
        <f>IF(SpeedROI[[#This Row],[Current Deposit]]&gt;0,SpeedROI[[#This Row],[Total Time]]*SpeedROI[[#This Row],[Ship Speed]]/SpeedROI[[#This Row],[Next Ship Speed]],"")</f>
        <v>2.2892938496583142</v>
      </c>
      <c r="S3" s="14" t="str">
        <f>IF(
   _xlfn.XLOOKUP(SpeedROI[[#This Row],[Planet '#]], tblPlanets[Planet '#], tblPlanets[Name])=SpeedROI[[#This Row],[Name]],
   "Match",
   "Mismatch"
)</f>
        <v>Match</v>
      </c>
    </row>
    <row r="4" spans="1:19" x14ac:dyDescent="0.3">
      <c r="A4" s="24">
        <v>3</v>
      </c>
      <c r="B4" s="24" t="str">
        <f>_xlfn.XLOOKUP(tblprogress[[#This Row],[Planet '#]],tblPlanets[Planet '#],tblPlanets[Name])</f>
        <v>Anadius</v>
      </c>
      <c r="C4" s="44">
        <f>_xlfn.XLOOKUP(SpeedROI[[#This Row],[Speed Level]]+1,tblUpgradeStats[Level],tblUpgradeStats[Ship Speed])</f>
        <v>4.3333333333333339</v>
      </c>
      <c r="D4" s="41">
        <f>IFERROR(SpeedROI[[#This Row],[Current Efficiency]]*(SpeedROI[[#This Row],[Ship Speed]]/SpeedROI[[#This Row],[Next Ship Speed]]),0)</f>
        <v>0.62920066312997336</v>
      </c>
      <c r="E4" s="60">
        <f>SpeedROI[[#This Row],[Future Deposit]]-SpeedROI[[#This Row],[Current Deposit]]</f>
        <v>0</v>
      </c>
      <c r="F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" s="25">
        <f>_xlfn.XLOOKUP(SpeedROI[[#This Row],[Planet '#]],tblprogress[Planet '#],tblprogress[Ship Level])</f>
        <v>10</v>
      </c>
      <c r="I4" s="44">
        <f>_xlfn.XLOOKUP(SpeedROI[[#This Row],[Planet '#]],tblprogress[Planet '#],tblprogress[Ship Speed])</f>
        <v>3.88</v>
      </c>
      <c r="J4" s="75">
        <f>_xlfn.XLOOKUP(SpeedROI[[#This Row],[Planet '#]],tblprogress[Planet '#],tblprogress[Mining Rate])</f>
        <v>11.543000000000001</v>
      </c>
      <c r="K4" s="28">
        <f>_xlfn.XLOOKUP(SpeedROI[[#This Row],[Planet '#]],tblprogress[Planet '#],tblprogress[Cargo])</f>
        <v>58</v>
      </c>
      <c r="L4" s="41">
        <f>_xlfn.XLOOKUP(SpeedROI[[#This Row],[Planet '#]],tblprogress[Planet '#],tblprogress[Efficiency],0)</f>
        <v>0.70271551724137926</v>
      </c>
      <c r="M4" s="73">
        <f>IF(SpeedROI[[#This Row],[Current Efficiency]]&lt;=1,SpeedROI[[#This Row],[Mining Rate]]*60,SpeedROI[[#This Row],[Cargo]]/SpeedROI[[#This Row],[Total Time]]*60)</f>
        <v>692.58</v>
      </c>
      <c r="N4" s="73">
        <f>IF(SpeedROI[[#This Row],[Future Efficiency]]&lt;=1,SpeedROI[[#This Row],[Mining Rate]]*60,SpeedROI[[#This Row],[Cargo]]/SpeedROI[[#This Row],[New Time]]*60)</f>
        <v>692.58</v>
      </c>
      <c r="O4" s="34">
        <f>_xlfn.XLOOKUP(SpeedROI[[#This Row],[Planet '#]],tblplanetvalue[Planet '#],tblplanetvalue[Total Worth])</f>
        <v>1.5</v>
      </c>
      <c r="P4" s="35">
        <f>_xlfn.XLOOKUP(SpeedROI[[#This Row],[Planet '#]],tblplaneteco[Planet '#],tblplaneteco[Ship Speed Cost])</f>
        <v>265</v>
      </c>
      <c r="Q4" s="63">
        <f>_xlfn.XLOOKUP(SpeedROI[[#This Row],[Planet '#]],tblprogress[Planet '#],tblprogress[Total Time])</f>
        <v>3.5309278350515463</v>
      </c>
      <c r="R4" s="63">
        <f>IF(SpeedROI[[#This Row],[Current Deposit]]&gt;0,SpeedROI[[#This Row],[Total Time]]*SpeedROI[[#This Row],[Ship Speed]]/SpeedROI[[#This Row],[Next Ship Speed]],"")</f>
        <v>3.161538461538461</v>
      </c>
      <c r="S4" s="14" t="str">
        <f>IF(
   _xlfn.XLOOKUP(SpeedROI[[#This Row],[Planet '#]], tblPlanets[Planet '#], tblPlanets[Name])=SpeedROI[[#This Row],[Name]],
   "Match",
   "Mismatch"
)</f>
        <v>Match</v>
      </c>
    </row>
    <row r="5" spans="1:19" x14ac:dyDescent="0.3">
      <c r="A5" s="25">
        <v>4</v>
      </c>
      <c r="B5" s="25" t="str">
        <f>_xlfn.XLOOKUP(tblprogress[[#This Row],[Planet '#]],tblPlanets[Planet '#],tblPlanets[Name])</f>
        <v>Dholen</v>
      </c>
      <c r="C5" s="44">
        <f>_xlfn.XLOOKUP(SpeedROI[[#This Row],[Speed Level]]+1,tblUpgradeStats[Level],tblUpgradeStats[Ship Speed])</f>
        <v>6.413333333333334</v>
      </c>
      <c r="D5" s="41">
        <f>IFERROR(SpeedROI[[#This Row],[Current Efficiency]]*(SpeedROI[[#This Row],[Ship Speed]]/SpeedROI[[#This Row],[Next Ship Speed]]),0)</f>
        <v>0.16284492534492534</v>
      </c>
      <c r="E5" s="60">
        <f>SpeedROI[[#This Row],[Future Deposit]]-SpeedROI[[#This Row],[Current Deposit]]</f>
        <v>0</v>
      </c>
      <c r="F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" s="25">
        <f>_xlfn.XLOOKUP(SpeedROI[[#This Row],[Planet '#]],tblprogress[Planet '#],tblprogress[Ship Level])</f>
        <v>14</v>
      </c>
      <c r="I5" s="44">
        <f>_xlfn.XLOOKUP(SpeedROI[[#This Row],[Planet '#]],tblprogress[Planet '#],tblprogress[Ship Speed])</f>
        <v>5.8533333333333335</v>
      </c>
      <c r="J5" s="75">
        <f>_xlfn.XLOOKUP(SpeedROI[[#This Row],[Planet '#]],tblprogress[Planet '#],tblprogress[Mining Rate])</f>
        <v>9.8470000000000013</v>
      </c>
      <c r="K5" s="28">
        <f>_xlfn.XLOOKUP(SpeedROI[[#This Row],[Planet '#]],tblprogress[Planet '#],tblprogress[Cargo])</f>
        <v>132</v>
      </c>
      <c r="L5" s="41">
        <f>_xlfn.XLOOKUP(SpeedROI[[#This Row],[Planet '#]],tblprogress[Planet '#],tblprogress[Efficiency],0)</f>
        <v>0.17842462207496379</v>
      </c>
      <c r="M5" s="73">
        <f>IF(SpeedROI[[#This Row],[Current Efficiency]]&lt;=1,SpeedROI[[#This Row],[Mining Rate]]*60,SpeedROI[[#This Row],[Cargo]]/SpeedROI[[#This Row],[Total Time]]*60)</f>
        <v>590.82000000000005</v>
      </c>
      <c r="N5" s="73">
        <f>IF(SpeedROI[[#This Row],[Future Efficiency]]&lt;=1,SpeedROI[[#This Row],[Mining Rate]]*60,SpeedROI[[#This Row],[Cargo]]/SpeedROI[[#This Row],[New Time]]*60)</f>
        <v>590.82000000000005</v>
      </c>
      <c r="O5" s="34">
        <f>_xlfn.XLOOKUP(SpeedROI[[#This Row],[Planet '#]],tblplanetvalue[Planet '#],tblplanetvalue[Total Worth])</f>
        <v>2.4000000000000004</v>
      </c>
      <c r="P5" s="35">
        <f>_xlfn.XLOOKUP(SpeedROI[[#This Row],[Planet '#]],tblplaneteco[Planet '#],tblplaneteco[Ship Speed Cost])</f>
        <v>1893</v>
      </c>
      <c r="Q5" s="63">
        <f>_xlfn.XLOOKUP(SpeedROI[[#This Row],[Planet '#]],tblprogress[Planet '#],tblprogress[Total Time])</f>
        <v>2.3917995444191344</v>
      </c>
      <c r="R5" s="63">
        <f>IF(SpeedROI[[#This Row],[Current Deposit]]&gt;0,SpeedROI[[#This Row],[Total Time]]*SpeedROI[[#This Row],[Ship Speed]]/SpeedROI[[#This Row],[Next Ship Speed]],"")</f>
        <v>2.1829521829521825</v>
      </c>
      <c r="S5" s="14" t="str">
        <f>IF(
   _xlfn.XLOOKUP(SpeedROI[[#This Row],[Planet '#]], tblPlanets[Planet '#], tblPlanets[Name])=SpeedROI[[#This Row],[Name]],
   "Match",
   "Mismatch"
)</f>
        <v>Match</v>
      </c>
    </row>
    <row r="6" spans="1:19" x14ac:dyDescent="0.3">
      <c r="A6" s="24">
        <v>5</v>
      </c>
      <c r="B6" s="24" t="str">
        <f>_xlfn.XLOOKUP(tblprogress[[#This Row],[Planet '#]],tblPlanets[Planet '#],tblPlanets[Name])</f>
        <v>Verr</v>
      </c>
      <c r="C6" s="44">
        <f>_xlfn.XLOOKUP(SpeedROI[[#This Row],[Speed Level]]+1,tblUpgradeStats[Level],tblUpgradeStats[Ship Speed])</f>
        <v>1.7200000000000002</v>
      </c>
      <c r="D6" s="41">
        <f>IFERROR(SpeedROI[[#This Row],[Current Efficiency]]*(SpeedROI[[#This Row],[Ship Speed]]/SpeedROI[[#This Row],[Next Ship Speed]]),0)</f>
        <v>0.83495847176079752</v>
      </c>
      <c r="E6" s="60">
        <f>SpeedROI[[#This Row],[Future Deposit]]-SpeedROI[[#This Row],[Current Deposit]]</f>
        <v>0</v>
      </c>
      <c r="F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" s="25">
        <f>_xlfn.XLOOKUP(SpeedROI[[#This Row],[Planet '#]],tblprogress[Planet '#],tblprogress[Ship Level])</f>
        <v>3</v>
      </c>
      <c r="I6" s="44">
        <f>_xlfn.XLOOKUP(SpeedROI[[#This Row],[Planet '#]],tblprogress[Planet '#],tblprogress[Ship Speed])</f>
        <v>1.4533333333333331</v>
      </c>
      <c r="J6" s="75">
        <f>_xlfn.XLOOKUP(SpeedROI[[#This Row],[Planet '#]],tblprogress[Planet '#],tblprogress[Mining Rate])</f>
        <v>0.70300000000000007</v>
      </c>
      <c r="K6" s="28">
        <f>_xlfn.XLOOKUP(SpeedROI[[#This Row],[Planet '#]],tblprogress[Planet '#],tblprogress[Cargo])</f>
        <v>7</v>
      </c>
      <c r="L6" s="41">
        <f>_xlfn.XLOOKUP(SpeedROI[[#This Row],[Planet '#]],tblprogress[Planet '#],tblprogress[Efficiency],0)</f>
        <v>0.98816186107470549</v>
      </c>
      <c r="M6" s="73">
        <f>IF(SpeedROI[[#This Row],[Current Efficiency]]&lt;=1,SpeedROI[[#This Row],[Mining Rate]]*60,SpeedROI[[#This Row],[Cargo]]/SpeedROI[[#This Row],[Total Time]]*60)</f>
        <v>42.180000000000007</v>
      </c>
      <c r="N6" s="73">
        <f>IF(SpeedROI[[#This Row],[Future Efficiency]]&lt;=1,SpeedROI[[#This Row],[Mining Rate]]*60,SpeedROI[[#This Row],[Cargo]]/SpeedROI[[#This Row],[New Time]]*60)</f>
        <v>42.180000000000007</v>
      </c>
      <c r="O6" s="34">
        <f>_xlfn.XLOOKUP(SpeedROI[[#This Row],[Planet '#]],tblplanetvalue[Planet '#],tblplanetvalue[Total Worth])</f>
        <v>2.8000000000000003</v>
      </c>
      <c r="P6" s="35">
        <f>_xlfn.XLOOKUP(SpeedROI[[#This Row],[Planet '#]],tblplaneteco[Planet '#],tblplaneteco[Ship Speed Cost])</f>
        <v>423</v>
      </c>
      <c r="Q6" s="63">
        <f>_xlfn.XLOOKUP(SpeedROI[[#This Row],[Planet '#]],tblprogress[Planet '#],tblprogress[Total Time])</f>
        <v>9.8394495412844059</v>
      </c>
      <c r="R6" s="63">
        <f>IF(SpeedROI[[#This Row],[Current Deposit]]&gt;0,SpeedROI[[#This Row],[Total Time]]*SpeedROI[[#This Row],[Ship Speed]]/SpeedROI[[#This Row],[Next Ship Speed]],"")</f>
        <v>8.3139534883720927</v>
      </c>
      <c r="S6" s="14" t="str">
        <f>IF(
   _xlfn.XLOOKUP(SpeedROI[[#This Row],[Planet '#]], tblPlanets[Planet '#], tblPlanets[Name])=SpeedROI[[#This Row],[Name]],
   "Match",
   "Mismatch"
)</f>
        <v>Match</v>
      </c>
    </row>
    <row r="7" spans="1:19" x14ac:dyDescent="0.3">
      <c r="A7" s="25">
        <v>6</v>
      </c>
      <c r="B7" s="25" t="str">
        <f>_xlfn.XLOOKUP(tblprogress[[#This Row],[Planet '#]],tblPlanets[Planet '#],tblPlanets[Name])</f>
        <v>Newton</v>
      </c>
      <c r="C7" s="44">
        <f>_xlfn.XLOOKUP(SpeedROI[[#This Row],[Speed Level]]+1,tblUpgradeStats[Level],tblUpgradeStats[Ship Speed])</f>
        <v>2.0133333333333332</v>
      </c>
      <c r="D7" s="41">
        <f>IFERROR(SpeedROI[[#This Row],[Current Efficiency]]*(SpeedROI[[#This Row],[Ship Speed]]/SpeedROI[[#This Row],[Next Ship Speed]]),0)</f>
        <v>0.71005794701986757</v>
      </c>
      <c r="E7" s="60">
        <f>SpeedROI[[#This Row],[Future Deposit]]-SpeedROI[[#This Row],[Current Deposit]]</f>
        <v>0</v>
      </c>
      <c r="F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" s="25">
        <f>_xlfn.XLOOKUP(SpeedROI[[#This Row],[Planet '#]],tblprogress[Planet '#],tblprogress[Ship Level])</f>
        <v>4</v>
      </c>
      <c r="I7" s="44">
        <f>_xlfn.XLOOKUP(SpeedROI[[#This Row],[Planet '#]],tblprogress[Planet '#],tblprogress[Ship Speed])</f>
        <v>1.7200000000000002</v>
      </c>
      <c r="J7" s="75">
        <f>_xlfn.XLOOKUP(SpeedROI[[#This Row],[Planet '#]],tblprogress[Planet '#],tblprogress[Mining Rate])</f>
        <v>1.175</v>
      </c>
      <c r="K7" s="28">
        <f>_xlfn.XLOOKUP(SpeedROI[[#This Row],[Planet '#]],tblprogress[Planet '#],tblprogress[Cargo])</f>
        <v>12</v>
      </c>
      <c r="L7" s="41">
        <f>_xlfn.XLOOKUP(SpeedROI[[#This Row],[Planet '#]],tblprogress[Planet '#],tblprogress[Efficiency],0)</f>
        <v>0.83115310077519367</v>
      </c>
      <c r="M7" s="73">
        <f>IF(SpeedROI[[#This Row],[Current Efficiency]]&lt;=1,SpeedROI[[#This Row],[Mining Rate]]*60,SpeedROI[[#This Row],[Cargo]]/SpeedROI[[#This Row],[Total Time]]*60)</f>
        <v>70.5</v>
      </c>
      <c r="N7" s="73">
        <f>IF(SpeedROI[[#This Row],[Future Efficiency]]&lt;=1,SpeedROI[[#This Row],[Mining Rate]]*60,SpeedROI[[#This Row],[Cargo]]/SpeedROI[[#This Row],[New Time]]*60)</f>
        <v>70.5</v>
      </c>
      <c r="O7" s="34">
        <f>_xlfn.XLOOKUP(SpeedROI[[#This Row],[Planet '#]],tblplanetvalue[Planet '#],tblplanetvalue[Total Worth])</f>
        <v>4</v>
      </c>
      <c r="P7" s="35">
        <f>_xlfn.XLOOKUP(SpeedROI[[#This Row],[Planet '#]],tblplaneteco[Planet '#],tblplaneteco[Ship Speed Cost])</f>
        <v>989</v>
      </c>
      <c r="Q7" s="63">
        <f>_xlfn.XLOOKUP(SpeedROI[[#This Row],[Planet '#]],tblprogress[Planet '#],tblprogress[Total Time])</f>
        <v>8.4883720930232549</v>
      </c>
      <c r="R7" s="63">
        <f>IF(SpeedROI[[#This Row],[Current Deposit]]&gt;0,SpeedROI[[#This Row],[Total Time]]*SpeedROI[[#This Row],[Ship Speed]]/SpeedROI[[#This Row],[Next Ship Speed]],"")</f>
        <v>7.2516556291390728</v>
      </c>
      <c r="S7" s="14" t="str">
        <f>IF(
   _xlfn.XLOOKUP(SpeedROI[[#This Row],[Planet '#]], tblPlanets[Planet '#], tblPlanets[Name])=SpeedROI[[#This Row],[Name]],
   "Match",
   "Mismatch"
)</f>
        <v>Match</v>
      </c>
    </row>
    <row r="8" spans="1:19" x14ac:dyDescent="0.3">
      <c r="A8" s="24">
        <v>7</v>
      </c>
      <c r="B8" s="24" t="str">
        <f>_xlfn.XLOOKUP(tblprogress[[#This Row],[Planet '#]],tblPlanets[Planet '#],tblPlanets[Name])</f>
        <v>Widow</v>
      </c>
      <c r="C8" s="44">
        <f>_xlfn.XLOOKUP(SpeedROI[[#This Row],[Speed Level]]+1,tblUpgradeStats[Level],tblUpgradeStats[Ship Speed])</f>
        <v>1.2133333333333334</v>
      </c>
      <c r="D8" s="41">
        <f>IFERROR(SpeedROI[[#This Row],[Current Efficiency]]*(SpeedROI[[#This Row],[Ship Speed]]/SpeedROI[[#This Row],[Next Ship Speed]]),0)</f>
        <v>0.90136813186813192</v>
      </c>
      <c r="E8" s="60">
        <f>SpeedROI[[#This Row],[Future Deposit]]-SpeedROI[[#This Row],[Current Deposit]]</f>
        <v>1.8857718120805345</v>
      </c>
      <c r="F8" s="47">
        <f>IF(OR(SpeedROI[[#This Row],[Upgrade Ship Speed]]="",SpeedROI[[#This Row],[Deposit Increase]]=0),"",(SpeedROI[[#This Row],[Deposit Increase]]*SpeedROI[[#This Row],[Planet Worth]]*3600)/SpeedROI[[#This Row],[Upgrade Ship Speed]])</f>
        <v>25.344773154362386</v>
      </c>
      <c r="G8" s="47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>2116.4127085811929</v>
      </c>
      <c r="H8" s="25">
        <f>_xlfn.XLOOKUP(SpeedROI[[#This Row],[Planet '#]],tblprogress[Planet '#],tblprogress[Ship Level])</f>
        <v>1</v>
      </c>
      <c r="I8" s="44">
        <f>_xlfn.XLOOKUP(SpeedROI[[#This Row],[Planet '#]],tblprogress[Planet '#],tblprogress[Ship Speed])</f>
        <v>1</v>
      </c>
      <c r="J8" s="75">
        <f>_xlfn.XLOOKUP(SpeedROI[[#This Row],[Planet '#]],tblprogress[Planet '#],tblprogress[Mining Rate])</f>
        <v>0.36699999999999999</v>
      </c>
      <c r="K8" s="28">
        <f>_xlfn.XLOOKUP(SpeedROI[[#This Row],[Planet '#]],tblprogress[Planet '#],tblprogress[Cargo])</f>
        <v>5</v>
      </c>
      <c r="L8" s="41">
        <f>_xlfn.XLOOKUP(SpeedROI[[#This Row],[Planet '#]],tblprogress[Planet '#],tblprogress[Efficiency],0)</f>
        <v>1.0936600000000001</v>
      </c>
      <c r="M8" s="73">
        <f>IF(SpeedROI[[#This Row],[Current Efficiency]]&lt;=1,SpeedROI[[#This Row],[Mining Rate]]*60,SpeedROI[[#This Row],[Cargo]]/SpeedROI[[#This Row],[Total Time]]*60)</f>
        <v>20.134228187919465</v>
      </c>
      <c r="N8" s="73">
        <f>IF(SpeedROI[[#This Row],[Future Efficiency]]&lt;=1,SpeedROI[[#This Row],[Mining Rate]]*60,SpeedROI[[#This Row],[Cargo]]/SpeedROI[[#This Row],[New Time]]*60)</f>
        <v>22.02</v>
      </c>
      <c r="O8" s="34">
        <f>_xlfn.XLOOKUP(SpeedROI[[#This Row],[Planet '#]],tblplanetvalue[Planet '#],tblplanetvalue[Total Worth])</f>
        <v>2.8000000000000003</v>
      </c>
      <c r="P8" s="35">
        <f>_xlfn.XLOOKUP(SpeedROI[[#This Row],[Planet '#]],tblplaneteco[Planet '#],tblplaneteco[Ship Speed Cost])</f>
        <v>750</v>
      </c>
      <c r="Q8" s="63">
        <f>_xlfn.XLOOKUP(SpeedROI[[#This Row],[Planet '#]],tblprogress[Planet '#],tblprogress[Total Time])</f>
        <v>14.9</v>
      </c>
      <c r="R8" s="63">
        <f>IF(SpeedROI[[#This Row],[Current Deposit]]&gt;0,SpeedROI[[#This Row],[Total Time]]*SpeedROI[[#This Row],[Ship Speed]]/SpeedROI[[#This Row],[Next Ship Speed]],"")</f>
        <v>12.280219780219779</v>
      </c>
      <c r="S8" s="14" t="str">
        <f>IF(
   _xlfn.XLOOKUP(SpeedROI[[#This Row],[Planet '#]], tblPlanets[Planet '#], tblPlanets[Name])=SpeedROI[[#This Row],[Name]],
   "Match",
   "Mismatch"
)</f>
        <v>Match</v>
      </c>
    </row>
    <row r="9" spans="1:19" x14ac:dyDescent="0.3">
      <c r="A9" s="25">
        <v>8</v>
      </c>
      <c r="B9" s="25" t="str">
        <f>_xlfn.XLOOKUP(tblprogress[[#This Row],[Planet '#]],tblPlanets[Planet '#],tblPlanets[Name])</f>
        <v>Acheron</v>
      </c>
      <c r="C9" s="44">
        <f>_xlfn.XLOOKUP(SpeedROI[[#This Row],[Speed Level]]+1,tblUpgradeStats[Level],tblUpgradeStats[Ship Speed])</f>
        <v>1</v>
      </c>
      <c r="D9" s="41">
        <f>IFERROR(SpeedROI[[#This Row],[Current Efficiency]]*(SpeedROI[[#This Row],[Ship Speed]]/SpeedROI[[#This Row],[Next Ship Speed]]),0)</f>
        <v>0</v>
      </c>
      <c r="E9" s="60">
        <f>SpeedROI[[#This Row],[Future Deposit]]-SpeedROI[[#This Row],[Current Deposit]]</f>
        <v>0</v>
      </c>
      <c r="F9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9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9" s="25">
        <f>_xlfn.XLOOKUP(SpeedROI[[#This Row],[Planet '#]],tblprogress[Planet '#],tblprogress[Ship Level])</f>
        <v>0</v>
      </c>
      <c r="I9" s="44">
        <f>_xlfn.XLOOKUP(SpeedROI[[#This Row],[Planet '#]],tblprogress[Planet '#],tblprogress[Ship Speed])</f>
        <v>0</v>
      </c>
      <c r="J9" s="75">
        <f>_xlfn.XLOOKUP(SpeedROI[[#This Row],[Planet '#]],tblprogress[Planet '#],tblprogress[Mining Rate])</f>
        <v>0</v>
      </c>
      <c r="K9" s="28">
        <f>_xlfn.XLOOKUP(SpeedROI[[#This Row],[Planet '#]],tblprogress[Planet '#],tblprogress[Cargo])</f>
        <v>0</v>
      </c>
      <c r="L9" s="41">
        <f>_xlfn.XLOOKUP(SpeedROI[[#This Row],[Planet '#]],tblprogress[Planet '#],tblprogress[Efficiency],0)</f>
        <v>0</v>
      </c>
      <c r="M9" s="73">
        <f>IF(SpeedROI[[#This Row],[Current Efficiency]]&lt;=1,SpeedROI[[#This Row],[Mining Rate]]*60,SpeedROI[[#This Row],[Cargo]]/SpeedROI[[#This Row],[Total Time]]*60)</f>
        <v>0</v>
      </c>
      <c r="N9" s="73">
        <f>IF(SpeedROI[[#This Row],[Future Efficiency]]&lt;=1,SpeedROI[[#This Row],[Mining Rate]]*60,SpeedROI[[#This Row],[Cargo]]/SpeedROI[[#This Row],[New Time]]*60)</f>
        <v>0</v>
      </c>
      <c r="O9" s="34">
        <f>_xlfn.XLOOKUP(SpeedROI[[#This Row],[Planet '#]],tblplanetvalue[Planet '#],tblplanetvalue[Total Worth])</f>
        <v>5.2</v>
      </c>
      <c r="P9" s="35" t="str">
        <f>_xlfn.XLOOKUP(SpeedROI[[#This Row],[Planet '#]],tblplaneteco[Planet '#],tblplaneteco[Ship Speed Cost])</f>
        <v/>
      </c>
      <c r="Q9" s="63" t="str">
        <f>_xlfn.XLOOKUP(SpeedROI[[#This Row],[Planet '#]],tblprogress[Planet '#],tblprogress[Total Time])</f>
        <v/>
      </c>
      <c r="R9" s="63" t="str">
        <f>IF(SpeedROI[[#This Row],[Current Deposit]]&gt;0,SpeedROI[[#This Row],[Total Time]]*SpeedROI[[#This Row],[Ship Speed]]/SpeedROI[[#This Row],[Next Ship Speed]],"")</f>
        <v/>
      </c>
      <c r="S9" s="14" t="str">
        <f>IF(
   _xlfn.XLOOKUP(SpeedROI[[#This Row],[Planet '#]], tblPlanets[Planet '#], tblPlanets[Name])=SpeedROI[[#This Row],[Name]],
   "Match",
   "Mismatch"
)</f>
        <v>Match</v>
      </c>
    </row>
    <row r="10" spans="1:19" x14ac:dyDescent="0.3">
      <c r="A10" s="24">
        <v>9</v>
      </c>
      <c r="B10" s="24" t="str">
        <f>_xlfn.XLOOKUP(tblprogress[[#This Row],[Planet '#]],tblPlanets[Planet '#],tblPlanets[Name])</f>
        <v>Yangtze</v>
      </c>
      <c r="C10" s="44">
        <f>_xlfn.XLOOKUP(SpeedROI[[#This Row],[Speed Level]]+1,tblUpgradeStats[Level],tblUpgradeStats[Ship Speed])</f>
        <v>1</v>
      </c>
      <c r="D10" s="41">
        <f>IFERROR(SpeedROI[[#This Row],[Current Efficiency]]*(SpeedROI[[#This Row],[Ship Speed]]/SpeedROI[[#This Row],[Next Ship Speed]]),0)</f>
        <v>0</v>
      </c>
      <c r="E10" s="60">
        <f>SpeedROI[[#This Row],[Future Deposit]]-SpeedROI[[#This Row],[Current Deposit]]</f>
        <v>0</v>
      </c>
      <c r="F10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0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0" s="25">
        <f>_xlfn.XLOOKUP(SpeedROI[[#This Row],[Planet '#]],tblprogress[Planet '#],tblprogress[Ship Level])</f>
        <v>0</v>
      </c>
      <c r="I10" s="44">
        <f>_xlfn.XLOOKUP(SpeedROI[[#This Row],[Planet '#]],tblprogress[Planet '#],tblprogress[Ship Speed])</f>
        <v>0</v>
      </c>
      <c r="J10" s="75">
        <f>_xlfn.XLOOKUP(SpeedROI[[#This Row],[Planet '#]],tblprogress[Planet '#],tblprogress[Mining Rate])</f>
        <v>0</v>
      </c>
      <c r="K10" s="28">
        <f>_xlfn.XLOOKUP(SpeedROI[[#This Row],[Planet '#]],tblprogress[Planet '#],tblprogress[Cargo])</f>
        <v>0</v>
      </c>
      <c r="L10" s="41">
        <f>_xlfn.XLOOKUP(SpeedROI[[#This Row],[Planet '#]],tblprogress[Planet '#],tblprogress[Efficiency],0)</f>
        <v>0</v>
      </c>
      <c r="M10" s="73">
        <f>IF(SpeedROI[[#This Row],[Current Efficiency]]&lt;=1,SpeedROI[[#This Row],[Mining Rate]]*60,SpeedROI[[#This Row],[Cargo]]/SpeedROI[[#This Row],[Total Time]]*60)</f>
        <v>0</v>
      </c>
      <c r="N10" s="73">
        <f>IF(SpeedROI[[#This Row],[Future Efficiency]]&lt;=1,SpeedROI[[#This Row],[Mining Rate]]*60,SpeedROI[[#This Row],[Cargo]]/SpeedROI[[#This Row],[New Time]]*60)</f>
        <v>0</v>
      </c>
      <c r="O10" s="34">
        <f>_xlfn.XLOOKUP(SpeedROI[[#This Row],[Planet '#]],tblplanetvalue[Planet '#],tblplanetvalue[Total Worth])</f>
        <v>9.8000000000000007</v>
      </c>
      <c r="P10" s="35" t="str">
        <f>_xlfn.XLOOKUP(SpeedROI[[#This Row],[Planet '#]],tblplaneteco[Planet '#],tblplaneteco[Ship Speed Cost])</f>
        <v/>
      </c>
      <c r="Q10" s="63" t="str">
        <f>_xlfn.XLOOKUP(SpeedROI[[#This Row],[Planet '#]],tblprogress[Planet '#],tblprogress[Total Time])</f>
        <v/>
      </c>
      <c r="R10" s="63" t="str">
        <f>IF(SpeedROI[[#This Row],[Current Deposit]]&gt;0,SpeedROI[[#This Row],[Total Time]]*SpeedROI[[#This Row],[Ship Speed]]/SpeedROI[[#This Row],[Next Ship Speed]],"")</f>
        <v/>
      </c>
      <c r="S10" s="14" t="str">
        <f>IF(
   _xlfn.XLOOKUP(SpeedROI[[#This Row],[Planet '#]], tblPlanets[Planet '#], tblPlanets[Name])=SpeedROI[[#This Row],[Name]],
   "Match",
   "Mismatch"
)</f>
        <v>Match</v>
      </c>
    </row>
    <row r="11" spans="1:19" x14ac:dyDescent="0.3">
      <c r="A11" s="25">
        <v>10</v>
      </c>
      <c r="B11" s="25" t="str">
        <f>_xlfn.XLOOKUP(tblprogress[[#This Row],[Planet '#]],tblPlanets[Planet '#],tblPlanets[Name])</f>
        <v>Solveig</v>
      </c>
      <c r="C11" s="44">
        <f>_xlfn.XLOOKUP(SpeedROI[[#This Row],[Speed Level]]+1,tblUpgradeStats[Level],tblUpgradeStats[Ship Speed])</f>
        <v>1</v>
      </c>
      <c r="D11" s="41">
        <f>IFERROR(SpeedROI[[#This Row],[Current Efficiency]]*(SpeedROI[[#This Row],[Ship Speed]]/SpeedROI[[#This Row],[Next Ship Speed]]),0)</f>
        <v>0</v>
      </c>
      <c r="E11" s="60">
        <f>SpeedROI[[#This Row],[Future Deposit]]-SpeedROI[[#This Row],[Current Deposit]]</f>
        <v>0</v>
      </c>
      <c r="F11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1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1" s="25">
        <f>_xlfn.XLOOKUP(SpeedROI[[#This Row],[Planet '#]],tblprogress[Planet '#],tblprogress[Ship Level])</f>
        <v>0</v>
      </c>
      <c r="I11" s="44">
        <f>_xlfn.XLOOKUP(SpeedROI[[#This Row],[Planet '#]],tblprogress[Planet '#],tblprogress[Ship Speed])</f>
        <v>0</v>
      </c>
      <c r="J11" s="75">
        <f>_xlfn.XLOOKUP(SpeedROI[[#This Row],[Planet '#]],tblprogress[Planet '#],tblprogress[Mining Rate])</f>
        <v>0</v>
      </c>
      <c r="K11" s="28">
        <f>_xlfn.XLOOKUP(SpeedROI[[#This Row],[Planet '#]],tblprogress[Planet '#],tblprogress[Cargo])</f>
        <v>0</v>
      </c>
      <c r="L11" s="41">
        <f>_xlfn.XLOOKUP(SpeedROI[[#This Row],[Planet '#]],tblprogress[Planet '#],tblprogress[Efficiency],0)</f>
        <v>0</v>
      </c>
      <c r="M11" s="73">
        <f>IF(SpeedROI[[#This Row],[Current Efficiency]]&lt;=1,SpeedROI[[#This Row],[Mining Rate]]*60,SpeedROI[[#This Row],[Cargo]]/SpeedROI[[#This Row],[Total Time]]*60)</f>
        <v>0</v>
      </c>
      <c r="N11" s="73">
        <f>IF(SpeedROI[[#This Row],[Future Efficiency]]&lt;=1,SpeedROI[[#This Row],[Mining Rate]]*60,SpeedROI[[#This Row],[Cargo]]/SpeedROI[[#This Row],[New Time]]*60)</f>
        <v>0</v>
      </c>
      <c r="O11" s="34">
        <f>_xlfn.XLOOKUP(SpeedROI[[#This Row],[Planet '#]],tblplanetvalue[Planet '#],tblplanetvalue[Total Worth])</f>
        <v>11.700000000000001</v>
      </c>
      <c r="P11" s="35" t="str">
        <f>_xlfn.XLOOKUP(SpeedROI[[#This Row],[Planet '#]],tblplaneteco[Planet '#],tblplaneteco[Ship Speed Cost])</f>
        <v/>
      </c>
      <c r="Q11" s="63" t="str">
        <f>_xlfn.XLOOKUP(SpeedROI[[#This Row],[Planet '#]],tblprogress[Planet '#],tblprogress[Total Time])</f>
        <v/>
      </c>
      <c r="R11" s="63" t="str">
        <f>IF(SpeedROI[[#This Row],[Current Deposit]]&gt;0,SpeedROI[[#This Row],[Total Time]]*SpeedROI[[#This Row],[Ship Speed]]/SpeedROI[[#This Row],[Next Ship Speed]],"")</f>
        <v/>
      </c>
      <c r="S11" s="14" t="str">
        <f>IF(
   _xlfn.XLOOKUP(SpeedROI[[#This Row],[Planet '#]], tblPlanets[Planet '#], tblPlanets[Name])=SpeedROI[[#This Row],[Name]],
   "Match",
   "Mismatch"
)</f>
        <v>Match</v>
      </c>
    </row>
    <row r="12" spans="1:19" x14ac:dyDescent="0.3">
      <c r="A12" s="24">
        <v>11</v>
      </c>
      <c r="B12" s="24" t="str">
        <f>_xlfn.XLOOKUP(tblprogress[[#This Row],[Planet '#]],tblPlanets[Planet '#],tblPlanets[Name])</f>
        <v>Imir</v>
      </c>
      <c r="C12" s="44">
        <f>_xlfn.XLOOKUP(SpeedROI[[#This Row],[Speed Level]]+1,tblUpgradeStats[Level],tblUpgradeStats[Ship Speed])</f>
        <v>1</v>
      </c>
      <c r="D12" s="41">
        <f>IFERROR(SpeedROI[[#This Row],[Current Efficiency]]*(SpeedROI[[#This Row],[Ship Speed]]/SpeedROI[[#This Row],[Next Ship Speed]]),0)</f>
        <v>0</v>
      </c>
      <c r="E12" s="60">
        <f>SpeedROI[[#This Row],[Future Deposit]]-SpeedROI[[#This Row],[Current Deposit]]</f>
        <v>0</v>
      </c>
      <c r="F1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2" s="25">
        <f>_xlfn.XLOOKUP(SpeedROI[[#This Row],[Planet '#]],tblprogress[Planet '#],tblprogress[Ship Level])</f>
        <v>0</v>
      </c>
      <c r="I12" s="44">
        <f>_xlfn.XLOOKUP(SpeedROI[[#This Row],[Planet '#]],tblprogress[Planet '#],tblprogress[Ship Speed])</f>
        <v>0</v>
      </c>
      <c r="J12" s="75">
        <f>_xlfn.XLOOKUP(SpeedROI[[#This Row],[Planet '#]],tblprogress[Planet '#],tblprogress[Mining Rate])</f>
        <v>0</v>
      </c>
      <c r="K12" s="28">
        <f>_xlfn.XLOOKUP(SpeedROI[[#This Row],[Planet '#]],tblprogress[Planet '#],tblprogress[Cargo])</f>
        <v>0</v>
      </c>
      <c r="L12" s="41">
        <f>_xlfn.XLOOKUP(SpeedROI[[#This Row],[Planet '#]],tblprogress[Planet '#],tblprogress[Efficiency],0)</f>
        <v>0</v>
      </c>
      <c r="M12" s="73">
        <f>IF(SpeedROI[[#This Row],[Current Efficiency]]&lt;=1,SpeedROI[[#This Row],[Mining Rate]]*60,SpeedROI[[#This Row],[Cargo]]/SpeedROI[[#This Row],[Total Time]]*60)</f>
        <v>0</v>
      </c>
      <c r="N12" s="73">
        <f>IF(SpeedROI[[#This Row],[Future Efficiency]]&lt;=1,SpeedROI[[#This Row],[Mining Rate]]*60,SpeedROI[[#This Row],[Cargo]]/SpeedROI[[#This Row],[New Time]]*60)</f>
        <v>0</v>
      </c>
      <c r="O12" s="34">
        <f>_xlfn.XLOOKUP(SpeedROI[[#This Row],[Planet '#]],tblplanetvalue[Planet '#],tblplanetvalue[Total Worth])</f>
        <v>17</v>
      </c>
      <c r="P12" s="35" t="str">
        <f>_xlfn.XLOOKUP(SpeedROI[[#This Row],[Planet '#]],tblplaneteco[Planet '#],tblplaneteco[Ship Speed Cost])</f>
        <v/>
      </c>
      <c r="Q12" s="63" t="str">
        <f>_xlfn.XLOOKUP(SpeedROI[[#This Row],[Planet '#]],tblprogress[Planet '#],tblprogress[Total Time])</f>
        <v/>
      </c>
      <c r="R12" s="63" t="str">
        <f>IF(SpeedROI[[#This Row],[Current Deposit]]&gt;0,SpeedROI[[#This Row],[Total Time]]*SpeedROI[[#This Row],[Ship Speed]]/SpeedROI[[#This Row],[Next Ship Speed]],"")</f>
        <v/>
      </c>
      <c r="S12" s="14" t="str">
        <f>IF(
   _xlfn.XLOOKUP(SpeedROI[[#This Row],[Planet '#]], tblPlanets[Planet '#], tblPlanets[Name])=SpeedROI[[#This Row],[Name]],
   "Match",
   "Mismatch"
)</f>
        <v>Match</v>
      </c>
    </row>
    <row r="13" spans="1:19" x14ac:dyDescent="0.3">
      <c r="A13" s="25">
        <v>12</v>
      </c>
      <c r="B13" s="25" t="str">
        <f>_xlfn.XLOOKUP(tblprogress[[#This Row],[Planet '#]],tblPlanets[Planet '#],tblPlanets[Name])</f>
        <v>Relic</v>
      </c>
      <c r="C13" s="44">
        <f>_xlfn.XLOOKUP(SpeedROI[[#This Row],[Speed Level]]+1,tblUpgradeStats[Level],tblUpgradeStats[Ship Speed])</f>
        <v>1</v>
      </c>
      <c r="D13" s="41">
        <f>IFERROR(SpeedROI[[#This Row],[Current Efficiency]]*(SpeedROI[[#This Row],[Ship Speed]]/SpeedROI[[#This Row],[Next Ship Speed]]),0)</f>
        <v>0</v>
      </c>
      <c r="E13" s="60">
        <f>SpeedROI[[#This Row],[Future Deposit]]-SpeedROI[[#This Row],[Current Deposit]]</f>
        <v>0</v>
      </c>
      <c r="F1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3" s="25">
        <f>_xlfn.XLOOKUP(SpeedROI[[#This Row],[Planet '#]],tblprogress[Planet '#],tblprogress[Ship Level])</f>
        <v>0</v>
      </c>
      <c r="I13" s="44">
        <f>_xlfn.XLOOKUP(SpeedROI[[#This Row],[Planet '#]],tblprogress[Planet '#],tblprogress[Ship Speed])</f>
        <v>0</v>
      </c>
      <c r="J13" s="75">
        <f>_xlfn.XLOOKUP(SpeedROI[[#This Row],[Planet '#]],tblprogress[Planet '#],tblprogress[Mining Rate])</f>
        <v>0</v>
      </c>
      <c r="K13" s="28">
        <f>_xlfn.XLOOKUP(SpeedROI[[#This Row],[Planet '#]],tblprogress[Planet '#],tblprogress[Cargo])</f>
        <v>0</v>
      </c>
      <c r="L13" s="41">
        <f>_xlfn.XLOOKUP(SpeedROI[[#This Row],[Planet '#]],tblprogress[Planet '#],tblprogress[Efficiency],0)</f>
        <v>0</v>
      </c>
      <c r="M13" s="73">
        <f>IF(SpeedROI[[#This Row],[Current Efficiency]]&lt;=1,SpeedROI[[#This Row],[Mining Rate]]*60,SpeedROI[[#This Row],[Cargo]]/SpeedROI[[#This Row],[Total Time]]*60)</f>
        <v>0</v>
      </c>
      <c r="N13" s="73">
        <f>IF(SpeedROI[[#This Row],[Future Efficiency]]&lt;=1,SpeedROI[[#This Row],[Mining Rate]]*60,SpeedROI[[#This Row],[Cargo]]/SpeedROI[[#This Row],[New Time]]*60)</f>
        <v>0</v>
      </c>
      <c r="O13" s="34">
        <f>_xlfn.XLOOKUP(SpeedROI[[#This Row],[Planet '#]],tblplanetvalue[Planet '#],tblplanetvalue[Total Worth])</f>
        <v>11.8</v>
      </c>
      <c r="P13" s="35" t="str">
        <f>_xlfn.XLOOKUP(SpeedROI[[#This Row],[Planet '#]],tblplaneteco[Planet '#],tblplaneteco[Ship Speed Cost])</f>
        <v/>
      </c>
      <c r="Q13" s="63" t="str">
        <f>_xlfn.XLOOKUP(SpeedROI[[#This Row],[Planet '#]],tblprogress[Planet '#],tblprogress[Total Time])</f>
        <v/>
      </c>
      <c r="R13" s="63" t="str">
        <f>IF(SpeedROI[[#This Row],[Current Deposit]]&gt;0,SpeedROI[[#This Row],[Total Time]]*SpeedROI[[#This Row],[Ship Speed]]/SpeedROI[[#This Row],[Next Ship Speed]],"")</f>
        <v/>
      </c>
      <c r="S13" s="14" t="str">
        <f>IF(
   _xlfn.XLOOKUP(SpeedROI[[#This Row],[Planet '#]], tblPlanets[Planet '#], tblPlanets[Name])=SpeedROI[[#This Row],[Name]],
   "Match",
   "Mismatch"
)</f>
        <v>Match</v>
      </c>
    </row>
    <row r="14" spans="1:19" x14ac:dyDescent="0.3">
      <c r="A14" s="24">
        <v>13</v>
      </c>
      <c r="B14" s="24" t="str">
        <f>_xlfn.XLOOKUP(tblprogress[[#This Row],[Planet '#]],tblPlanets[Planet '#],tblPlanets[Name])</f>
        <v>Nith</v>
      </c>
      <c r="C14" s="44">
        <f>_xlfn.XLOOKUP(SpeedROI[[#This Row],[Speed Level]]+1,tblUpgradeStats[Level],tblUpgradeStats[Ship Speed])</f>
        <v>1</v>
      </c>
      <c r="D14" s="41">
        <f>IFERROR(SpeedROI[[#This Row],[Current Efficiency]]*(SpeedROI[[#This Row],[Ship Speed]]/SpeedROI[[#This Row],[Next Ship Speed]]),0)</f>
        <v>0</v>
      </c>
      <c r="E14" s="60">
        <f>SpeedROI[[#This Row],[Future Deposit]]-SpeedROI[[#This Row],[Current Deposit]]</f>
        <v>0</v>
      </c>
      <c r="F1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4" s="25">
        <f>_xlfn.XLOOKUP(SpeedROI[[#This Row],[Planet '#]],tblprogress[Planet '#],tblprogress[Ship Level])</f>
        <v>0</v>
      </c>
      <c r="I14" s="44">
        <f>_xlfn.XLOOKUP(SpeedROI[[#This Row],[Planet '#]],tblprogress[Planet '#],tblprogress[Ship Speed])</f>
        <v>0</v>
      </c>
      <c r="J14" s="75">
        <f>_xlfn.XLOOKUP(SpeedROI[[#This Row],[Planet '#]],tblprogress[Planet '#],tblprogress[Mining Rate])</f>
        <v>0</v>
      </c>
      <c r="K14" s="28">
        <f>_xlfn.XLOOKUP(SpeedROI[[#This Row],[Planet '#]],tblprogress[Planet '#],tblprogress[Cargo])</f>
        <v>0</v>
      </c>
      <c r="L14" s="41">
        <f>_xlfn.XLOOKUP(SpeedROI[[#This Row],[Planet '#]],tblprogress[Planet '#],tblprogress[Efficiency],0)</f>
        <v>0</v>
      </c>
      <c r="M14" s="73">
        <f>IF(SpeedROI[[#This Row],[Current Efficiency]]&lt;=1,SpeedROI[[#This Row],[Mining Rate]]*60,SpeedROI[[#This Row],[Cargo]]/SpeedROI[[#This Row],[Total Time]]*60)</f>
        <v>0</v>
      </c>
      <c r="N14" s="73">
        <f>IF(SpeedROI[[#This Row],[Future Efficiency]]&lt;=1,SpeedROI[[#This Row],[Mining Rate]]*60,SpeedROI[[#This Row],[Cargo]]/SpeedROI[[#This Row],[New Time]]*60)</f>
        <v>0</v>
      </c>
      <c r="O14" s="34">
        <f>_xlfn.XLOOKUP(SpeedROI[[#This Row],[Planet '#]],tblplanetvalue[Planet '#],tblplanetvalue[Total Worth])</f>
        <v>32.200000000000003</v>
      </c>
      <c r="P14" s="35" t="str">
        <f>_xlfn.XLOOKUP(SpeedROI[[#This Row],[Planet '#]],tblplaneteco[Planet '#],tblplaneteco[Ship Speed Cost])</f>
        <v/>
      </c>
      <c r="Q14" s="63" t="str">
        <f>_xlfn.XLOOKUP(SpeedROI[[#This Row],[Planet '#]],tblprogress[Planet '#],tblprogress[Total Time])</f>
        <v/>
      </c>
      <c r="R14" s="63" t="str">
        <f>IF(SpeedROI[[#This Row],[Current Deposit]]&gt;0,SpeedROI[[#This Row],[Total Time]]*SpeedROI[[#This Row],[Ship Speed]]/SpeedROI[[#This Row],[Next Ship Speed]],"")</f>
        <v/>
      </c>
      <c r="S14" s="14" t="str">
        <f>IF(
   _xlfn.XLOOKUP(SpeedROI[[#This Row],[Planet '#]], tblPlanets[Planet '#], tblPlanets[Name])=SpeedROI[[#This Row],[Name]],
   "Match",
   "Mismatch"
)</f>
        <v>Match</v>
      </c>
    </row>
    <row r="15" spans="1:19" x14ac:dyDescent="0.3">
      <c r="A15" s="25">
        <v>14</v>
      </c>
      <c r="B15" s="25" t="str">
        <f>_xlfn.XLOOKUP(tblprogress[[#This Row],[Planet '#]],tblPlanets[Planet '#],tblPlanets[Name])</f>
        <v>Batalla</v>
      </c>
      <c r="C15" s="44">
        <f>_xlfn.XLOOKUP(SpeedROI[[#This Row],[Speed Level]]+1,tblUpgradeStats[Level],tblUpgradeStats[Ship Speed])</f>
        <v>1</v>
      </c>
      <c r="D15" s="41">
        <f>IFERROR(SpeedROI[[#This Row],[Current Efficiency]]*(SpeedROI[[#This Row],[Ship Speed]]/SpeedROI[[#This Row],[Next Ship Speed]]),0)</f>
        <v>0</v>
      </c>
      <c r="E15" s="60">
        <f>SpeedROI[[#This Row],[Future Deposit]]-SpeedROI[[#This Row],[Current Deposit]]</f>
        <v>0</v>
      </c>
      <c r="F1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5" s="25">
        <f>_xlfn.XLOOKUP(SpeedROI[[#This Row],[Planet '#]],tblprogress[Planet '#],tblprogress[Ship Level])</f>
        <v>0</v>
      </c>
      <c r="I15" s="44">
        <f>_xlfn.XLOOKUP(SpeedROI[[#This Row],[Planet '#]],tblprogress[Planet '#],tblprogress[Ship Speed])</f>
        <v>0</v>
      </c>
      <c r="J15" s="75">
        <f>_xlfn.XLOOKUP(SpeedROI[[#This Row],[Planet '#]],tblprogress[Planet '#],tblprogress[Mining Rate])</f>
        <v>0</v>
      </c>
      <c r="K15" s="28">
        <f>_xlfn.XLOOKUP(SpeedROI[[#This Row],[Planet '#]],tblprogress[Planet '#],tblprogress[Cargo])</f>
        <v>0</v>
      </c>
      <c r="L15" s="41">
        <f>_xlfn.XLOOKUP(SpeedROI[[#This Row],[Planet '#]],tblprogress[Planet '#],tblprogress[Efficiency],0)</f>
        <v>0</v>
      </c>
      <c r="M15" s="73">
        <f>IF(SpeedROI[[#This Row],[Current Efficiency]]&lt;=1,SpeedROI[[#This Row],[Mining Rate]]*60,SpeedROI[[#This Row],[Cargo]]/SpeedROI[[#This Row],[Total Time]]*60)</f>
        <v>0</v>
      </c>
      <c r="N15" s="73">
        <f>IF(SpeedROI[[#This Row],[Future Efficiency]]&lt;=1,SpeedROI[[#This Row],[Mining Rate]]*60,SpeedROI[[#This Row],[Cargo]]/SpeedROI[[#This Row],[New Time]]*60)</f>
        <v>0</v>
      </c>
      <c r="O15" s="34">
        <f>_xlfn.XLOOKUP(SpeedROI[[#This Row],[Planet '#]],tblplanetvalue[Planet '#],tblplanetvalue[Total Worth])</f>
        <v>16.2</v>
      </c>
      <c r="P15" s="35" t="str">
        <f>_xlfn.XLOOKUP(SpeedROI[[#This Row],[Planet '#]],tblplaneteco[Planet '#],tblplaneteco[Ship Speed Cost])</f>
        <v/>
      </c>
      <c r="Q15" s="63" t="str">
        <f>_xlfn.XLOOKUP(SpeedROI[[#This Row],[Planet '#]],tblprogress[Planet '#],tblprogress[Total Time])</f>
        <v/>
      </c>
      <c r="R15" s="63" t="str">
        <f>IF(SpeedROI[[#This Row],[Current Deposit]]&gt;0,SpeedROI[[#This Row],[Total Time]]*SpeedROI[[#This Row],[Ship Speed]]/SpeedROI[[#This Row],[Next Ship Speed]],"")</f>
        <v/>
      </c>
      <c r="S15" s="14" t="str">
        <f>IF(
   _xlfn.XLOOKUP(SpeedROI[[#This Row],[Planet '#]], tblPlanets[Planet '#], tblPlanets[Name])=SpeedROI[[#This Row],[Name]],
   "Match",
   "Mismatch"
)</f>
        <v>Match</v>
      </c>
    </row>
    <row r="16" spans="1:19" x14ac:dyDescent="0.3">
      <c r="A16" s="24">
        <v>15</v>
      </c>
      <c r="B16" s="24" t="str">
        <f>_xlfn.XLOOKUP(tblprogress[[#This Row],[Planet '#]],tblPlanets[Planet '#],tblPlanets[Name])</f>
        <v>Micah</v>
      </c>
      <c r="C16" s="44">
        <f>_xlfn.XLOOKUP(SpeedROI[[#This Row],[Speed Level]]+1,tblUpgradeStats[Level],tblUpgradeStats[Ship Speed])</f>
        <v>1</v>
      </c>
      <c r="D16" s="41">
        <f>IFERROR(SpeedROI[[#This Row],[Current Efficiency]]*(SpeedROI[[#This Row],[Ship Speed]]/SpeedROI[[#This Row],[Next Ship Speed]]),0)</f>
        <v>0</v>
      </c>
      <c r="E16" s="60">
        <f>SpeedROI[[#This Row],[Future Deposit]]-SpeedROI[[#This Row],[Current Deposit]]</f>
        <v>0</v>
      </c>
      <c r="F1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6" s="25">
        <f>_xlfn.XLOOKUP(SpeedROI[[#This Row],[Planet '#]],tblprogress[Planet '#],tblprogress[Ship Level])</f>
        <v>0</v>
      </c>
      <c r="I16" s="44">
        <f>_xlfn.XLOOKUP(SpeedROI[[#This Row],[Planet '#]],tblprogress[Planet '#],tblprogress[Ship Speed])</f>
        <v>0</v>
      </c>
      <c r="J16" s="75">
        <f>_xlfn.XLOOKUP(SpeedROI[[#This Row],[Planet '#]],tblprogress[Planet '#],tblprogress[Mining Rate])</f>
        <v>0</v>
      </c>
      <c r="K16" s="28">
        <f>_xlfn.XLOOKUP(SpeedROI[[#This Row],[Planet '#]],tblprogress[Planet '#],tblprogress[Cargo])</f>
        <v>0</v>
      </c>
      <c r="L16" s="41">
        <f>_xlfn.XLOOKUP(SpeedROI[[#This Row],[Planet '#]],tblprogress[Planet '#],tblprogress[Efficiency],0)</f>
        <v>0</v>
      </c>
      <c r="M16" s="73">
        <f>IF(SpeedROI[[#This Row],[Current Efficiency]]&lt;=1,SpeedROI[[#This Row],[Mining Rate]]*60,SpeedROI[[#This Row],[Cargo]]/SpeedROI[[#This Row],[Total Time]]*60)</f>
        <v>0</v>
      </c>
      <c r="N16" s="73">
        <f>IF(SpeedROI[[#This Row],[Future Efficiency]]&lt;=1,SpeedROI[[#This Row],[Mining Rate]]*60,SpeedROI[[#This Row],[Cargo]]/SpeedROI[[#This Row],[New Time]]*60)</f>
        <v>0</v>
      </c>
      <c r="O16" s="34">
        <f>_xlfn.XLOOKUP(SpeedROI[[#This Row],[Planet '#]],tblplanetvalue[Planet '#],tblplanetvalue[Total Worth])</f>
        <v>55.5</v>
      </c>
      <c r="P16" s="35" t="str">
        <f>_xlfn.XLOOKUP(SpeedROI[[#This Row],[Planet '#]],tblplaneteco[Planet '#],tblplaneteco[Ship Speed Cost])</f>
        <v/>
      </c>
      <c r="Q16" s="63" t="str">
        <f>_xlfn.XLOOKUP(SpeedROI[[#This Row],[Planet '#]],tblprogress[Planet '#],tblprogress[Total Time])</f>
        <v/>
      </c>
      <c r="R16" s="63" t="str">
        <f>IF(SpeedROI[[#This Row],[Current Deposit]]&gt;0,SpeedROI[[#This Row],[Total Time]]*SpeedROI[[#This Row],[Ship Speed]]/SpeedROI[[#This Row],[Next Ship Speed]],"")</f>
        <v/>
      </c>
      <c r="S16" s="14" t="str">
        <f>IF(
   _xlfn.XLOOKUP(SpeedROI[[#This Row],[Planet '#]], tblPlanets[Planet '#], tblPlanets[Name])=SpeedROI[[#This Row],[Name]],
   "Match",
   "Mismatch"
)</f>
        <v>Match</v>
      </c>
    </row>
    <row r="17" spans="1:19" x14ac:dyDescent="0.3">
      <c r="A17" s="25">
        <v>16</v>
      </c>
      <c r="B17" s="25" t="str">
        <f>_xlfn.XLOOKUP(tblprogress[[#This Row],[Planet '#]],tblPlanets[Planet '#],tblPlanets[Name])</f>
        <v>Pranas</v>
      </c>
      <c r="C17" s="44">
        <f>_xlfn.XLOOKUP(SpeedROI[[#This Row],[Speed Level]]+1,tblUpgradeStats[Level],tblUpgradeStats[Ship Speed])</f>
        <v>1</v>
      </c>
      <c r="D17" s="41">
        <f>IFERROR(SpeedROI[[#This Row],[Current Efficiency]]*(SpeedROI[[#This Row],[Ship Speed]]/SpeedROI[[#This Row],[Next Ship Speed]]),0)</f>
        <v>0</v>
      </c>
      <c r="E17" s="60">
        <f>SpeedROI[[#This Row],[Future Deposit]]-SpeedROI[[#This Row],[Current Deposit]]</f>
        <v>0</v>
      </c>
      <c r="F1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7" s="25">
        <f>_xlfn.XLOOKUP(SpeedROI[[#This Row],[Planet '#]],tblprogress[Planet '#],tblprogress[Ship Level])</f>
        <v>0</v>
      </c>
      <c r="I17" s="44">
        <f>_xlfn.XLOOKUP(SpeedROI[[#This Row],[Planet '#]],tblprogress[Planet '#],tblprogress[Ship Speed])</f>
        <v>0</v>
      </c>
      <c r="J17" s="75">
        <f>_xlfn.XLOOKUP(SpeedROI[[#This Row],[Planet '#]],tblprogress[Planet '#],tblprogress[Mining Rate])</f>
        <v>0</v>
      </c>
      <c r="K17" s="28">
        <f>_xlfn.XLOOKUP(SpeedROI[[#This Row],[Planet '#]],tblprogress[Planet '#],tblprogress[Cargo])</f>
        <v>0</v>
      </c>
      <c r="L17" s="41">
        <f>_xlfn.XLOOKUP(SpeedROI[[#This Row],[Planet '#]],tblprogress[Planet '#],tblprogress[Efficiency],0)</f>
        <v>0</v>
      </c>
      <c r="M17" s="73">
        <f>IF(SpeedROI[[#This Row],[Current Efficiency]]&lt;=1,SpeedROI[[#This Row],[Mining Rate]]*60,SpeedROI[[#This Row],[Cargo]]/SpeedROI[[#This Row],[Total Time]]*60)</f>
        <v>0</v>
      </c>
      <c r="N17" s="73">
        <f>IF(SpeedROI[[#This Row],[Future Efficiency]]&lt;=1,SpeedROI[[#This Row],[Mining Rate]]*60,SpeedROI[[#This Row],[Cargo]]/SpeedROI[[#This Row],[New Time]]*60)</f>
        <v>0</v>
      </c>
      <c r="O17" s="34">
        <f>_xlfn.XLOOKUP(SpeedROI[[#This Row],[Planet '#]],tblplanetvalue[Planet '#],tblplanetvalue[Total Worth])</f>
        <v>75</v>
      </c>
      <c r="P17" s="35" t="str">
        <f>_xlfn.XLOOKUP(SpeedROI[[#This Row],[Planet '#]],tblplaneteco[Planet '#],tblplaneteco[Ship Speed Cost])</f>
        <v/>
      </c>
      <c r="Q17" s="63" t="str">
        <f>_xlfn.XLOOKUP(SpeedROI[[#This Row],[Planet '#]],tblprogress[Planet '#],tblprogress[Total Time])</f>
        <v/>
      </c>
      <c r="R17" s="63" t="str">
        <f>IF(SpeedROI[[#This Row],[Current Deposit]]&gt;0,SpeedROI[[#This Row],[Total Time]]*SpeedROI[[#This Row],[Ship Speed]]/SpeedROI[[#This Row],[Next Ship Speed]],"")</f>
        <v/>
      </c>
      <c r="S17" s="14" t="str">
        <f>IF(
   _xlfn.XLOOKUP(SpeedROI[[#This Row],[Planet '#]], tblPlanets[Planet '#], tblPlanets[Name])=SpeedROI[[#This Row],[Name]],
   "Match",
   "Mismatch"
)</f>
        <v>Match</v>
      </c>
    </row>
    <row r="18" spans="1:19" x14ac:dyDescent="0.3">
      <c r="A18" s="24">
        <v>17</v>
      </c>
      <c r="B18" s="24" t="str">
        <f>_xlfn.XLOOKUP(tblprogress[[#This Row],[Planet '#]],tblPlanets[Planet '#],tblPlanets[Name])</f>
        <v>Castellus</v>
      </c>
      <c r="C18" s="44">
        <f>_xlfn.XLOOKUP(SpeedROI[[#This Row],[Speed Level]]+1,tblUpgradeStats[Level],tblUpgradeStats[Ship Speed])</f>
        <v>1</v>
      </c>
      <c r="D18" s="41">
        <f>IFERROR(SpeedROI[[#This Row],[Current Efficiency]]*(SpeedROI[[#This Row],[Ship Speed]]/SpeedROI[[#This Row],[Next Ship Speed]]),0)</f>
        <v>0</v>
      </c>
      <c r="E18" s="60">
        <f>SpeedROI[[#This Row],[Future Deposit]]-SpeedROI[[#This Row],[Current Deposit]]</f>
        <v>0</v>
      </c>
      <c r="F18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8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8" s="25">
        <f>_xlfn.XLOOKUP(SpeedROI[[#This Row],[Planet '#]],tblprogress[Planet '#],tblprogress[Ship Level])</f>
        <v>0</v>
      </c>
      <c r="I18" s="44">
        <f>_xlfn.XLOOKUP(SpeedROI[[#This Row],[Planet '#]],tblprogress[Planet '#],tblprogress[Ship Speed])</f>
        <v>0</v>
      </c>
      <c r="J18" s="75">
        <f>_xlfn.XLOOKUP(SpeedROI[[#This Row],[Planet '#]],tblprogress[Planet '#],tblprogress[Mining Rate])</f>
        <v>0</v>
      </c>
      <c r="K18" s="28">
        <f>_xlfn.XLOOKUP(SpeedROI[[#This Row],[Planet '#]],tblprogress[Planet '#],tblprogress[Cargo])</f>
        <v>0</v>
      </c>
      <c r="L18" s="41">
        <f>_xlfn.XLOOKUP(SpeedROI[[#This Row],[Planet '#]],tblprogress[Planet '#],tblprogress[Efficiency],0)</f>
        <v>0</v>
      </c>
      <c r="M18" s="73">
        <f>IF(SpeedROI[[#This Row],[Current Efficiency]]&lt;=1,SpeedROI[[#This Row],[Mining Rate]]*60,SpeedROI[[#This Row],[Cargo]]/SpeedROI[[#This Row],[Total Time]]*60)</f>
        <v>0</v>
      </c>
      <c r="N18" s="73">
        <f>IF(SpeedROI[[#This Row],[Future Efficiency]]&lt;=1,SpeedROI[[#This Row],[Mining Rate]]*60,SpeedROI[[#This Row],[Cargo]]/SpeedROI[[#This Row],[New Time]]*60)</f>
        <v>0</v>
      </c>
      <c r="O18" s="34">
        <f>_xlfn.XLOOKUP(SpeedROI[[#This Row],[Planet '#]],tblplanetvalue[Planet '#],tblplanetvalue[Total Worth])</f>
        <v>49.6</v>
      </c>
      <c r="P18" s="35" t="str">
        <f>_xlfn.XLOOKUP(SpeedROI[[#This Row],[Planet '#]],tblplaneteco[Planet '#],tblplaneteco[Ship Speed Cost])</f>
        <v/>
      </c>
      <c r="Q18" s="63" t="str">
        <f>_xlfn.XLOOKUP(SpeedROI[[#This Row],[Planet '#]],tblprogress[Planet '#],tblprogress[Total Time])</f>
        <v/>
      </c>
      <c r="R18" s="63" t="str">
        <f>IF(SpeedROI[[#This Row],[Current Deposit]]&gt;0,SpeedROI[[#This Row],[Total Time]]*SpeedROI[[#This Row],[Ship Speed]]/SpeedROI[[#This Row],[Next Ship Speed]],"")</f>
        <v/>
      </c>
      <c r="S18" s="14" t="str">
        <f>IF(
   _xlfn.XLOOKUP(SpeedROI[[#This Row],[Planet '#]], tblPlanets[Planet '#], tblPlanets[Name])=SpeedROI[[#This Row],[Name]],
   "Match",
   "Mismatch"
)</f>
        <v>Match</v>
      </c>
    </row>
    <row r="19" spans="1:19" x14ac:dyDescent="0.3">
      <c r="A19" s="25">
        <v>18</v>
      </c>
      <c r="B19" s="25" t="str">
        <f>_xlfn.XLOOKUP(tblprogress[[#This Row],[Planet '#]],tblPlanets[Planet '#],tblPlanets[Name])</f>
        <v>Gorgon</v>
      </c>
      <c r="C19" s="44">
        <f>_xlfn.XLOOKUP(SpeedROI[[#This Row],[Speed Level]]+1,tblUpgradeStats[Level],tblUpgradeStats[Ship Speed])</f>
        <v>1</v>
      </c>
      <c r="D19" s="41">
        <f>IFERROR(SpeedROI[[#This Row],[Current Efficiency]]*(SpeedROI[[#This Row],[Ship Speed]]/SpeedROI[[#This Row],[Next Ship Speed]]),0)</f>
        <v>0</v>
      </c>
      <c r="E19" s="60">
        <f>SpeedROI[[#This Row],[Future Deposit]]-SpeedROI[[#This Row],[Current Deposit]]</f>
        <v>0</v>
      </c>
      <c r="F19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19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19" s="25">
        <f>_xlfn.XLOOKUP(SpeedROI[[#This Row],[Planet '#]],tblprogress[Planet '#],tblprogress[Ship Level])</f>
        <v>0</v>
      </c>
      <c r="I19" s="44">
        <f>_xlfn.XLOOKUP(SpeedROI[[#This Row],[Planet '#]],tblprogress[Planet '#],tblprogress[Ship Speed])</f>
        <v>0</v>
      </c>
      <c r="J19" s="75">
        <f>_xlfn.XLOOKUP(SpeedROI[[#This Row],[Planet '#]],tblprogress[Planet '#],tblprogress[Mining Rate])</f>
        <v>0</v>
      </c>
      <c r="K19" s="28">
        <f>_xlfn.XLOOKUP(SpeedROI[[#This Row],[Planet '#]],tblprogress[Planet '#],tblprogress[Cargo])</f>
        <v>0</v>
      </c>
      <c r="L19" s="41">
        <f>_xlfn.XLOOKUP(SpeedROI[[#This Row],[Planet '#]],tblprogress[Planet '#],tblprogress[Efficiency],0)</f>
        <v>0</v>
      </c>
      <c r="M19" s="73">
        <f>IF(SpeedROI[[#This Row],[Current Efficiency]]&lt;=1,SpeedROI[[#This Row],[Mining Rate]]*60,SpeedROI[[#This Row],[Cargo]]/SpeedROI[[#This Row],[Total Time]]*60)</f>
        <v>0</v>
      </c>
      <c r="N19" s="73">
        <f>IF(SpeedROI[[#This Row],[Future Efficiency]]&lt;=1,SpeedROI[[#This Row],[Mining Rate]]*60,SpeedROI[[#This Row],[Cargo]]/SpeedROI[[#This Row],[New Time]]*60)</f>
        <v>0</v>
      </c>
      <c r="O19" s="34">
        <f>_xlfn.XLOOKUP(SpeedROI[[#This Row],[Planet '#]],tblplanetvalue[Planet '#],tblplanetvalue[Total Worth])</f>
        <v>128.80000000000001</v>
      </c>
      <c r="P19" s="35" t="str">
        <f>_xlfn.XLOOKUP(SpeedROI[[#This Row],[Planet '#]],tblplaneteco[Planet '#],tblplaneteco[Ship Speed Cost])</f>
        <v/>
      </c>
      <c r="Q19" s="63" t="str">
        <f>_xlfn.XLOOKUP(SpeedROI[[#This Row],[Planet '#]],tblprogress[Planet '#],tblprogress[Total Time])</f>
        <v/>
      </c>
      <c r="R19" s="63" t="str">
        <f>IF(SpeedROI[[#This Row],[Current Deposit]]&gt;0,SpeedROI[[#This Row],[Total Time]]*SpeedROI[[#This Row],[Ship Speed]]/SpeedROI[[#This Row],[Next Ship Speed]],"")</f>
        <v/>
      </c>
      <c r="S19" s="14" t="str">
        <f>IF(
   _xlfn.XLOOKUP(SpeedROI[[#This Row],[Planet '#]], tblPlanets[Planet '#], tblPlanets[Name])=SpeedROI[[#This Row],[Name]],
   "Match",
   "Mismatch"
)</f>
        <v>Match</v>
      </c>
    </row>
    <row r="20" spans="1:19" x14ac:dyDescent="0.3">
      <c r="A20" s="24">
        <v>19</v>
      </c>
      <c r="B20" s="24" t="str">
        <f>_xlfn.XLOOKUP(tblprogress[[#This Row],[Planet '#]],tblPlanets[Planet '#],tblPlanets[Name])</f>
        <v>Parnitha</v>
      </c>
      <c r="C20" s="44">
        <f>_xlfn.XLOOKUP(SpeedROI[[#This Row],[Speed Level]]+1,tblUpgradeStats[Level],tblUpgradeStats[Ship Speed])</f>
        <v>1</v>
      </c>
      <c r="D20" s="41">
        <f>IFERROR(SpeedROI[[#This Row],[Current Efficiency]]*(SpeedROI[[#This Row],[Ship Speed]]/SpeedROI[[#This Row],[Next Ship Speed]]),0)</f>
        <v>0</v>
      </c>
      <c r="E20" s="60">
        <f>SpeedROI[[#This Row],[Future Deposit]]-SpeedROI[[#This Row],[Current Deposit]]</f>
        <v>0</v>
      </c>
      <c r="F20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0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0" s="25">
        <f>_xlfn.XLOOKUP(SpeedROI[[#This Row],[Planet '#]],tblprogress[Planet '#],tblprogress[Ship Level])</f>
        <v>0</v>
      </c>
      <c r="I20" s="44">
        <f>_xlfn.XLOOKUP(SpeedROI[[#This Row],[Planet '#]],tblprogress[Planet '#],tblprogress[Ship Speed])</f>
        <v>0</v>
      </c>
      <c r="J20" s="75">
        <f>_xlfn.XLOOKUP(SpeedROI[[#This Row],[Planet '#]],tblprogress[Planet '#],tblprogress[Mining Rate])</f>
        <v>0</v>
      </c>
      <c r="K20" s="28">
        <f>_xlfn.XLOOKUP(SpeedROI[[#This Row],[Planet '#]],tblprogress[Planet '#],tblprogress[Cargo])</f>
        <v>0</v>
      </c>
      <c r="L20" s="41">
        <f>_xlfn.XLOOKUP(SpeedROI[[#This Row],[Planet '#]],tblprogress[Planet '#],tblprogress[Efficiency],0)</f>
        <v>0</v>
      </c>
      <c r="M20" s="73">
        <f>IF(SpeedROI[[#This Row],[Current Efficiency]]&lt;=1,SpeedROI[[#This Row],[Mining Rate]]*60,SpeedROI[[#This Row],[Cargo]]/SpeedROI[[#This Row],[Total Time]]*60)</f>
        <v>0</v>
      </c>
      <c r="N20" s="73">
        <f>IF(SpeedROI[[#This Row],[Future Efficiency]]&lt;=1,SpeedROI[[#This Row],[Mining Rate]]*60,SpeedROI[[#This Row],[Cargo]]/SpeedROI[[#This Row],[New Time]]*60)</f>
        <v>0</v>
      </c>
      <c r="O20" s="34">
        <f>_xlfn.XLOOKUP(SpeedROI[[#This Row],[Planet '#]],tblplanetvalue[Planet '#],tblplanetvalue[Total Worth])</f>
        <v>154.5</v>
      </c>
      <c r="P20" s="35" t="str">
        <f>_xlfn.XLOOKUP(SpeedROI[[#This Row],[Planet '#]],tblplaneteco[Planet '#],tblplaneteco[Ship Speed Cost])</f>
        <v/>
      </c>
      <c r="Q20" s="63" t="str">
        <f>_xlfn.XLOOKUP(SpeedROI[[#This Row],[Planet '#]],tblprogress[Planet '#],tblprogress[Total Time])</f>
        <v/>
      </c>
      <c r="R20" s="63" t="str">
        <f>IF(SpeedROI[[#This Row],[Current Deposit]]&gt;0,SpeedROI[[#This Row],[Total Time]]*SpeedROI[[#This Row],[Ship Speed]]/SpeedROI[[#This Row],[Next Ship Speed]],"")</f>
        <v/>
      </c>
      <c r="S20" s="14" t="str">
        <f>IF(
   _xlfn.XLOOKUP(SpeedROI[[#This Row],[Planet '#]], tblPlanets[Planet '#], tblPlanets[Name])=SpeedROI[[#This Row],[Name]],
   "Match",
   "Mismatch"
)</f>
        <v>Match</v>
      </c>
    </row>
    <row r="21" spans="1:19" x14ac:dyDescent="0.3">
      <c r="A21" s="25">
        <v>20</v>
      </c>
      <c r="B21" s="25" t="str">
        <f>_xlfn.XLOOKUP(tblprogress[[#This Row],[Planet '#]],tblPlanets[Planet '#],tblPlanets[Name])</f>
        <v>Orisoni</v>
      </c>
      <c r="C21" s="44">
        <f>_xlfn.XLOOKUP(SpeedROI[[#This Row],[Speed Level]]+1,tblUpgradeStats[Level],tblUpgradeStats[Ship Speed])</f>
        <v>1</v>
      </c>
      <c r="D21" s="41">
        <f>IFERROR(SpeedROI[[#This Row],[Current Efficiency]]*(SpeedROI[[#This Row],[Ship Speed]]/SpeedROI[[#This Row],[Next Ship Speed]]),0)</f>
        <v>0</v>
      </c>
      <c r="E21" s="60">
        <f>SpeedROI[[#This Row],[Future Deposit]]-SpeedROI[[#This Row],[Current Deposit]]</f>
        <v>0</v>
      </c>
      <c r="F21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1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1" s="25">
        <f>_xlfn.XLOOKUP(SpeedROI[[#This Row],[Planet '#]],tblprogress[Planet '#],tblprogress[Ship Level])</f>
        <v>0</v>
      </c>
      <c r="I21" s="44">
        <f>_xlfn.XLOOKUP(SpeedROI[[#This Row],[Planet '#]],tblprogress[Planet '#],tblprogress[Ship Speed])</f>
        <v>0</v>
      </c>
      <c r="J21" s="75">
        <f>_xlfn.XLOOKUP(SpeedROI[[#This Row],[Planet '#]],tblprogress[Planet '#],tblprogress[Mining Rate])</f>
        <v>0</v>
      </c>
      <c r="K21" s="28">
        <f>_xlfn.XLOOKUP(SpeedROI[[#This Row],[Planet '#]],tblprogress[Planet '#],tblprogress[Cargo])</f>
        <v>0</v>
      </c>
      <c r="L21" s="41">
        <f>_xlfn.XLOOKUP(SpeedROI[[#This Row],[Planet '#]],tblprogress[Planet '#],tblprogress[Efficiency],0)</f>
        <v>0</v>
      </c>
      <c r="M21" s="73">
        <f>IF(SpeedROI[[#This Row],[Current Efficiency]]&lt;=1,SpeedROI[[#This Row],[Mining Rate]]*60,SpeedROI[[#This Row],[Cargo]]/SpeedROI[[#This Row],[Total Time]]*60)</f>
        <v>0</v>
      </c>
      <c r="N21" s="73">
        <f>IF(SpeedROI[[#This Row],[Future Efficiency]]&lt;=1,SpeedROI[[#This Row],[Mining Rate]]*60,SpeedROI[[#This Row],[Cargo]]/SpeedROI[[#This Row],[New Time]]*60)</f>
        <v>0</v>
      </c>
      <c r="O21" s="34">
        <f>_xlfn.XLOOKUP(SpeedROI[[#This Row],[Planet '#]],tblplanetvalue[Planet '#],tblplanetvalue[Total Worth])</f>
        <v>286</v>
      </c>
      <c r="P21" s="35" t="str">
        <f>_xlfn.XLOOKUP(SpeedROI[[#This Row],[Planet '#]],tblplaneteco[Planet '#],tblplaneteco[Ship Speed Cost])</f>
        <v/>
      </c>
      <c r="Q21" s="63" t="str">
        <f>_xlfn.XLOOKUP(SpeedROI[[#This Row],[Planet '#]],tblprogress[Planet '#],tblprogress[Total Time])</f>
        <v/>
      </c>
      <c r="R21" s="63" t="str">
        <f>IF(SpeedROI[[#This Row],[Current Deposit]]&gt;0,SpeedROI[[#This Row],[Total Time]]*SpeedROI[[#This Row],[Ship Speed]]/SpeedROI[[#This Row],[Next Ship Speed]],"")</f>
        <v/>
      </c>
      <c r="S21" s="14" t="str">
        <f>IF(
   _xlfn.XLOOKUP(SpeedROI[[#This Row],[Planet '#]], tblPlanets[Planet '#], tblPlanets[Name])=SpeedROI[[#This Row],[Name]],
   "Match",
   "Mismatch"
)</f>
        <v>Match</v>
      </c>
    </row>
    <row r="22" spans="1:19" x14ac:dyDescent="0.3">
      <c r="A22" s="24">
        <v>21</v>
      </c>
      <c r="B22" s="24" t="str">
        <f>_xlfn.XLOOKUP(tblprogress[[#This Row],[Planet '#]],tblPlanets[Planet '#],tblPlanets[Name])</f>
        <v>Theseus</v>
      </c>
      <c r="C22" s="44">
        <f>_xlfn.XLOOKUP(SpeedROI[[#This Row],[Speed Level]]+1,tblUpgradeStats[Level],tblUpgradeStats[Ship Speed])</f>
        <v>1</v>
      </c>
      <c r="D22" s="41">
        <f>IFERROR(SpeedROI[[#This Row],[Current Efficiency]]*(SpeedROI[[#This Row],[Ship Speed]]/SpeedROI[[#This Row],[Next Ship Speed]]),0)</f>
        <v>0</v>
      </c>
      <c r="E22" s="60">
        <f>SpeedROI[[#This Row],[Future Deposit]]-SpeedROI[[#This Row],[Current Deposit]]</f>
        <v>0</v>
      </c>
      <c r="F2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2" s="25">
        <f>_xlfn.XLOOKUP(SpeedROI[[#This Row],[Planet '#]],tblprogress[Planet '#],tblprogress[Ship Level])</f>
        <v>0</v>
      </c>
      <c r="I22" s="44">
        <f>_xlfn.XLOOKUP(SpeedROI[[#This Row],[Planet '#]],tblprogress[Planet '#],tblprogress[Ship Speed])</f>
        <v>0</v>
      </c>
      <c r="J22" s="75">
        <f>_xlfn.XLOOKUP(SpeedROI[[#This Row],[Planet '#]],tblprogress[Planet '#],tblprogress[Mining Rate])</f>
        <v>0</v>
      </c>
      <c r="K22" s="28">
        <f>_xlfn.XLOOKUP(SpeedROI[[#This Row],[Planet '#]],tblprogress[Planet '#],tblprogress[Cargo])</f>
        <v>0</v>
      </c>
      <c r="L22" s="41">
        <f>_xlfn.XLOOKUP(SpeedROI[[#This Row],[Planet '#]],tblprogress[Planet '#],tblprogress[Efficiency],0)</f>
        <v>0</v>
      </c>
      <c r="M22" s="73">
        <f>IF(SpeedROI[[#This Row],[Current Efficiency]]&lt;=1,SpeedROI[[#This Row],[Mining Rate]]*60,SpeedROI[[#This Row],[Cargo]]/SpeedROI[[#This Row],[Total Time]]*60)</f>
        <v>0</v>
      </c>
      <c r="N22" s="73">
        <f>IF(SpeedROI[[#This Row],[Future Efficiency]]&lt;=1,SpeedROI[[#This Row],[Mining Rate]]*60,SpeedROI[[#This Row],[Cargo]]/SpeedROI[[#This Row],[New Time]]*60)</f>
        <v>0</v>
      </c>
      <c r="O22" s="34">
        <f>_xlfn.XLOOKUP(SpeedROI[[#This Row],[Planet '#]],tblplanetvalue[Planet '#],tblplanetvalue[Total Worth])</f>
        <v>340</v>
      </c>
      <c r="P22" s="35" t="str">
        <f>_xlfn.XLOOKUP(SpeedROI[[#This Row],[Planet '#]],tblplaneteco[Planet '#],tblplaneteco[Ship Speed Cost])</f>
        <v/>
      </c>
      <c r="Q22" s="63" t="str">
        <f>_xlfn.XLOOKUP(SpeedROI[[#This Row],[Planet '#]],tblprogress[Planet '#],tblprogress[Total Time])</f>
        <v/>
      </c>
      <c r="R22" s="63" t="str">
        <f>IF(SpeedROI[[#This Row],[Current Deposit]]&gt;0,SpeedROI[[#This Row],[Total Time]]*SpeedROI[[#This Row],[Ship Speed]]/SpeedROI[[#This Row],[Next Ship Speed]],"")</f>
        <v/>
      </c>
      <c r="S22" s="14" t="str">
        <f>IF(
   _xlfn.XLOOKUP(SpeedROI[[#This Row],[Planet '#]], tblPlanets[Planet '#], tblPlanets[Name])=SpeedROI[[#This Row],[Name]],
   "Match",
   "Mismatch"
)</f>
        <v>Match</v>
      </c>
    </row>
    <row r="23" spans="1:19" x14ac:dyDescent="0.3">
      <c r="A23" s="25">
        <v>22</v>
      </c>
      <c r="B23" s="25" t="str">
        <f>_xlfn.XLOOKUP(tblprogress[[#This Row],[Planet '#]],tblPlanets[Planet '#],tblPlanets[Name])</f>
        <v>Zelene</v>
      </c>
      <c r="C23" s="44">
        <f>_xlfn.XLOOKUP(SpeedROI[[#This Row],[Speed Level]]+1,tblUpgradeStats[Level],tblUpgradeStats[Ship Speed])</f>
        <v>1</v>
      </c>
      <c r="D23" s="41">
        <f>IFERROR(SpeedROI[[#This Row],[Current Efficiency]]*(SpeedROI[[#This Row],[Ship Speed]]/SpeedROI[[#This Row],[Next Ship Speed]]),0)</f>
        <v>0</v>
      </c>
      <c r="E23" s="60">
        <f>SpeedROI[[#This Row],[Future Deposit]]-SpeedROI[[#This Row],[Current Deposit]]</f>
        <v>0</v>
      </c>
      <c r="F2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3" s="25">
        <f>_xlfn.XLOOKUP(SpeedROI[[#This Row],[Planet '#]],tblprogress[Planet '#],tblprogress[Ship Level])</f>
        <v>0</v>
      </c>
      <c r="I23" s="44">
        <f>_xlfn.XLOOKUP(SpeedROI[[#This Row],[Planet '#]],tblprogress[Planet '#],tblprogress[Ship Speed])</f>
        <v>0</v>
      </c>
      <c r="J23" s="75">
        <f>_xlfn.XLOOKUP(SpeedROI[[#This Row],[Planet '#]],tblprogress[Planet '#],tblprogress[Mining Rate])</f>
        <v>0</v>
      </c>
      <c r="K23" s="28">
        <f>_xlfn.XLOOKUP(SpeedROI[[#This Row],[Planet '#]],tblprogress[Planet '#],tblprogress[Cargo])</f>
        <v>0</v>
      </c>
      <c r="L23" s="41">
        <f>_xlfn.XLOOKUP(SpeedROI[[#This Row],[Planet '#]],tblprogress[Planet '#],tblprogress[Efficiency],0)</f>
        <v>0</v>
      </c>
      <c r="M23" s="73">
        <f>IF(SpeedROI[[#This Row],[Current Efficiency]]&lt;=1,SpeedROI[[#This Row],[Mining Rate]]*60,SpeedROI[[#This Row],[Cargo]]/SpeedROI[[#This Row],[Total Time]]*60)</f>
        <v>0</v>
      </c>
      <c r="N23" s="73">
        <f>IF(SpeedROI[[#This Row],[Future Efficiency]]&lt;=1,SpeedROI[[#This Row],[Mining Rate]]*60,SpeedROI[[#This Row],[Cargo]]/SpeedROI[[#This Row],[New Time]]*60)</f>
        <v>0</v>
      </c>
      <c r="O23" s="34">
        <f>_xlfn.XLOOKUP(SpeedROI[[#This Row],[Planet '#]],tblplanetvalue[Planet '#],tblplanetvalue[Total Worth])</f>
        <v>244.2</v>
      </c>
      <c r="P23" s="35" t="str">
        <f>_xlfn.XLOOKUP(SpeedROI[[#This Row],[Planet '#]],tblplaneteco[Planet '#],tblplaneteco[Ship Speed Cost])</f>
        <v/>
      </c>
      <c r="Q23" s="63" t="str">
        <f>_xlfn.XLOOKUP(SpeedROI[[#This Row],[Planet '#]],tblprogress[Planet '#],tblprogress[Total Time])</f>
        <v/>
      </c>
      <c r="R23" s="63" t="str">
        <f>IF(SpeedROI[[#This Row],[Current Deposit]]&gt;0,SpeedROI[[#This Row],[Total Time]]*SpeedROI[[#This Row],[Ship Speed]]/SpeedROI[[#This Row],[Next Ship Speed]],"")</f>
        <v/>
      </c>
      <c r="S23" s="14" t="str">
        <f>IF(
   _xlfn.XLOOKUP(SpeedROI[[#This Row],[Planet '#]], tblPlanets[Planet '#], tblPlanets[Name])=SpeedROI[[#This Row],[Name]],
   "Match",
   "Mismatch"
)</f>
        <v>Match</v>
      </c>
    </row>
    <row r="24" spans="1:19" x14ac:dyDescent="0.3">
      <c r="A24" s="24">
        <v>23</v>
      </c>
      <c r="B24" s="24" t="str">
        <f>_xlfn.XLOOKUP(tblprogress[[#This Row],[Planet '#]],tblPlanets[Planet '#],tblPlanets[Name])</f>
        <v>Han</v>
      </c>
      <c r="C24" s="44">
        <f>_xlfn.XLOOKUP(SpeedROI[[#This Row],[Speed Level]]+1,tblUpgradeStats[Level],tblUpgradeStats[Ship Speed])</f>
        <v>1</v>
      </c>
      <c r="D24" s="41">
        <f>IFERROR(SpeedROI[[#This Row],[Current Efficiency]]*(SpeedROI[[#This Row],[Ship Speed]]/SpeedROI[[#This Row],[Next Ship Speed]]),0)</f>
        <v>0</v>
      </c>
      <c r="E24" s="60">
        <f>SpeedROI[[#This Row],[Future Deposit]]-SpeedROI[[#This Row],[Current Deposit]]</f>
        <v>0</v>
      </c>
      <c r="F2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4" s="25">
        <f>_xlfn.XLOOKUP(SpeedROI[[#This Row],[Planet '#]],tblprogress[Planet '#],tblprogress[Ship Level])</f>
        <v>0</v>
      </c>
      <c r="I24" s="44">
        <f>_xlfn.XLOOKUP(SpeedROI[[#This Row],[Planet '#]],tblprogress[Planet '#],tblprogress[Ship Speed])</f>
        <v>0</v>
      </c>
      <c r="J24" s="75">
        <f>_xlfn.XLOOKUP(SpeedROI[[#This Row],[Planet '#]],tblprogress[Planet '#],tblprogress[Mining Rate])</f>
        <v>0</v>
      </c>
      <c r="K24" s="28">
        <f>_xlfn.XLOOKUP(SpeedROI[[#This Row],[Planet '#]],tblprogress[Planet '#],tblprogress[Cargo])</f>
        <v>0</v>
      </c>
      <c r="L24" s="41">
        <f>_xlfn.XLOOKUP(SpeedROI[[#This Row],[Planet '#]],tblprogress[Planet '#],tblprogress[Efficiency],0)</f>
        <v>0</v>
      </c>
      <c r="M24" s="73">
        <f>IF(SpeedROI[[#This Row],[Current Efficiency]]&lt;=1,SpeedROI[[#This Row],[Mining Rate]]*60,SpeedROI[[#This Row],[Cargo]]/SpeedROI[[#This Row],[Total Time]]*60)</f>
        <v>0</v>
      </c>
      <c r="N24" s="73">
        <f>IF(SpeedROI[[#This Row],[Future Efficiency]]&lt;=1,SpeedROI[[#This Row],[Mining Rate]]*60,SpeedROI[[#This Row],[Cargo]]/SpeedROI[[#This Row],[New Time]]*60)</f>
        <v>0</v>
      </c>
      <c r="O24" s="34">
        <f>_xlfn.XLOOKUP(SpeedROI[[#This Row],[Planet '#]],tblplanetvalue[Planet '#],tblplanetvalue[Total Worth])</f>
        <v>550.5</v>
      </c>
      <c r="P24" s="35" t="str">
        <f>_xlfn.XLOOKUP(SpeedROI[[#This Row],[Planet '#]],tblplaneteco[Planet '#],tblplaneteco[Ship Speed Cost])</f>
        <v/>
      </c>
      <c r="Q24" s="63" t="str">
        <f>_xlfn.XLOOKUP(SpeedROI[[#This Row],[Planet '#]],tblprogress[Planet '#],tblprogress[Total Time])</f>
        <v/>
      </c>
      <c r="R24" s="63" t="str">
        <f>IF(SpeedROI[[#This Row],[Current Deposit]]&gt;0,SpeedROI[[#This Row],[Total Time]]*SpeedROI[[#This Row],[Ship Speed]]/SpeedROI[[#This Row],[Next Ship Speed]],"")</f>
        <v/>
      </c>
      <c r="S24" s="14" t="str">
        <f>IF(
   _xlfn.XLOOKUP(SpeedROI[[#This Row],[Planet '#]], tblPlanets[Planet '#], tblPlanets[Name])=SpeedROI[[#This Row],[Name]],
   "Match",
   "Mismatch"
)</f>
        <v>Match</v>
      </c>
    </row>
    <row r="25" spans="1:19" x14ac:dyDescent="0.3">
      <c r="A25" s="25">
        <v>24</v>
      </c>
      <c r="B25" s="25" t="str">
        <f>_xlfn.XLOOKUP(tblprogress[[#This Row],[Planet '#]],tblPlanets[Planet '#],tblPlanets[Name])</f>
        <v>Strennus</v>
      </c>
      <c r="C25" s="44">
        <f>_xlfn.XLOOKUP(SpeedROI[[#This Row],[Speed Level]]+1,tblUpgradeStats[Level],tblUpgradeStats[Ship Speed])</f>
        <v>1</v>
      </c>
      <c r="D25" s="41">
        <f>IFERROR(SpeedROI[[#This Row],[Current Efficiency]]*(SpeedROI[[#This Row],[Ship Speed]]/SpeedROI[[#This Row],[Next Ship Speed]]),0)</f>
        <v>0</v>
      </c>
      <c r="E25" s="60">
        <f>SpeedROI[[#This Row],[Future Deposit]]-SpeedROI[[#This Row],[Current Deposit]]</f>
        <v>0</v>
      </c>
      <c r="F2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5" s="25">
        <f>_xlfn.XLOOKUP(SpeedROI[[#This Row],[Planet '#]],tblprogress[Planet '#],tblprogress[Ship Level])</f>
        <v>0</v>
      </c>
      <c r="I25" s="44">
        <f>_xlfn.XLOOKUP(SpeedROI[[#This Row],[Planet '#]],tblprogress[Planet '#],tblprogress[Ship Speed])</f>
        <v>0</v>
      </c>
      <c r="J25" s="75">
        <f>_xlfn.XLOOKUP(SpeedROI[[#This Row],[Planet '#]],tblprogress[Planet '#],tblprogress[Mining Rate])</f>
        <v>0</v>
      </c>
      <c r="K25" s="28">
        <f>_xlfn.XLOOKUP(SpeedROI[[#This Row],[Planet '#]],tblprogress[Planet '#],tblprogress[Cargo])</f>
        <v>0</v>
      </c>
      <c r="L25" s="41">
        <f>_xlfn.XLOOKUP(SpeedROI[[#This Row],[Planet '#]],tblprogress[Planet '#],tblprogress[Efficiency],0)</f>
        <v>0</v>
      </c>
      <c r="M25" s="73">
        <f>IF(SpeedROI[[#This Row],[Current Efficiency]]&lt;=1,SpeedROI[[#This Row],[Mining Rate]]*60,SpeedROI[[#This Row],[Cargo]]/SpeedROI[[#This Row],[Total Time]]*60)</f>
        <v>0</v>
      </c>
      <c r="N25" s="73">
        <f>IF(SpeedROI[[#This Row],[Future Efficiency]]&lt;=1,SpeedROI[[#This Row],[Mining Rate]]*60,SpeedROI[[#This Row],[Cargo]]/SpeedROI[[#This Row],[New Time]]*60)</f>
        <v>0</v>
      </c>
      <c r="O25" s="34">
        <f>_xlfn.XLOOKUP(SpeedROI[[#This Row],[Planet '#]],tblplanetvalue[Planet '#],tblplanetvalue[Total Worth])</f>
        <v>613</v>
      </c>
      <c r="P25" s="35" t="str">
        <f>_xlfn.XLOOKUP(SpeedROI[[#This Row],[Planet '#]],tblplaneteco[Planet '#],tblplaneteco[Ship Speed Cost])</f>
        <v/>
      </c>
      <c r="Q25" s="63" t="str">
        <f>_xlfn.XLOOKUP(SpeedROI[[#This Row],[Planet '#]],tblprogress[Planet '#],tblprogress[Total Time])</f>
        <v/>
      </c>
      <c r="R25" s="63" t="str">
        <f>IF(SpeedROI[[#This Row],[Current Deposit]]&gt;0,SpeedROI[[#This Row],[Total Time]]*SpeedROI[[#This Row],[Ship Speed]]/SpeedROI[[#This Row],[Next Ship Speed]],"")</f>
        <v/>
      </c>
      <c r="S25" s="14" t="str">
        <f>IF(
   _xlfn.XLOOKUP(SpeedROI[[#This Row],[Planet '#]], tblPlanets[Planet '#], tblPlanets[Name])=SpeedROI[[#This Row],[Name]],
   "Match",
   "Mismatch"
)</f>
        <v>Match</v>
      </c>
    </row>
    <row r="26" spans="1:19" x14ac:dyDescent="0.3">
      <c r="A26" s="24">
        <v>25</v>
      </c>
      <c r="B26" s="24" t="str">
        <f>_xlfn.XLOOKUP(tblprogress[[#This Row],[Planet '#]],tblPlanets[Planet '#],tblPlanets[Name])</f>
        <v>Osun</v>
      </c>
      <c r="C26" s="44">
        <f>_xlfn.XLOOKUP(SpeedROI[[#This Row],[Speed Level]]+1,tblUpgradeStats[Level],tblUpgradeStats[Ship Speed])</f>
        <v>1</v>
      </c>
      <c r="D26" s="41">
        <f>IFERROR(SpeedROI[[#This Row],[Current Efficiency]]*(SpeedROI[[#This Row],[Ship Speed]]/SpeedROI[[#This Row],[Next Ship Speed]]),0)</f>
        <v>0</v>
      </c>
      <c r="E26" s="60">
        <f>SpeedROI[[#This Row],[Future Deposit]]-SpeedROI[[#This Row],[Current Deposit]]</f>
        <v>0</v>
      </c>
      <c r="F2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6" s="25">
        <f>_xlfn.XLOOKUP(SpeedROI[[#This Row],[Planet '#]],tblprogress[Planet '#],tblprogress[Ship Level])</f>
        <v>0</v>
      </c>
      <c r="I26" s="44">
        <f>_xlfn.XLOOKUP(SpeedROI[[#This Row],[Planet '#]],tblprogress[Planet '#],tblprogress[Ship Speed])</f>
        <v>0</v>
      </c>
      <c r="J26" s="75">
        <f>_xlfn.XLOOKUP(SpeedROI[[#This Row],[Planet '#]],tblprogress[Planet '#],tblprogress[Mining Rate])</f>
        <v>0</v>
      </c>
      <c r="K26" s="28">
        <f>_xlfn.XLOOKUP(SpeedROI[[#This Row],[Planet '#]],tblprogress[Planet '#],tblprogress[Cargo])</f>
        <v>0</v>
      </c>
      <c r="L26" s="41">
        <f>_xlfn.XLOOKUP(SpeedROI[[#This Row],[Planet '#]],tblprogress[Planet '#],tblprogress[Efficiency],0)</f>
        <v>0</v>
      </c>
      <c r="M26" s="73">
        <f>IF(SpeedROI[[#This Row],[Current Efficiency]]&lt;=1,SpeedROI[[#This Row],[Mining Rate]]*60,SpeedROI[[#This Row],[Cargo]]/SpeedROI[[#This Row],[Total Time]]*60)</f>
        <v>0</v>
      </c>
      <c r="N26" s="73">
        <f>IF(SpeedROI[[#This Row],[Future Efficiency]]&lt;=1,SpeedROI[[#This Row],[Mining Rate]]*60,SpeedROI[[#This Row],[Cargo]]/SpeedROI[[#This Row],[New Time]]*60)</f>
        <v>0</v>
      </c>
      <c r="O26" s="34">
        <f>_xlfn.XLOOKUP(SpeedROI[[#This Row],[Planet '#]],tblplanetvalue[Planet '#],tblplanetvalue[Total Worth])</f>
        <v>650.20000000000005</v>
      </c>
      <c r="P26" s="35" t="str">
        <f>_xlfn.XLOOKUP(SpeedROI[[#This Row],[Planet '#]],tblplaneteco[Planet '#],tblplaneteco[Ship Speed Cost])</f>
        <v/>
      </c>
      <c r="Q26" s="63" t="str">
        <f>_xlfn.XLOOKUP(SpeedROI[[#This Row],[Planet '#]],tblprogress[Planet '#],tblprogress[Total Time])</f>
        <v/>
      </c>
      <c r="R26" s="63" t="str">
        <f>IF(SpeedROI[[#This Row],[Current Deposit]]&gt;0,SpeedROI[[#This Row],[Total Time]]*SpeedROI[[#This Row],[Ship Speed]]/SpeedROI[[#This Row],[Next Ship Speed]],"")</f>
        <v/>
      </c>
      <c r="S26" s="14" t="str">
        <f>IF(
   _xlfn.XLOOKUP(SpeedROI[[#This Row],[Planet '#]], tblPlanets[Planet '#], tblPlanets[Name])=SpeedROI[[#This Row],[Name]],
   "Match",
   "Mismatch"
)</f>
        <v>Match</v>
      </c>
    </row>
    <row r="27" spans="1:19" x14ac:dyDescent="0.3">
      <c r="A27" s="25">
        <v>26</v>
      </c>
      <c r="B27" s="25" t="str">
        <f>_xlfn.XLOOKUP(tblprogress[[#This Row],[Planet '#]],tblPlanets[Planet '#],tblPlanets[Name])</f>
        <v>Ploitari</v>
      </c>
      <c r="C27" s="44">
        <f>_xlfn.XLOOKUP(SpeedROI[[#This Row],[Speed Level]]+1,tblUpgradeStats[Level],tblUpgradeStats[Ship Speed])</f>
        <v>1</v>
      </c>
      <c r="D27" s="41">
        <f>IFERROR(SpeedROI[[#This Row],[Current Efficiency]]*(SpeedROI[[#This Row],[Ship Speed]]/SpeedROI[[#This Row],[Next Ship Speed]]),0)</f>
        <v>0</v>
      </c>
      <c r="E27" s="60">
        <f>SpeedROI[[#This Row],[Future Deposit]]-SpeedROI[[#This Row],[Current Deposit]]</f>
        <v>0</v>
      </c>
      <c r="F2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7" s="25">
        <f>_xlfn.XLOOKUP(SpeedROI[[#This Row],[Planet '#]],tblprogress[Planet '#],tblprogress[Ship Level])</f>
        <v>0</v>
      </c>
      <c r="I27" s="44">
        <f>_xlfn.XLOOKUP(SpeedROI[[#This Row],[Planet '#]],tblprogress[Planet '#],tblprogress[Ship Speed])</f>
        <v>0</v>
      </c>
      <c r="J27" s="75">
        <f>_xlfn.XLOOKUP(SpeedROI[[#This Row],[Planet '#]],tblprogress[Planet '#],tblprogress[Mining Rate])</f>
        <v>0</v>
      </c>
      <c r="K27" s="28">
        <f>_xlfn.XLOOKUP(SpeedROI[[#This Row],[Planet '#]],tblprogress[Planet '#],tblprogress[Cargo])</f>
        <v>0</v>
      </c>
      <c r="L27" s="41">
        <f>_xlfn.XLOOKUP(SpeedROI[[#This Row],[Planet '#]],tblprogress[Planet '#],tblprogress[Efficiency],0)</f>
        <v>0</v>
      </c>
      <c r="M27" s="73">
        <f>IF(SpeedROI[[#This Row],[Current Efficiency]]&lt;=1,SpeedROI[[#This Row],[Mining Rate]]*60,SpeedROI[[#This Row],[Cargo]]/SpeedROI[[#This Row],[Total Time]]*60)</f>
        <v>0</v>
      </c>
      <c r="N27" s="73">
        <f>IF(SpeedROI[[#This Row],[Future Efficiency]]&lt;=1,SpeedROI[[#This Row],[Mining Rate]]*60,SpeedROI[[#This Row],[Cargo]]/SpeedROI[[#This Row],[New Time]]*60)</f>
        <v>0</v>
      </c>
      <c r="O27" s="34">
        <f>_xlfn.XLOOKUP(SpeedROI[[#This Row],[Planet '#]],tblplanetvalue[Planet '#],tblplanetvalue[Total Worth])</f>
        <v>880</v>
      </c>
      <c r="P27" s="35" t="str">
        <f>_xlfn.XLOOKUP(SpeedROI[[#This Row],[Planet '#]],tblplaneteco[Planet '#],tblplaneteco[Ship Speed Cost])</f>
        <v/>
      </c>
      <c r="Q27" s="63" t="str">
        <f>_xlfn.XLOOKUP(SpeedROI[[#This Row],[Planet '#]],tblprogress[Planet '#],tblprogress[Total Time])</f>
        <v/>
      </c>
      <c r="R27" s="63" t="str">
        <f>IF(SpeedROI[[#This Row],[Current Deposit]]&gt;0,SpeedROI[[#This Row],[Total Time]]*SpeedROI[[#This Row],[Ship Speed]]/SpeedROI[[#This Row],[Next Ship Speed]],"")</f>
        <v/>
      </c>
      <c r="S27" s="14" t="str">
        <f>IF(
   _xlfn.XLOOKUP(SpeedROI[[#This Row],[Planet '#]], tblPlanets[Planet '#], tblPlanets[Name])=SpeedROI[[#This Row],[Name]],
   "Match",
   "Mismatch"
)</f>
        <v>Match</v>
      </c>
    </row>
    <row r="28" spans="1:19" x14ac:dyDescent="0.3">
      <c r="A28" s="24">
        <v>27</v>
      </c>
      <c r="B28" s="24" t="str">
        <f>_xlfn.XLOOKUP(tblprogress[[#This Row],[Planet '#]],tblPlanets[Planet '#],tblPlanets[Name])</f>
        <v>Elysta</v>
      </c>
      <c r="C28" s="44">
        <f>_xlfn.XLOOKUP(SpeedROI[[#This Row],[Speed Level]]+1,tblUpgradeStats[Level],tblUpgradeStats[Ship Speed])</f>
        <v>1</v>
      </c>
      <c r="D28" s="41">
        <f>IFERROR(SpeedROI[[#This Row],[Current Efficiency]]*(SpeedROI[[#This Row],[Ship Speed]]/SpeedROI[[#This Row],[Next Ship Speed]]),0)</f>
        <v>0</v>
      </c>
      <c r="E28" s="60">
        <f>SpeedROI[[#This Row],[Future Deposit]]-SpeedROI[[#This Row],[Current Deposit]]</f>
        <v>0</v>
      </c>
      <c r="F28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8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8" s="25">
        <f>_xlfn.XLOOKUP(SpeedROI[[#This Row],[Planet '#]],tblprogress[Planet '#],tblprogress[Ship Level])</f>
        <v>0</v>
      </c>
      <c r="I28" s="44">
        <f>_xlfn.XLOOKUP(SpeedROI[[#This Row],[Planet '#]],tblprogress[Planet '#],tblprogress[Ship Speed])</f>
        <v>0</v>
      </c>
      <c r="J28" s="75">
        <f>_xlfn.XLOOKUP(SpeedROI[[#This Row],[Planet '#]],tblprogress[Planet '#],tblprogress[Mining Rate])</f>
        <v>0</v>
      </c>
      <c r="K28" s="28">
        <f>_xlfn.XLOOKUP(SpeedROI[[#This Row],[Planet '#]],tblprogress[Planet '#],tblprogress[Cargo])</f>
        <v>0</v>
      </c>
      <c r="L28" s="41">
        <f>_xlfn.XLOOKUP(SpeedROI[[#This Row],[Planet '#]],tblprogress[Planet '#],tblprogress[Efficiency],0)</f>
        <v>0</v>
      </c>
      <c r="M28" s="73">
        <f>IF(SpeedROI[[#This Row],[Current Efficiency]]&lt;=1,SpeedROI[[#This Row],[Mining Rate]]*60,SpeedROI[[#This Row],[Cargo]]/SpeedROI[[#This Row],[Total Time]]*60)</f>
        <v>0</v>
      </c>
      <c r="N28" s="73">
        <f>IF(SpeedROI[[#This Row],[Future Efficiency]]&lt;=1,SpeedROI[[#This Row],[Mining Rate]]*60,SpeedROI[[#This Row],[Cargo]]/SpeedROI[[#This Row],[New Time]]*60)</f>
        <v>0</v>
      </c>
      <c r="O28" s="34">
        <f>_xlfn.XLOOKUP(SpeedROI[[#This Row],[Planet '#]],tblplanetvalue[Planet '#],tblplanetvalue[Total Worth])</f>
        <v>1600</v>
      </c>
      <c r="P28" s="35" t="str">
        <f>_xlfn.XLOOKUP(SpeedROI[[#This Row],[Planet '#]],tblplaneteco[Planet '#],tblplaneteco[Ship Speed Cost])</f>
        <v/>
      </c>
      <c r="Q28" s="63" t="str">
        <f>_xlfn.XLOOKUP(SpeedROI[[#This Row],[Planet '#]],tblprogress[Planet '#],tblprogress[Total Time])</f>
        <v/>
      </c>
      <c r="R28" s="63" t="str">
        <f>IF(SpeedROI[[#This Row],[Current Deposit]]&gt;0,SpeedROI[[#This Row],[Total Time]]*SpeedROI[[#This Row],[Ship Speed]]/SpeedROI[[#This Row],[Next Ship Speed]],"")</f>
        <v/>
      </c>
      <c r="S28" s="14" t="str">
        <f>IF(
   _xlfn.XLOOKUP(SpeedROI[[#This Row],[Planet '#]], tblPlanets[Planet '#], tblPlanets[Name])=SpeedROI[[#This Row],[Name]],
   "Match",
   "Mismatch"
)</f>
        <v>Match</v>
      </c>
    </row>
    <row r="29" spans="1:19" x14ac:dyDescent="0.3">
      <c r="A29" s="25">
        <v>28</v>
      </c>
      <c r="B29" s="25" t="str">
        <f>_xlfn.XLOOKUP(tblprogress[[#This Row],[Planet '#]],tblPlanets[Planet '#],tblPlanets[Name])</f>
        <v>Tikkun</v>
      </c>
      <c r="C29" s="44">
        <f>_xlfn.XLOOKUP(SpeedROI[[#This Row],[Speed Level]]+1,tblUpgradeStats[Level],tblUpgradeStats[Ship Speed])</f>
        <v>1</v>
      </c>
      <c r="D29" s="41">
        <f>IFERROR(SpeedROI[[#This Row],[Current Efficiency]]*(SpeedROI[[#This Row],[Ship Speed]]/SpeedROI[[#This Row],[Next Ship Speed]]),0)</f>
        <v>0</v>
      </c>
      <c r="E29" s="60">
        <f>SpeedROI[[#This Row],[Future Deposit]]-SpeedROI[[#This Row],[Current Deposit]]</f>
        <v>0</v>
      </c>
      <c r="F29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29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29" s="25">
        <f>_xlfn.XLOOKUP(SpeedROI[[#This Row],[Planet '#]],tblprogress[Planet '#],tblprogress[Ship Level])</f>
        <v>0</v>
      </c>
      <c r="I29" s="44">
        <f>_xlfn.XLOOKUP(SpeedROI[[#This Row],[Planet '#]],tblprogress[Planet '#],tblprogress[Ship Speed])</f>
        <v>0</v>
      </c>
      <c r="J29" s="75">
        <f>_xlfn.XLOOKUP(SpeedROI[[#This Row],[Planet '#]],tblprogress[Planet '#],tblprogress[Mining Rate])</f>
        <v>0</v>
      </c>
      <c r="K29" s="28">
        <f>_xlfn.XLOOKUP(SpeedROI[[#This Row],[Planet '#]],tblprogress[Planet '#],tblprogress[Cargo])</f>
        <v>0</v>
      </c>
      <c r="L29" s="41">
        <f>_xlfn.XLOOKUP(SpeedROI[[#This Row],[Planet '#]],tblprogress[Planet '#],tblprogress[Efficiency],0)</f>
        <v>0</v>
      </c>
      <c r="M29" s="73">
        <f>IF(SpeedROI[[#This Row],[Current Efficiency]]&lt;=1,SpeedROI[[#This Row],[Mining Rate]]*60,SpeedROI[[#This Row],[Cargo]]/SpeedROI[[#This Row],[Total Time]]*60)</f>
        <v>0</v>
      </c>
      <c r="N29" s="73">
        <f>IF(SpeedROI[[#This Row],[Future Efficiency]]&lt;=1,SpeedROI[[#This Row],[Mining Rate]]*60,SpeedROI[[#This Row],[Cargo]]/SpeedROI[[#This Row],[New Time]]*60)</f>
        <v>0</v>
      </c>
      <c r="O29" s="34">
        <f>_xlfn.XLOOKUP(SpeedROI[[#This Row],[Planet '#]],tblplanetvalue[Planet '#],tblplanetvalue[Total Worth])</f>
        <v>1770.5</v>
      </c>
      <c r="P29" s="35" t="str">
        <f>_xlfn.XLOOKUP(SpeedROI[[#This Row],[Planet '#]],tblplaneteco[Planet '#],tblplaneteco[Ship Speed Cost])</f>
        <v/>
      </c>
      <c r="Q29" s="63" t="str">
        <f>_xlfn.XLOOKUP(SpeedROI[[#This Row],[Planet '#]],tblprogress[Planet '#],tblprogress[Total Time])</f>
        <v/>
      </c>
      <c r="R29" s="63" t="str">
        <f>IF(SpeedROI[[#This Row],[Current Deposit]]&gt;0,SpeedROI[[#This Row],[Total Time]]*SpeedROI[[#This Row],[Ship Speed]]/SpeedROI[[#This Row],[Next Ship Speed]],"")</f>
        <v/>
      </c>
      <c r="S29" s="14" t="str">
        <f>IF(
   _xlfn.XLOOKUP(SpeedROI[[#This Row],[Planet '#]], tblPlanets[Planet '#], tblPlanets[Name])=SpeedROI[[#This Row],[Name]],
   "Match",
   "Mismatch"
)</f>
        <v>Match</v>
      </c>
    </row>
    <row r="30" spans="1:19" x14ac:dyDescent="0.3">
      <c r="A30" s="24">
        <v>29</v>
      </c>
      <c r="B30" s="24" t="str">
        <f>_xlfn.XLOOKUP(tblprogress[[#This Row],[Planet '#]],tblPlanets[Planet '#],tblPlanets[Name])</f>
        <v>Satent</v>
      </c>
      <c r="C30" s="44">
        <f>_xlfn.XLOOKUP(SpeedROI[[#This Row],[Speed Level]]+1,tblUpgradeStats[Level],tblUpgradeStats[Ship Speed])</f>
        <v>1</v>
      </c>
      <c r="D30" s="41">
        <f>IFERROR(SpeedROI[[#This Row],[Current Efficiency]]*(SpeedROI[[#This Row],[Ship Speed]]/SpeedROI[[#This Row],[Next Ship Speed]]),0)</f>
        <v>0</v>
      </c>
      <c r="E30" s="60">
        <f>SpeedROI[[#This Row],[Future Deposit]]-SpeedROI[[#This Row],[Current Deposit]]</f>
        <v>0</v>
      </c>
      <c r="F30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0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0" s="25">
        <f>_xlfn.XLOOKUP(SpeedROI[[#This Row],[Planet '#]],tblprogress[Planet '#],tblprogress[Ship Level])</f>
        <v>0</v>
      </c>
      <c r="I30" s="44">
        <f>_xlfn.XLOOKUP(SpeedROI[[#This Row],[Planet '#]],tblprogress[Planet '#],tblprogress[Ship Speed])</f>
        <v>0</v>
      </c>
      <c r="J30" s="75">
        <f>_xlfn.XLOOKUP(SpeedROI[[#This Row],[Planet '#]],tblprogress[Planet '#],tblprogress[Mining Rate])</f>
        <v>0</v>
      </c>
      <c r="K30" s="28">
        <f>_xlfn.XLOOKUP(SpeedROI[[#This Row],[Planet '#]],tblprogress[Planet '#],tblprogress[Cargo])</f>
        <v>0</v>
      </c>
      <c r="L30" s="41">
        <f>_xlfn.XLOOKUP(SpeedROI[[#This Row],[Planet '#]],tblprogress[Planet '#],tblprogress[Efficiency],0)</f>
        <v>0</v>
      </c>
      <c r="M30" s="73">
        <f>IF(SpeedROI[[#This Row],[Current Efficiency]]&lt;=1,SpeedROI[[#This Row],[Mining Rate]]*60,SpeedROI[[#This Row],[Cargo]]/SpeedROI[[#This Row],[Total Time]]*60)</f>
        <v>0</v>
      </c>
      <c r="N30" s="73">
        <f>IF(SpeedROI[[#This Row],[Future Efficiency]]&lt;=1,SpeedROI[[#This Row],[Mining Rate]]*60,SpeedROI[[#This Row],[Cargo]]/SpeedROI[[#This Row],[New Time]]*60)</f>
        <v>0</v>
      </c>
      <c r="O30" s="34">
        <f>_xlfn.XLOOKUP(SpeedROI[[#This Row],[Planet '#]],tblplanetvalue[Planet '#],tblplanetvalue[Total Worth])</f>
        <v>2392</v>
      </c>
      <c r="P30" s="35" t="str">
        <f>_xlfn.XLOOKUP(SpeedROI[[#This Row],[Planet '#]],tblplaneteco[Planet '#],tblplaneteco[Ship Speed Cost])</f>
        <v/>
      </c>
      <c r="Q30" s="63" t="str">
        <f>_xlfn.XLOOKUP(SpeedROI[[#This Row],[Planet '#]],tblprogress[Planet '#],tblprogress[Total Time])</f>
        <v/>
      </c>
      <c r="R30" s="63" t="str">
        <f>IF(SpeedROI[[#This Row],[Current Deposit]]&gt;0,SpeedROI[[#This Row],[Total Time]]*SpeedROI[[#This Row],[Ship Speed]]/SpeedROI[[#This Row],[Next Ship Speed]],"")</f>
        <v/>
      </c>
      <c r="S30" s="14" t="str">
        <f>IF(
   _xlfn.XLOOKUP(SpeedROI[[#This Row],[Planet '#]], tblPlanets[Planet '#], tblPlanets[Name])=SpeedROI[[#This Row],[Name]],
   "Match",
   "Mismatch"
)</f>
        <v>Match</v>
      </c>
    </row>
    <row r="31" spans="1:19" x14ac:dyDescent="0.3">
      <c r="A31" s="25">
        <v>30</v>
      </c>
      <c r="B31" s="25" t="str">
        <f>_xlfn.XLOOKUP(tblprogress[[#This Row],[Planet '#]],tblPlanets[Planet '#],tblPlanets[Name])</f>
        <v>Urla Rast</v>
      </c>
      <c r="C31" s="44">
        <f>_xlfn.XLOOKUP(SpeedROI[[#This Row],[Speed Level]]+1,tblUpgradeStats[Level],tblUpgradeStats[Ship Speed])</f>
        <v>1</v>
      </c>
      <c r="D31" s="41">
        <f>IFERROR(SpeedROI[[#This Row],[Current Efficiency]]*(SpeedROI[[#This Row],[Ship Speed]]/SpeedROI[[#This Row],[Next Ship Speed]]),0)</f>
        <v>0</v>
      </c>
      <c r="E31" s="60">
        <f>SpeedROI[[#This Row],[Future Deposit]]-SpeedROI[[#This Row],[Current Deposit]]</f>
        <v>0</v>
      </c>
      <c r="F31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1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1" s="25">
        <f>_xlfn.XLOOKUP(SpeedROI[[#This Row],[Planet '#]],tblprogress[Planet '#],tblprogress[Ship Level])</f>
        <v>0</v>
      </c>
      <c r="I31" s="44">
        <f>_xlfn.XLOOKUP(SpeedROI[[#This Row],[Planet '#]],tblprogress[Planet '#],tblprogress[Ship Speed])</f>
        <v>0</v>
      </c>
      <c r="J31" s="75">
        <f>_xlfn.XLOOKUP(SpeedROI[[#This Row],[Planet '#]],tblprogress[Planet '#],tblprogress[Mining Rate])</f>
        <v>0</v>
      </c>
      <c r="K31" s="28">
        <f>_xlfn.XLOOKUP(SpeedROI[[#This Row],[Planet '#]],tblprogress[Planet '#],tblprogress[Cargo])</f>
        <v>0</v>
      </c>
      <c r="L31" s="41">
        <f>_xlfn.XLOOKUP(SpeedROI[[#This Row],[Planet '#]],tblprogress[Planet '#],tblprogress[Efficiency],0)</f>
        <v>0</v>
      </c>
      <c r="M31" s="73">
        <f>IF(SpeedROI[[#This Row],[Current Efficiency]]&lt;=1,SpeedROI[[#This Row],[Mining Rate]]*60,SpeedROI[[#This Row],[Cargo]]/SpeedROI[[#This Row],[Total Time]]*60)</f>
        <v>0</v>
      </c>
      <c r="N31" s="73">
        <f>IF(SpeedROI[[#This Row],[Future Efficiency]]&lt;=1,SpeedROI[[#This Row],[Mining Rate]]*60,SpeedROI[[#This Row],[Cargo]]/SpeedROI[[#This Row],[New Time]]*60)</f>
        <v>0</v>
      </c>
      <c r="O31" s="34">
        <f>_xlfn.XLOOKUP(SpeedROI[[#This Row],[Planet '#]],tblplanetvalue[Planet '#],tblplanetvalue[Total Worth])</f>
        <v>3166</v>
      </c>
      <c r="P31" s="35" t="str">
        <f>_xlfn.XLOOKUP(SpeedROI[[#This Row],[Planet '#]],tblplaneteco[Planet '#],tblplaneteco[Ship Speed Cost])</f>
        <v/>
      </c>
      <c r="Q31" s="63" t="str">
        <f>_xlfn.XLOOKUP(SpeedROI[[#This Row],[Planet '#]],tblprogress[Planet '#],tblprogress[Total Time])</f>
        <v/>
      </c>
      <c r="R31" s="63" t="str">
        <f>IF(SpeedROI[[#This Row],[Current Deposit]]&gt;0,SpeedROI[[#This Row],[Total Time]]*SpeedROI[[#This Row],[Ship Speed]]/SpeedROI[[#This Row],[Next Ship Speed]],"")</f>
        <v/>
      </c>
      <c r="S31" s="14" t="str">
        <f>IF(
   _xlfn.XLOOKUP(SpeedROI[[#This Row],[Planet '#]], tblPlanets[Planet '#], tblPlanets[Name])=SpeedROI[[#This Row],[Name]],
   "Match",
   "Mismatch"
)</f>
        <v>Match</v>
      </c>
    </row>
    <row r="32" spans="1:19" x14ac:dyDescent="0.3">
      <c r="A32" s="24">
        <v>31</v>
      </c>
      <c r="B32" s="24" t="str">
        <f>_xlfn.XLOOKUP(tblprogress[[#This Row],[Planet '#]],tblPlanets[Planet '#],tblPlanets[Name])</f>
        <v>Vular</v>
      </c>
      <c r="C32" s="44">
        <f>_xlfn.XLOOKUP(SpeedROI[[#This Row],[Speed Level]]+1,tblUpgradeStats[Level],tblUpgradeStats[Ship Speed])</f>
        <v>1</v>
      </c>
      <c r="D32" s="41">
        <f>IFERROR(SpeedROI[[#This Row],[Current Efficiency]]*(SpeedROI[[#This Row],[Ship Speed]]/SpeedROI[[#This Row],[Next Ship Speed]]),0)</f>
        <v>0</v>
      </c>
      <c r="E32" s="60">
        <f>SpeedROI[[#This Row],[Future Deposit]]-SpeedROI[[#This Row],[Current Deposit]]</f>
        <v>0</v>
      </c>
      <c r="F3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2" s="25">
        <f>_xlfn.XLOOKUP(SpeedROI[[#This Row],[Planet '#]],tblprogress[Planet '#],tblprogress[Ship Level])</f>
        <v>0</v>
      </c>
      <c r="I32" s="44">
        <f>_xlfn.XLOOKUP(SpeedROI[[#This Row],[Planet '#]],tblprogress[Planet '#],tblprogress[Ship Speed])</f>
        <v>0</v>
      </c>
      <c r="J32" s="75">
        <f>_xlfn.XLOOKUP(SpeedROI[[#This Row],[Planet '#]],tblprogress[Planet '#],tblprogress[Mining Rate])</f>
        <v>0</v>
      </c>
      <c r="K32" s="28">
        <f>_xlfn.XLOOKUP(SpeedROI[[#This Row],[Planet '#]],tblprogress[Planet '#],tblprogress[Cargo])</f>
        <v>0</v>
      </c>
      <c r="L32" s="41">
        <f>_xlfn.XLOOKUP(SpeedROI[[#This Row],[Planet '#]],tblprogress[Planet '#],tblprogress[Efficiency],0)</f>
        <v>0</v>
      </c>
      <c r="M32" s="73">
        <f>IF(SpeedROI[[#This Row],[Current Efficiency]]&lt;=1,SpeedROI[[#This Row],[Mining Rate]]*60,SpeedROI[[#This Row],[Cargo]]/SpeedROI[[#This Row],[Total Time]]*60)</f>
        <v>0</v>
      </c>
      <c r="N32" s="73">
        <f>IF(SpeedROI[[#This Row],[Future Efficiency]]&lt;=1,SpeedROI[[#This Row],[Mining Rate]]*60,SpeedROI[[#This Row],[Cargo]]/SpeedROI[[#This Row],[New Time]]*60)</f>
        <v>0</v>
      </c>
      <c r="O32" s="34">
        <f>_xlfn.XLOOKUP(SpeedROI[[#This Row],[Planet '#]],tblplanetvalue[Planet '#],tblplanetvalue[Total Worth])</f>
        <v>4790</v>
      </c>
      <c r="P32" s="35" t="str">
        <f>_xlfn.XLOOKUP(SpeedROI[[#This Row],[Planet '#]],tblplaneteco[Planet '#],tblplaneteco[Ship Speed Cost])</f>
        <v/>
      </c>
      <c r="Q32" s="63" t="str">
        <f>_xlfn.XLOOKUP(SpeedROI[[#This Row],[Planet '#]],tblprogress[Planet '#],tblprogress[Total Time])</f>
        <v/>
      </c>
      <c r="R32" s="63" t="str">
        <f>IF(SpeedROI[[#This Row],[Current Deposit]]&gt;0,SpeedROI[[#This Row],[Total Time]]*SpeedROI[[#This Row],[Ship Speed]]/SpeedROI[[#This Row],[Next Ship Speed]],"")</f>
        <v/>
      </c>
      <c r="S32" s="14" t="str">
        <f>IF(
   _xlfn.XLOOKUP(SpeedROI[[#This Row],[Planet '#]], tblPlanets[Planet '#], tblPlanets[Name])=SpeedROI[[#This Row],[Name]],
   "Match",
   "Mismatch"
)</f>
        <v>Match</v>
      </c>
    </row>
    <row r="33" spans="1:19" x14ac:dyDescent="0.3">
      <c r="A33" s="25">
        <v>32</v>
      </c>
      <c r="B33" s="25" t="str">
        <f>_xlfn.XLOOKUP(tblprogress[[#This Row],[Planet '#]],tblPlanets[Planet '#],tblPlanets[Name])</f>
        <v>Nibiru</v>
      </c>
      <c r="C33" s="44">
        <f>_xlfn.XLOOKUP(SpeedROI[[#This Row],[Speed Level]]+1,tblUpgradeStats[Level],tblUpgradeStats[Ship Speed])</f>
        <v>1</v>
      </c>
      <c r="D33" s="41">
        <f>IFERROR(SpeedROI[[#This Row],[Current Efficiency]]*(SpeedROI[[#This Row],[Ship Speed]]/SpeedROI[[#This Row],[Next Ship Speed]]),0)</f>
        <v>0</v>
      </c>
      <c r="E33" s="60">
        <f>SpeedROI[[#This Row],[Future Deposit]]-SpeedROI[[#This Row],[Current Deposit]]</f>
        <v>0</v>
      </c>
      <c r="F3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3" s="25">
        <f>_xlfn.XLOOKUP(SpeedROI[[#This Row],[Planet '#]],tblprogress[Planet '#],tblprogress[Ship Level])</f>
        <v>0</v>
      </c>
      <c r="I33" s="44">
        <f>_xlfn.XLOOKUP(SpeedROI[[#This Row],[Planet '#]],tblprogress[Planet '#],tblprogress[Ship Speed])</f>
        <v>0</v>
      </c>
      <c r="J33" s="75">
        <f>_xlfn.XLOOKUP(SpeedROI[[#This Row],[Planet '#]],tblprogress[Planet '#],tblprogress[Mining Rate])</f>
        <v>0</v>
      </c>
      <c r="K33" s="28">
        <f>_xlfn.XLOOKUP(SpeedROI[[#This Row],[Planet '#]],tblprogress[Planet '#],tblprogress[Cargo])</f>
        <v>0</v>
      </c>
      <c r="L33" s="41">
        <f>_xlfn.XLOOKUP(SpeedROI[[#This Row],[Planet '#]],tblprogress[Planet '#],tblprogress[Efficiency],0)</f>
        <v>0</v>
      </c>
      <c r="M33" s="73">
        <f>IF(SpeedROI[[#This Row],[Current Efficiency]]&lt;=1,SpeedROI[[#This Row],[Mining Rate]]*60,SpeedROI[[#This Row],[Cargo]]/SpeedROI[[#This Row],[Total Time]]*60)</f>
        <v>0</v>
      </c>
      <c r="N33" s="73">
        <f>IF(SpeedROI[[#This Row],[Future Efficiency]]&lt;=1,SpeedROI[[#This Row],[Mining Rate]]*60,SpeedROI[[#This Row],[Cargo]]/SpeedROI[[#This Row],[New Time]]*60)</f>
        <v>0</v>
      </c>
      <c r="O33" s="34">
        <f>_xlfn.XLOOKUP(SpeedROI[[#This Row],[Planet '#]],tblplanetvalue[Planet '#],tblplanetvalue[Total Worth])</f>
        <v>5320</v>
      </c>
      <c r="P33" s="35" t="str">
        <f>_xlfn.XLOOKUP(SpeedROI[[#This Row],[Planet '#]],tblplaneteco[Planet '#],tblplaneteco[Ship Speed Cost])</f>
        <v/>
      </c>
      <c r="Q33" s="63" t="str">
        <f>_xlfn.XLOOKUP(SpeedROI[[#This Row],[Planet '#]],tblprogress[Planet '#],tblprogress[Total Time])</f>
        <v/>
      </c>
      <c r="R33" s="63" t="str">
        <f>IF(SpeedROI[[#This Row],[Current Deposit]]&gt;0,SpeedROI[[#This Row],[Total Time]]*SpeedROI[[#This Row],[Ship Speed]]/SpeedROI[[#This Row],[Next Ship Speed]],"")</f>
        <v/>
      </c>
      <c r="S33" s="14" t="str">
        <f>IF(
   _xlfn.XLOOKUP(SpeedROI[[#This Row],[Planet '#]], tblPlanets[Planet '#], tblPlanets[Name])=SpeedROI[[#This Row],[Name]],
   "Match",
   "Mismatch"
)</f>
        <v>Match</v>
      </c>
    </row>
    <row r="34" spans="1:19" x14ac:dyDescent="0.3">
      <c r="A34" s="24">
        <v>33</v>
      </c>
      <c r="B34" s="24" t="str">
        <f>_xlfn.XLOOKUP(tblprogress[[#This Row],[Planet '#]],tblPlanets[Planet '#],tblPlanets[Name])</f>
        <v>Xena</v>
      </c>
      <c r="C34" s="44">
        <f>_xlfn.XLOOKUP(SpeedROI[[#This Row],[Speed Level]]+1,tblUpgradeStats[Level],tblUpgradeStats[Ship Speed])</f>
        <v>1</v>
      </c>
      <c r="D34" s="41">
        <f>IFERROR(SpeedROI[[#This Row],[Current Efficiency]]*(SpeedROI[[#This Row],[Ship Speed]]/SpeedROI[[#This Row],[Next Ship Speed]]),0)</f>
        <v>0</v>
      </c>
      <c r="E34" s="60">
        <f>SpeedROI[[#This Row],[Future Deposit]]-SpeedROI[[#This Row],[Current Deposit]]</f>
        <v>0</v>
      </c>
      <c r="F3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4" s="25">
        <f>_xlfn.XLOOKUP(SpeedROI[[#This Row],[Planet '#]],tblprogress[Planet '#],tblprogress[Ship Level])</f>
        <v>0</v>
      </c>
      <c r="I34" s="44">
        <f>_xlfn.XLOOKUP(SpeedROI[[#This Row],[Planet '#]],tblprogress[Planet '#],tblprogress[Ship Speed])</f>
        <v>0</v>
      </c>
      <c r="J34" s="75">
        <f>_xlfn.XLOOKUP(SpeedROI[[#This Row],[Planet '#]],tblprogress[Planet '#],tblprogress[Mining Rate])</f>
        <v>0</v>
      </c>
      <c r="K34" s="28">
        <f>_xlfn.XLOOKUP(SpeedROI[[#This Row],[Planet '#]],tblprogress[Planet '#],tblprogress[Cargo])</f>
        <v>0</v>
      </c>
      <c r="L34" s="41">
        <f>_xlfn.XLOOKUP(SpeedROI[[#This Row],[Planet '#]],tblprogress[Planet '#],tblprogress[Efficiency],0)</f>
        <v>0</v>
      </c>
      <c r="M34" s="73">
        <f>IF(SpeedROI[[#This Row],[Current Efficiency]]&lt;=1,SpeedROI[[#This Row],[Mining Rate]]*60,SpeedROI[[#This Row],[Cargo]]/SpeedROI[[#This Row],[Total Time]]*60)</f>
        <v>0</v>
      </c>
      <c r="N34" s="73">
        <f>IF(SpeedROI[[#This Row],[Future Efficiency]]&lt;=1,SpeedROI[[#This Row],[Mining Rate]]*60,SpeedROI[[#This Row],[Cargo]]/SpeedROI[[#This Row],[New Time]]*60)</f>
        <v>0</v>
      </c>
      <c r="O34" s="34">
        <f>_xlfn.XLOOKUP(SpeedROI[[#This Row],[Planet '#]],tblplanetvalue[Planet '#],tblplanetvalue[Total Worth])</f>
        <v>7800</v>
      </c>
      <c r="P34" s="35" t="str">
        <f>_xlfn.XLOOKUP(SpeedROI[[#This Row],[Planet '#]],tblplaneteco[Planet '#],tblplaneteco[Ship Speed Cost])</f>
        <v/>
      </c>
      <c r="Q34" s="63" t="str">
        <f>_xlfn.XLOOKUP(SpeedROI[[#This Row],[Planet '#]],tblprogress[Planet '#],tblprogress[Total Time])</f>
        <v/>
      </c>
      <c r="R34" s="63" t="str">
        <f>IF(SpeedROI[[#This Row],[Current Deposit]]&gt;0,SpeedROI[[#This Row],[Total Time]]*SpeedROI[[#This Row],[Ship Speed]]/SpeedROI[[#This Row],[Next Ship Speed]],"")</f>
        <v/>
      </c>
      <c r="S34" s="14" t="str">
        <f>IF(
   _xlfn.XLOOKUP(SpeedROI[[#This Row],[Planet '#]], tblPlanets[Planet '#], tblPlanets[Name])=SpeedROI[[#This Row],[Name]],
   "Match",
   "Mismatch"
)</f>
        <v>Match</v>
      </c>
    </row>
    <row r="35" spans="1:19" x14ac:dyDescent="0.3">
      <c r="A35" s="25">
        <v>34</v>
      </c>
      <c r="B35" s="25" t="str">
        <f>_xlfn.XLOOKUP(tblprogress[[#This Row],[Planet '#]],tblPlanets[Planet '#],tblPlanets[Name])</f>
        <v>Rupert</v>
      </c>
      <c r="C35" s="44">
        <f>_xlfn.XLOOKUP(SpeedROI[[#This Row],[Speed Level]]+1,tblUpgradeStats[Level],tblUpgradeStats[Ship Speed])</f>
        <v>1</v>
      </c>
      <c r="D35" s="41">
        <f>IFERROR(SpeedROI[[#This Row],[Current Efficiency]]*(SpeedROI[[#This Row],[Ship Speed]]/SpeedROI[[#This Row],[Next Ship Speed]]),0)</f>
        <v>0</v>
      </c>
      <c r="E35" s="60">
        <f>SpeedROI[[#This Row],[Future Deposit]]-SpeedROI[[#This Row],[Current Deposit]]</f>
        <v>0</v>
      </c>
      <c r="F3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5" s="25">
        <f>_xlfn.XLOOKUP(SpeedROI[[#This Row],[Planet '#]],tblprogress[Planet '#],tblprogress[Ship Level])</f>
        <v>0</v>
      </c>
      <c r="I35" s="44">
        <f>_xlfn.XLOOKUP(SpeedROI[[#This Row],[Planet '#]],tblprogress[Planet '#],tblprogress[Ship Speed])</f>
        <v>0</v>
      </c>
      <c r="J35" s="75">
        <f>_xlfn.XLOOKUP(SpeedROI[[#This Row],[Planet '#]],tblprogress[Planet '#],tblprogress[Mining Rate])</f>
        <v>0</v>
      </c>
      <c r="K35" s="28">
        <f>_xlfn.XLOOKUP(SpeedROI[[#This Row],[Planet '#]],tblprogress[Planet '#],tblprogress[Cargo])</f>
        <v>0</v>
      </c>
      <c r="L35" s="41">
        <f>_xlfn.XLOOKUP(SpeedROI[[#This Row],[Planet '#]],tblprogress[Planet '#],tblprogress[Efficiency],0)</f>
        <v>0</v>
      </c>
      <c r="M35" s="73">
        <f>IF(SpeedROI[[#This Row],[Current Efficiency]]&lt;=1,SpeedROI[[#This Row],[Mining Rate]]*60,SpeedROI[[#This Row],[Cargo]]/SpeedROI[[#This Row],[Total Time]]*60)</f>
        <v>0</v>
      </c>
      <c r="N35" s="73">
        <f>IF(SpeedROI[[#This Row],[Future Efficiency]]&lt;=1,SpeedROI[[#This Row],[Mining Rate]]*60,SpeedROI[[#This Row],[Cargo]]/SpeedROI[[#This Row],[New Time]]*60)</f>
        <v>0</v>
      </c>
      <c r="O35" s="34">
        <f>_xlfn.XLOOKUP(SpeedROI[[#This Row],[Planet '#]],tblplanetvalue[Planet '#],tblplanetvalue[Total Worth])</f>
        <v>6890</v>
      </c>
      <c r="P35" s="35" t="str">
        <f>_xlfn.XLOOKUP(SpeedROI[[#This Row],[Planet '#]],tblplaneteco[Planet '#],tblplaneteco[Ship Speed Cost])</f>
        <v/>
      </c>
      <c r="Q35" s="63" t="str">
        <f>_xlfn.XLOOKUP(SpeedROI[[#This Row],[Planet '#]],tblprogress[Planet '#],tblprogress[Total Time])</f>
        <v/>
      </c>
      <c r="R35" s="63" t="str">
        <f>IF(SpeedROI[[#This Row],[Current Deposit]]&gt;0,SpeedROI[[#This Row],[Total Time]]*SpeedROI[[#This Row],[Ship Speed]]/SpeedROI[[#This Row],[Next Ship Speed]],"")</f>
        <v/>
      </c>
      <c r="S35" s="14" t="str">
        <f>IF(
   _xlfn.XLOOKUP(SpeedROI[[#This Row],[Planet '#]], tblPlanets[Planet '#], tblPlanets[Name])=SpeedROI[[#This Row],[Name]],
   "Match",
   "Mismatch"
)</f>
        <v>Match</v>
      </c>
    </row>
    <row r="36" spans="1:19" x14ac:dyDescent="0.3">
      <c r="A36" s="24">
        <v>35</v>
      </c>
      <c r="B36" s="24" t="str">
        <f>_xlfn.XLOOKUP(tblprogress[[#This Row],[Planet '#]],tblPlanets[Planet '#],tblPlanets[Name])</f>
        <v>Pax</v>
      </c>
      <c r="C36" s="44">
        <f>_xlfn.XLOOKUP(SpeedROI[[#This Row],[Speed Level]]+1,tblUpgradeStats[Level],tblUpgradeStats[Ship Speed])</f>
        <v>1</v>
      </c>
      <c r="D36" s="41">
        <f>IFERROR(SpeedROI[[#This Row],[Current Efficiency]]*(SpeedROI[[#This Row],[Ship Speed]]/SpeedROI[[#This Row],[Next Ship Speed]]),0)</f>
        <v>0</v>
      </c>
      <c r="E36" s="60">
        <f>SpeedROI[[#This Row],[Future Deposit]]-SpeedROI[[#This Row],[Current Deposit]]</f>
        <v>0</v>
      </c>
      <c r="F3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6" s="25">
        <f>_xlfn.XLOOKUP(SpeedROI[[#This Row],[Planet '#]],tblprogress[Planet '#],tblprogress[Ship Level])</f>
        <v>0</v>
      </c>
      <c r="I36" s="44">
        <f>_xlfn.XLOOKUP(SpeedROI[[#This Row],[Planet '#]],tblprogress[Planet '#],tblprogress[Ship Speed])</f>
        <v>0</v>
      </c>
      <c r="J36" s="75">
        <f>_xlfn.XLOOKUP(SpeedROI[[#This Row],[Planet '#]],tblprogress[Planet '#],tblprogress[Mining Rate])</f>
        <v>0</v>
      </c>
      <c r="K36" s="28">
        <f>_xlfn.XLOOKUP(SpeedROI[[#This Row],[Planet '#]],tblprogress[Planet '#],tblprogress[Cargo])</f>
        <v>0</v>
      </c>
      <c r="L36" s="41">
        <f>_xlfn.XLOOKUP(SpeedROI[[#This Row],[Planet '#]],tblprogress[Planet '#],tblprogress[Efficiency],0)</f>
        <v>0</v>
      </c>
      <c r="M36" s="73">
        <f>IF(SpeedROI[[#This Row],[Current Efficiency]]&lt;=1,SpeedROI[[#This Row],[Mining Rate]]*60,SpeedROI[[#This Row],[Cargo]]/SpeedROI[[#This Row],[Total Time]]*60)</f>
        <v>0</v>
      </c>
      <c r="N36" s="73">
        <f>IF(SpeedROI[[#This Row],[Future Efficiency]]&lt;=1,SpeedROI[[#This Row],[Mining Rate]]*60,SpeedROI[[#This Row],[Cargo]]/SpeedROI[[#This Row],[New Time]]*60)</f>
        <v>0</v>
      </c>
      <c r="O36" s="34">
        <f>_xlfn.XLOOKUP(SpeedROI[[#This Row],[Planet '#]],tblplanetvalue[Planet '#],tblplanetvalue[Total Worth])</f>
        <v>8920</v>
      </c>
      <c r="P36" s="35" t="str">
        <f>_xlfn.XLOOKUP(SpeedROI[[#This Row],[Planet '#]],tblplaneteco[Planet '#],tblplaneteco[Ship Speed Cost])</f>
        <v/>
      </c>
      <c r="Q36" s="63" t="str">
        <f>_xlfn.XLOOKUP(SpeedROI[[#This Row],[Planet '#]],tblprogress[Planet '#],tblprogress[Total Time])</f>
        <v/>
      </c>
      <c r="R36" s="63" t="str">
        <f>IF(SpeedROI[[#This Row],[Current Deposit]]&gt;0,SpeedROI[[#This Row],[Total Time]]*SpeedROI[[#This Row],[Ship Speed]]/SpeedROI[[#This Row],[Next Ship Speed]],"")</f>
        <v/>
      </c>
      <c r="S36" s="14" t="str">
        <f>IF(
   _xlfn.XLOOKUP(SpeedROI[[#This Row],[Planet '#]], tblPlanets[Planet '#], tblPlanets[Name])=SpeedROI[[#This Row],[Name]],
   "Match",
   "Mismatch"
)</f>
        <v>Match</v>
      </c>
    </row>
    <row r="37" spans="1:19" x14ac:dyDescent="0.3">
      <c r="A37" s="25">
        <v>36</v>
      </c>
      <c r="B37" s="25" t="str">
        <f>_xlfn.XLOOKUP(tblprogress[[#This Row],[Planet '#]],tblPlanets[Planet '#],tblPlanets[Name])</f>
        <v>Ivyra</v>
      </c>
      <c r="C37" s="44">
        <f>_xlfn.XLOOKUP(SpeedROI[[#This Row],[Speed Level]]+1,tblUpgradeStats[Level],tblUpgradeStats[Ship Speed])</f>
        <v>1</v>
      </c>
      <c r="D37" s="41">
        <f>IFERROR(SpeedROI[[#This Row],[Current Efficiency]]*(SpeedROI[[#This Row],[Ship Speed]]/SpeedROI[[#This Row],[Next Ship Speed]]),0)</f>
        <v>0</v>
      </c>
      <c r="E37" s="60">
        <f>SpeedROI[[#This Row],[Future Deposit]]-SpeedROI[[#This Row],[Current Deposit]]</f>
        <v>0</v>
      </c>
      <c r="F3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7" s="25">
        <f>_xlfn.XLOOKUP(SpeedROI[[#This Row],[Planet '#]],tblprogress[Planet '#],tblprogress[Ship Level])</f>
        <v>0</v>
      </c>
      <c r="I37" s="44">
        <f>_xlfn.XLOOKUP(SpeedROI[[#This Row],[Planet '#]],tblprogress[Planet '#],tblprogress[Ship Speed])</f>
        <v>0</v>
      </c>
      <c r="J37" s="75">
        <f>_xlfn.XLOOKUP(SpeedROI[[#This Row],[Planet '#]],tblprogress[Planet '#],tblprogress[Mining Rate])</f>
        <v>0</v>
      </c>
      <c r="K37" s="28">
        <f>_xlfn.XLOOKUP(SpeedROI[[#This Row],[Planet '#]],tblprogress[Planet '#],tblprogress[Cargo])</f>
        <v>0</v>
      </c>
      <c r="L37" s="41">
        <f>_xlfn.XLOOKUP(SpeedROI[[#This Row],[Planet '#]],tblprogress[Planet '#],tblprogress[Efficiency],0)</f>
        <v>0</v>
      </c>
      <c r="M37" s="73">
        <f>IF(SpeedROI[[#This Row],[Current Efficiency]]&lt;=1,SpeedROI[[#This Row],[Mining Rate]]*60,SpeedROI[[#This Row],[Cargo]]/SpeedROI[[#This Row],[Total Time]]*60)</f>
        <v>0</v>
      </c>
      <c r="N37" s="73">
        <f>IF(SpeedROI[[#This Row],[Future Efficiency]]&lt;=1,SpeedROI[[#This Row],[Mining Rate]]*60,SpeedROI[[#This Row],[Cargo]]/SpeedROI[[#This Row],[New Time]]*60)</f>
        <v>0</v>
      </c>
      <c r="O37" s="34">
        <f>_xlfn.XLOOKUP(SpeedROI[[#This Row],[Planet '#]],tblplanetvalue[Planet '#],tblplanetvalue[Total Worth])</f>
        <v>17500</v>
      </c>
      <c r="P37" s="35" t="str">
        <f>_xlfn.XLOOKUP(SpeedROI[[#This Row],[Planet '#]],tblplaneteco[Planet '#],tblplaneteco[Ship Speed Cost])</f>
        <v/>
      </c>
      <c r="Q37" s="63" t="str">
        <f>_xlfn.XLOOKUP(SpeedROI[[#This Row],[Planet '#]],tblprogress[Planet '#],tblprogress[Total Time])</f>
        <v/>
      </c>
      <c r="R37" s="63" t="str">
        <f>IF(SpeedROI[[#This Row],[Current Deposit]]&gt;0,SpeedROI[[#This Row],[Total Time]]*SpeedROI[[#This Row],[Ship Speed]]/SpeedROI[[#This Row],[Next Ship Speed]],"")</f>
        <v/>
      </c>
      <c r="S37" s="14" t="str">
        <f>IF(
   _xlfn.XLOOKUP(SpeedROI[[#This Row],[Planet '#]], tblPlanets[Planet '#], tblPlanets[Name])=SpeedROI[[#This Row],[Name]],
   "Match",
   "Mismatch"
)</f>
        <v>Match</v>
      </c>
    </row>
    <row r="38" spans="1:19" x14ac:dyDescent="0.3">
      <c r="A38" s="24">
        <v>37</v>
      </c>
      <c r="B38" s="24" t="str">
        <f>_xlfn.XLOOKUP(tblprogress[[#This Row],[Planet '#]],tblPlanets[Planet '#],tblPlanets[Name])</f>
        <v>Utritis</v>
      </c>
      <c r="C38" s="44">
        <f>_xlfn.XLOOKUP(SpeedROI[[#This Row],[Speed Level]]+1,tblUpgradeStats[Level],tblUpgradeStats[Ship Speed])</f>
        <v>1</v>
      </c>
      <c r="D38" s="41">
        <f>IFERROR(SpeedROI[[#This Row],[Current Efficiency]]*(SpeedROI[[#This Row],[Ship Speed]]/SpeedROI[[#This Row],[Next Ship Speed]]),0)</f>
        <v>0</v>
      </c>
      <c r="E38" s="60">
        <f>SpeedROI[[#This Row],[Future Deposit]]-SpeedROI[[#This Row],[Current Deposit]]</f>
        <v>0</v>
      </c>
      <c r="F38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8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8" s="25">
        <f>_xlfn.XLOOKUP(SpeedROI[[#This Row],[Planet '#]],tblprogress[Planet '#],tblprogress[Ship Level])</f>
        <v>0</v>
      </c>
      <c r="I38" s="44">
        <f>_xlfn.XLOOKUP(SpeedROI[[#This Row],[Planet '#]],tblprogress[Planet '#],tblprogress[Ship Speed])</f>
        <v>0</v>
      </c>
      <c r="J38" s="75">
        <f>_xlfn.XLOOKUP(SpeedROI[[#This Row],[Planet '#]],tblprogress[Planet '#],tblprogress[Mining Rate])</f>
        <v>0</v>
      </c>
      <c r="K38" s="28">
        <f>_xlfn.XLOOKUP(SpeedROI[[#This Row],[Planet '#]],tblprogress[Planet '#],tblprogress[Cargo])</f>
        <v>0</v>
      </c>
      <c r="L38" s="41">
        <f>_xlfn.XLOOKUP(SpeedROI[[#This Row],[Planet '#]],tblprogress[Planet '#],tblprogress[Efficiency],0)</f>
        <v>0</v>
      </c>
      <c r="M38" s="73">
        <f>IF(SpeedROI[[#This Row],[Current Efficiency]]&lt;=1,SpeedROI[[#This Row],[Mining Rate]]*60,SpeedROI[[#This Row],[Cargo]]/SpeedROI[[#This Row],[Total Time]]*60)</f>
        <v>0</v>
      </c>
      <c r="N38" s="73">
        <f>IF(SpeedROI[[#This Row],[Future Efficiency]]&lt;=1,SpeedROI[[#This Row],[Mining Rate]]*60,SpeedROI[[#This Row],[Cargo]]/SpeedROI[[#This Row],[New Time]]*60)</f>
        <v>0</v>
      </c>
      <c r="O38" s="34">
        <f>_xlfn.XLOOKUP(SpeedROI[[#This Row],[Planet '#]],tblplanetvalue[Planet '#],tblplanetvalue[Total Worth])</f>
        <v>22000</v>
      </c>
      <c r="P38" s="35" t="str">
        <f>_xlfn.XLOOKUP(SpeedROI[[#This Row],[Planet '#]],tblplaneteco[Planet '#],tblplaneteco[Ship Speed Cost])</f>
        <v/>
      </c>
      <c r="Q38" s="63" t="str">
        <f>_xlfn.XLOOKUP(SpeedROI[[#This Row],[Planet '#]],tblprogress[Planet '#],tblprogress[Total Time])</f>
        <v/>
      </c>
      <c r="R38" s="63" t="str">
        <f>IF(SpeedROI[[#This Row],[Current Deposit]]&gt;0,SpeedROI[[#This Row],[Total Time]]*SpeedROI[[#This Row],[Ship Speed]]/SpeedROI[[#This Row],[Next Ship Speed]],"")</f>
        <v/>
      </c>
      <c r="S38" s="14" t="str">
        <f>IF(
   _xlfn.XLOOKUP(SpeedROI[[#This Row],[Planet '#]], tblPlanets[Planet '#], tblPlanets[Name])=SpeedROI[[#This Row],[Name]],
   "Match",
   "Mismatch"
)</f>
        <v>Match</v>
      </c>
    </row>
    <row r="39" spans="1:19" x14ac:dyDescent="0.3">
      <c r="A39" s="25">
        <v>38</v>
      </c>
      <c r="B39" s="25" t="str">
        <f>_xlfn.XLOOKUP(tblprogress[[#This Row],[Planet '#]],tblPlanets[Planet '#],tblPlanets[Name])</f>
        <v>Dosie</v>
      </c>
      <c r="C39" s="44">
        <f>_xlfn.XLOOKUP(SpeedROI[[#This Row],[Speed Level]]+1,tblUpgradeStats[Level],tblUpgradeStats[Ship Speed])</f>
        <v>1</v>
      </c>
      <c r="D39" s="41">
        <f>IFERROR(SpeedROI[[#This Row],[Current Efficiency]]*(SpeedROI[[#This Row],[Ship Speed]]/SpeedROI[[#This Row],[Next Ship Speed]]),0)</f>
        <v>0</v>
      </c>
      <c r="E39" s="60">
        <f>SpeedROI[[#This Row],[Future Deposit]]-SpeedROI[[#This Row],[Current Deposit]]</f>
        <v>0</v>
      </c>
      <c r="F39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39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39" s="25">
        <f>_xlfn.XLOOKUP(SpeedROI[[#This Row],[Planet '#]],tblprogress[Planet '#],tblprogress[Ship Level])</f>
        <v>0</v>
      </c>
      <c r="I39" s="44">
        <f>_xlfn.XLOOKUP(SpeedROI[[#This Row],[Planet '#]],tblprogress[Planet '#],tblprogress[Ship Speed])</f>
        <v>0</v>
      </c>
      <c r="J39" s="75">
        <f>_xlfn.XLOOKUP(SpeedROI[[#This Row],[Planet '#]],tblprogress[Planet '#],tblprogress[Mining Rate])</f>
        <v>0</v>
      </c>
      <c r="K39" s="28">
        <f>_xlfn.XLOOKUP(SpeedROI[[#This Row],[Planet '#]],tblprogress[Planet '#],tblprogress[Cargo])</f>
        <v>0</v>
      </c>
      <c r="L39" s="41">
        <f>_xlfn.XLOOKUP(SpeedROI[[#This Row],[Planet '#]],tblprogress[Planet '#],tblprogress[Efficiency],0)</f>
        <v>0</v>
      </c>
      <c r="M39" s="73">
        <f>IF(SpeedROI[[#This Row],[Current Efficiency]]&lt;=1,SpeedROI[[#This Row],[Mining Rate]]*60,SpeedROI[[#This Row],[Cargo]]/SpeedROI[[#This Row],[Total Time]]*60)</f>
        <v>0</v>
      </c>
      <c r="N39" s="73">
        <f>IF(SpeedROI[[#This Row],[Future Efficiency]]&lt;=1,SpeedROI[[#This Row],[Mining Rate]]*60,SpeedROI[[#This Row],[Cargo]]/SpeedROI[[#This Row],[New Time]]*60)</f>
        <v>0</v>
      </c>
      <c r="O39" s="34">
        <f>_xlfn.XLOOKUP(SpeedROI[[#This Row],[Planet '#]],tblplanetvalue[Planet '#],tblplanetvalue[Total Worth])</f>
        <v>23900</v>
      </c>
      <c r="P39" s="35" t="str">
        <f>_xlfn.XLOOKUP(SpeedROI[[#This Row],[Planet '#]],tblplaneteco[Planet '#],tblplaneteco[Ship Speed Cost])</f>
        <v/>
      </c>
      <c r="Q39" s="63" t="str">
        <f>_xlfn.XLOOKUP(SpeedROI[[#This Row],[Planet '#]],tblprogress[Planet '#],tblprogress[Total Time])</f>
        <v/>
      </c>
      <c r="R39" s="63" t="str">
        <f>IF(SpeedROI[[#This Row],[Current Deposit]]&gt;0,SpeedROI[[#This Row],[Total Time]]*SpeedROI[[#This Row],[Ship Speed]]/SpeedROI[[#This Row],[Next Ship Speed]],"")</f>
        <v/>
      </c>
      <c r="S39" s="14" t="str">
        <f>IF(
   _xlfn.XLOOKUP(SpeedROI[[#This Row],[Planet '#]], tblPlanets[Planet '#], tblPlanets[Name])=SpeedROI[[#This Row],[Name]],
   "Match",
   "Mismatch"
)</f>
        <v>Match</v>
      </c>
    </row>
    <row r="40" spans="1:19" x14ac:dyDescent="0.3">
      <c r="A40" s="24">
        <v>39</v>
      </c>
      <c r="B40" s="24" t="str">
        <f>_xlfn.XLOOKUP(tblprogress[[#This Row],[Planet '#]],tblPlanets[Planet '#],tblPlanets[Name])</f>
        <v>Zulu</v>
      </c>
      <c r="C40" s="44">
        <f>_xlfn.XLOOKUP(SpeedROI[[#This Row],[Speed Level]]+1,tblUpgradeStats[Level],tblUpgradeStats[Ship Speed])</f>
        <v>1</v>
      </c>
      <c r="D40" s="41">
        <f>IFERROR(SpeedROI[[#This Row],[Current Efficiency]]*(SpeedROI[[#This Row],[Ship Speed]]/SpeedROI[[#This Row],[Next Ship Speed]]),0)</f>
        <v>0</v>
      </c>
      <c r="E40" s="60">
        <f>SpeedROI[[#This Row],[Future Deposit]]-SpeedROI[[#This Row],[Current Deposit]]</f>
        <v>0</v>
      </c>
      <c r="F40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0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0" s="25">
        <f>_xlfn.XLOOKUP(SpeedROI[[#This Row],[Planet '#]],tblprogress[Planet '#],tblprogress[Ship Level])</f>
        <v>0</v>
      </c>
      <c r="I40" s="44">
        <f>_xlfn.XLOOKUP(SpeedROI[[#This Row],[Planet '#]],tblprogress[Planet '#],tblprogress[Ship Speed])</f>
        <v>0</v>
      </c>
      <c r="J40" s="75">
        <f>_xlfn.XLOOKUP(SpeedROI[[#This Row],[Planet '#]],tblprogress[Planet '#],tblprogress[Mining Rate])</f>
        <v>0</v>
      </c>
      <c r="K40" s="28">
        <f>_xlfn.XLOOKUP(SpeedROI[[#This Row],[Planet '#]],tblprogress[Planet '#],tblprogress[Cargo])</f>
        <v>0</v>
      </c>
      <c r="L40" s="41">
        <f>_xlfn.XLOOKUP(SpeedROI[[#This Row],[Planet '#]],tblprogress[Planet '#],tblprogress[Efficiency],0)</f>
        <v>0</v>
      </c>
      <c r="M40" s="73">
        <f>IF(SpeedROI[[#This Row],[Current Efficiency]]&lt;=1,SpeedROI[[#This Row],[Mining Rate]]*60,SpeedROI[[#This Row],[Cargo]]/SpeedROI[[#This Row],[Total Time]]*60)</f>
        <v>0</v>
      </c>
      <c r="N40" s="73">
        <f>IF(SpeedROI[[#This Row],[Future Efficiency]]&lt;=1,SpeedROI[[#This Row],[Mining Rate]]*60,SpeedROI[[#This Row],[Cargo]]/SpeedROI[[#This Row],[New Time]]*60)</f>
        <v>0</v>
      </c>
      <c r="O40" s="34">
        <f>_xlfn.XLOOKUP(SpeedROI[[#This Row],[Planet '#]],tblplanetvalue[Planet '#],tblplanetvalue[Total Worth])</f>
        <v>40000</v>
      </c>
      <c r="P40" s="35" t="str">
        <f>_xlfn.XLOOKUP(SpeedROI[[#This Row],[Planet '#]],tblplaneteco[Planet '#],tblplaneteco[Ship Speed Cost])</f>
        <v/>
      </c>
      <c r="Q40" s="63" t="str">
        <f>_xlfn.XLOOKUP(SpeedROI[[#This Row],[Planet '#]],tblprogress[Planet '#],tblprogress[Total Time])</f>
        <v/>
      </c>
      <c r="R40" s="63" t="str">
        <f>IF(SpeedROI[[#This Row],[Current Deposit]]&gt;0,SpeedROI[[#This Row],[Total Time]]*SpeedROI[[#This Row],[Ship Speed]]/SpeedROI[[#This Row],[Next Ship Speed]],"")</f>
        <v/>
      </c>
      <c r="S40" s="14" t="str">
        <f>IF(
   _xlfn.XLOOKUP(SpeedROI[[#This Row],[Planet '#]], tblPlanets[Planet '#], tblPlanets[Name])=SpeedROI[[#This Row],[Name]],
   "Match",
   "Mismatch"
)</f>
        <v>Match</v>
      </c>
    </row>
    <row r="41" spans="1:19" x14ac:dyDescent="0.3">
      <c r="A41" s="25">
        <v>40</v>
      </c>
      <c r="B41" s="25" t="str">
        <f>_xlfn.XLOOKUP(tblprogress[[#This Row],[Planet '#]],tblPlanets[Planet '#],tblPlanets[Name])</f>
        <v>Unicae</v>
      </c>
      <c r="C41" s="44">
        <f>_xlfn.XLOOKUP(SpeedROI[[#This Row],[Speed Level]]+1,tblUpgradeStats[Level],tblUpgradeStats[Ship Speed])</f>
        <v>1</v>
      </c>
      <c r="D41" s="41">
        <f>IFERROR(SpeedROI[[#This Row],[Current Efficiency]]*(SpeedROI[[#This Row],[Ship Speed]]/SpeedROI[[#This Row],[Next Ship Speed]]),0)</f>
        <v>0</v>
      </c>
      <c r="E41" s="60">
        <f>SpeedROI[[#This Row],[Future Deposit]]-SpeedROI[[#This Row],[Current Deposit]]</f>
        <v>0</v>
      </c>
      <c r="F41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1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1" s="25">
        <f>_xlfn.XLOOKUP(SpeedROI[[#This Row],[Planet '#]],tblprogress[Planet '#],tblprogress[Ship Level])</f>
        <v>0</v>
      </c>
      <c r="I41" s="44">
        <f>_xlfn.XLOOKUP(SpeedROI[[#This Row],[Planet '#]],tblprogress[Planet '#],tblprogress[Ship Speed])</f>
        <v>0</v>
      </c>
      <c r="J41" s="75">
        <f>_xlfn.XLOOKUP(SpeedROI[[#This Row],[Planet '#]],tblprogress[Planet '#],tblprogress[Mining Rate])</f>
        <v>0</v>
      </c>
      <c r="K41" s="28">
        <f>_xlfn.XLOOKUP(SpeedROI[[#This Row],[Planet '#]],tblprogress[Planet '#],tblprogress[Cargo])</f>
        <v>0</v>
      </c>
      <c r="L41" s="41">
        <f>_xlfn.XLOOKUP(SpeedROI[[#This Row],[Planet '#]],tblprogress[Planet '#],tblprogress[Efficiency],0)</f>
        <v>0</v>
      </c>
      <c r="M41" s="73">
        <f>IF(SpeedROI[[#This Row],[Current Efficiency]]&lt;=1,SpeedROI[[#This Row],[Mining Rate]]*60,SpeedROI[[#This Row],[Cargo]]/SpeedROI[[#This Row],[Total Time]]*60)</f>
        <v>0</v>
      </c>
      <c r="N41" s="73">
        <f>IF(SpeedROI[[#This Row],[Future Efficiency]]&lt;=1,SpeedROI[[#This Row],[Mining Rate]]*60,SpeedROI[[#This Row],[Cargo]]/SpeedROI[[#This Row],[New Time]]*60)</f>
        <v>0</v>
      </c>
      <c r="O41" s="34">
        <f>_xlfn.XLOOKUP(SpeedROI[[#This Row],[Planet '#]],tblplanetvalue[Planet '#],tblplanetvalue[Total Worth])</f>
        <v>50400</v>
      </c>
      <c r="P41" s="35" t="str">
        <f>_xlfn.XLOOKUP(SpeedROI[[#This Row],[Planet '#]],tblplaneteco[Planet '#],tblplaneteco[Ship Speed Cost])</f>
        <v/>
      </c>
      <c r="Q41" s="63" t="str">
        <f>_xlfn.XLOOKUP(SpeedROI[[#This Row],[Planet '#]],tblprogress[Planet '#],tblprogress[Total Time])</f>
        <v/>
      </c>
      <c r="R41" s="63" t="str">
        <f>IF(SpeedROI[[#This Row],[Current Deposit]]&gt;0,SpeedROI[[#This Row],[Total Time]]*SpeedROI[[#This Row],[Ship Speed]]/SpeedROI[[#This Row],[Next Ship Speed]],"")</f>
        <v/>
      </c>
      <c r="S41" s="14" t="str">
        <f>IF(
   _xlfn.XLOOKUP(SpeedROI[[#This Row],[Planet '#]], tblPlanets[Planet '#], tblPlanets[Name])=SpeedROI[[#This Row],[Name]],
   "Match",
   "Mismatch"
)</f>
        <v>Match</v>
      </c>
    </row>
    <row r="42" spans="1:19" x14ac:dyDescent="0.3">
      <c r="A42" s="24">
        <v>41</v>
      </c>
      <c r="B42" s="24" t="str">
        <f>_xlfn.XLOOKUP(tblprogress[[#This Row],[Planet '#]],tblPlanets[Planet '#],tblPlanets[Name])</f>
        <v>Dune</v>
      </c>
      <c r="C42" s="44">
        <f>_xlfn.XLOOKUP(SpeedROI[[#This Row],[Speed Level]]+1,tblUpgradeStats[Level],tblUpgradeStats[Ship Speed])</f>
        <v>1</v>
      </c>
      <c r="D42" s="41">
        <f>IFERROR(SpeedROI[[#This Row],[Current Efficiency]]*(SpeedROI[[#This Row],[Ship Speed]]/SpeedROI[[#This Row],[Next Ship Speed]]),0)</f>
        <v>0</v>
      </c>
      <c r="E42" s="60">
        <f>SpeedROI[[#This Row],[Future Deposit]]-SpeedROI[[#This Row],[Current Deposit]]</f>
        <v>0</v>
      </c>
      <c r="F4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2" s="25">
        <f>_xlfn.XLOOKUP(SpeedROI[[#This Row],[Planet '#]],tblprogress[Planet '#],tblprogress[Ship Level])</f>
        <v>0</v>
      </c>
      <c r="I42" s="44">
        <f>_xlfn.XLOOKUP(SpeedROI[[#This Row],[Planet '#]],tblprogress[Planet '#],tblprogress[Ship Speed])</f>
        <v>0</v>
      </c>
      <c r="J42" s="75">
        <f>_xlfn.XLOOKUP(SpeedROI[[#This Row],[Planet '#]],tblprogress[Planet '#],tblprogress[Mining Rate])</f>
        <v>0</v>
      </c>
      <c r="K42" s="28">
        <f>_xlfn.XLOOKUP(SpeedROI[[#This Row],[Planet '#]],tblprogress[Planet '#],tblprogress[Cargo])</f>
        <v>0</v>
      </c>
      <c r="L42" s="41">
        <f>_xlfn.XLOOKUP(SpeedROI[[#This Row],[Planet '#]],tblprogress[Planet '#],tblprogress[Efficiency],0)</f>
        <v>0</v>
      </c>
      <c r="M42" s="73">
        <f>IF(SpeedROI[[#This Row],[Current Efficiency]]&lt;=1,SpeedROI[[#This Row],[Mining Rate]]*60,SpeedROI[[#This Row],[Cargo]]/SpeedROI[[#This Row],[Total Time]]*60)</f>
        <v>0</v>
      </c>
      <c r="N42" s="73">
        <f>IF(SpeedROI[[#This Row],[Future Efficiency]]&lt;=1,SpeedROI[[#This Row],[Mining Rate]]*60,SpeedROI[[#This Row],[Cargo]]/SpeedROI[[#This Row],[New Time]]*60)</f>
        <v>0</v>
      </c>
      <c r="O42" s="34">
        <f>_xlfn.XLOOKUP(SpeedROI[[#This Row],[Planet '#]],tblplanetvalue[Planet '#],tblplanetvalue[Total Worth])</f>
        <v>41480</v>
      </c>
      <c r="P42" s="35" t="str">
        <f>_xlfn.XLOOKUP(SpeedROI[[#This Row],[Planet '#]],tblplaneteco[Planet '#],tblplaneteco[Ship Speed Cost])</f>
        <v/>
      </c>
      <c r="Q42" s="63" t="str">
        <f>_xlfn.XLOOKUP(SpeedROI[[#This Row],[Planet '#]],tblprogress[Planet '#],tblprogress[Total Time])</f>
        <v/>
      </c>
      <c r="R42" s="63" t="str">
        <f>IF(SpeedROI[[#This Row],[Current Deposit]]&gt;0,SpeedROI[[#This Row],[Total Time]]*SpeedROI[[#This Row],[Ship Speed]]/SpeedROI[[#This Row],[Next Ship Speed]],"")</f>
        <v/>
      </c>
      <c r="S42" s="14" t="str">
        <f>IF(
   _xlfn.XLOOKUP(SpeedROI[[#This Row],[Planet '#]], tblPlanets[Planet '#], tblPlanets[Name])=SpeedROI[[#This Row],[Name]],
   "Match",
   "Mismatch"
)</f>
        <v>Match</v>
      </c>
    </row>
    <row r="43" spans="1:19" x14ac:dyDescent="0.3">
      <c r="A43" s="25">
        <v>42</v>
      </c>
      <c r="B43" s="25" t="str">
        <f>_xlfn.XLOOKUP(tblprogress[[#This Row],[Planet '#]],tblPlanets[Planet '#],tblPlanets[Name])</f>
        <v>Naraka</v>
      </c>
      <c r="C43" s="44">
        <f>_xlfn.XLOOKUP(SpeedROI[[#This Row],[Speed Level]]+1,tblUpgradeStats[Level],tblUpgradeStats[Ship Speed])</f>
        <v>1</v>
      </c>
      <c r="D43" s="41">
        <f>IFERROR(SpeedROI[[#This Row],[Current Efficiency]]*(SpeedROI[[#This Row],[Ship Speed]]/SpeedROI[[#This Row],[Next Ship Speed]]),0)</f>
        <v>0</v>
      </c>
      <c r="E43" s="60">
        <f>SpeedROI[[#This Row],[Future Deposit]]-SpeedROI[[#This Row],[Current Deposit]]</f>
        <v>0</v>
      </c>
      <c r="F4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3" s="25">
        <f>_xlfn.XLOOKUP(SpeedROI[[#This Row],[Planet '#]],tblprogress[Planet '#],tblprogress[Ship Level])</f>
        <v>0</v>
      </c>
      <c r="I43" s="44">
        <f>_xlfn.XLOOKUP(SpeedROI[[#This Row],[Planet '#]],tblprogress[Planet '#],tblprogress[Ship Speed])</f>
        <v>0</v>
      </c>
      <c r="J43" s="75">
        <f>_xlfn.XLOOKUP(SpeedROI[[#This Row],[Planet '#]],tblprogress[Planet '#],tblprogress[Mining Rate])</f>
        <v>0</v>
      </c>
      <c r="K43" s="28">
        <f>_xlfn.XLOOKUP(SpeedROI[[#This Row],[Planet '#]],tblprogress[Planet '#],tblprogress[Cargo])</f>
        <v>0</v>
      </c>
      <c r="L43" s="41">
        <f>_xlfn.XLOOKUP(SpeedROI[[#This Row],[Planet '#]],tblprogress[Planet '#],tblprogress[Efficiency],0)</f>
        <v>0</v>
      </c>
      <c r="M43" s="73">
        <f>IF(SpeedROI[[#This Row],[Current Efficiency]]&lt;=1,SpeedROI[[#This Row],[Mining Rate]]*60,SpeedROI[[#This Row],[Cargo]]/SpeedROI[[#This Row],[Total Time]]*60)</f>
        <v>0</v>
      </c>
      <c r="N43" s="73">
        <f>IF(SpeedROI[[#This Row],[Future Efficiency]]&lt;=1,SpeedROI[[#This Row],[Mining Rate]]*60,SpeedROI[[#This Row],[Cargo]]/SpeedROI[[#This Row],[New Time]]*60)</f>
        <v>0</v>
      </c>
      <c r="O43" s="34">
        <f>_xlfn.XLOOKUP(SpeedROI[[#This Row],[Planet '#]],tblplanetvalue[Planet '#],tblplanetvalue[Total Worth])</f>
        <v>92000</v>
      </c>
      <c r="P43" s="35" t="str">
        <f>_xlfn.XLOOKUP(SpeedROI[[#This Row],[Planet '#]],tblplaneteco[Planet '#],tblplaneteco[Ship Speed Cost])</f>
        <v/>
      </c>
      <c r="Q43" s="63" t="str">
        <f>_xlfn.XLOOKUP(SpeedROI[[#This Row],[Planet '#]],tblprogress[Planet '#],tblprogress[Total Time])</f>
        <v/>
      </c>
      <c r="R43" s="63" t="str">
        <f>IF(SpeedROI[[#This Row],[Current Deposit]]&gt;0,SpeedROI[[#This Row],[Total Time]]*SpeedROI[[#This Row],[Ship Speed]]/SpeedROI[[#This Row],[Next Ship Speed]],"")</f>
        <v/>
      </c>
      <c r="S43" s="14" t="str">
        <f>IF(
   _xlfn.XLOOKUP(SpeedROI[[#This Row],[Planet '#]], tblPlanets[Planet '#], tblPlanets[Name])=SpeedROI[[#This Row],[Name]],
   "Match",
   "Mismatch"
)</f>
        <v>Match</v>
      </c>
    </row>
    <row r="44" spans="1:19" x14ac:dyDescent="0.3">
      <c r="A44" s="24">
        <v>43</v>
      </c>
      <c r="B44" s="24" t="str">
        <f>_xlfn.XLOOKUP(tblprogress[[#This Row],[Planet '#]],tblPlanets[Planet '#],tblPlanets[Name])</f>
        <v>Daedalus</v>
      </c>
      <c r="C44" s="44">
        <f>_xlfn.XLOOKUP(SpeedROI[[#This Row],[Speed Level]]+1,tblUpgradeStats[Level],tblUpgradeStats[Ship Speed])</f>
        <v>1</v>
      </c>
      <c r="D44" s="41">
        <f>IFERROR(SpeedROI[[#This Row],[Current Efficiency]]*(SpeedROI[[#This Row],[Ship Speed]]/SpeedROI[[#This Row],[Next Ship Speed]]),0)</f>
        <v>0</v>
      </c>
      <c r="E44" s="60">
        <f>SpeedROI[[#This Row],[Future Deposit]]-SpeedROI[[#This Row],[Current Deposit]]</f>
        <v>0</v>
      </c>
      <c r="F4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4" s="25">
        <f>_xlfn.XLOOKUP(SpeedROI[[#This Row],[Planet '#]],tblprogress[Planet '#],tblprogress[Ship Level])</f>
        <v>0</v>
      </c>
      <c r="I44" s="44">
        <f>_xlfn.XLOOKUP(SpeedROI[[#This Row],[Planet '#]],tblprogress[Planet '#],tblprogress[Ship Speed])</f>
        <v>0</v>
      </c>
      <c r="J44" s="75">
        <f>_xlfn.XLOOKUP(SpeedROI[[#This Row],[Planet '#]],tblprogress[Planet '#],tblprogress[Mining Rate])</f>
        <v>0</v>
      </c>
      <c r="K44" s="28">
        <f>_xlfn.XLOOKUP(SpeedROI[[#This Row],[Planet '#]],tblprogress[Planet '#],tblprogress[Cargo])</f>
        <v>0</v>
      </c>
      <c r="L44" s="41">
        <f>_xlfn.XLOOKUP(SpeedROI[[#This Row],[Planet '#]],tblprogress[Planet '#],tblprogress[Efficiency],0)</f>
        <v>0</v>
      </c>
      <c r="M44" s="73">
        <f>IF(SpeedROI[[#This Row],[Current Efficiency]]&lt;=1,SpeedROI[[#This Row],[Mining Rate]]*60,SpeedROI[[#This Row],[Cargo]]/SpeedROI[[#This Row],[Total Time]]*60)</f>
        <v>0</v>
      </c>
      <c r="N44" s="73">
        <f>IF(SpeedROI[[#This Row],[Future Efficiency]]&lt;=1,SpeedROI[[#This Row],[Mining Rate]]*60,SpeedROI[[#This Row],[Cargo]]/SpeedROI[[#This Row],[New Time]]*60)</f>
        <v>0</v>
      </c>
      <c r="O44" s="34">
        <f>_xlfn.XLOOKUP(SpeedROI[[#This Row],[Planet '#]],tblplanetvalue[Planet '#],tblplanetvalue[Total Worth])</f>
        <v>97450</v>
      </c>
      <c r="P44" s="35" t="str">
        <f>_xlfn.XLOOKUP(SpeedROI[[#This Row],[Planet '#]],tblplaneteco[Planet '#],tblplaneteco[Ship Speed Cost])</f>
        <v/>
      </c>
      <c r="Q44" s="63" t="str">
        <f>_xlfn.XLOOKUP(SpeedROI[[#This Row],[Planet '#]],tblprogress[Planet '#],tblprogress[Total Time])</f>
        <v/>
      </c>
      <c r="R44" s="63" t="str">
        <f>IF(SpeedROI[[#This Row],[Current Deposit]]&gt;0,SpeedROI[[#This Row],[Total Time]]*SpeedROI[[#This Row],[Ship Speed]]/SpeedROI[[#This Row],[Next Ship Speed]],"")</f>
        <v/>
      </c>
      <c r="S44" s="14" t="str">
        <f>IF(
   _xlfn.XLOOKUP(SpeedROI[[#This Row],[Planet '#]], tblPlanets[Planet '#], tblPlanets[Name])=SpeedROI[[#This Row],[Name]],
   "Match",
   "Mismatch"
)</f>
        <v>Match</v>
      </c>
    </row>
    <row r="45" spans="1:19" x14ac:dyDescent="0.3">
      <c r="A45" s="25">
        <v>44</v>
      </c>
      <c r="B45" s="25" t="str">
        <f>_xlfn.XLOOKUP(tblprogress[[#This Row],[Planet '#]],tblPlanets[Planet '#],tblPlanets[Name])</f>
        <v>Clovis</v>
      </c>
      <c r="C45" s="44">
        <f>_xlfn.XLOOKUP(SpeedROI[[#This Row],[Speed Level]]+1,tblUpgradeStats[Level],tblUpgradeStats[Ship Speed])</f>
        <v>1</v>
      </c>
      <c r="D45" s="41">
        <f>IFERROR(SpeedROI[[#This Row],[Current Efficiency]]*(SpeedROI[[#This Row],[Ship Speed]]/SpeedROI[[#This Row],[Next Ship Speed]]),0)</f>
        <v>0</v>
      </c>
      <c r="E45" s="60">
        <f>SpeedROI[[#This Row],[Future Deposit]]-SpeedROI[[#This Row],[Current Deposit]]</f>
        <v>0</v>
      </c>
      <c r="F4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5" s="25">
        <f>_xlfn.XLOOKUP(SpeedROI[[#This Row],[Planet '#]],tblprogress[Planet '#],tblprogress[Ship Level])</f>
        <v>0</v>
      </c>
      <c r="I45" s="44">
        <f>_xlfn.XLOOKUP(SpeedROI[[#This Row],[Planet '#]],tblprogress[Planet '#],tblprogress[Ship Speed])</f>
        <v>0</v>
      </c>
      <c r="J45" s="75">
        <f>_xlfn.XLOOKUP(SpeedROI[[#This Row],[Planet '#]],tblprogress[Planet '#],tblprogress[Mining Rate])</f>
        <v>0</v>
      </c>
      <c r="K45" s="28">
        <f>_xlfn.XLOOKUP(SpeedROI[[#This Row],[Planet '#]],tblprogress[Planet '#],tblprogress[Cargo])</f>
        <v>0</v>
      </c>
      <c r="L45" s="41">
        <f>_xlfn.XLOOKUP(SpeedROI[[#This Row],[Planet '#]],tblprogress[Planet '#],tblprogress[Efficiency],0)</f>
        <v>0</v>
      </c>
      <c r="M45" s="73">
        <f>IF(SpeedROI[[#This Row],[Current Efficiency]]&lt;=1,SpeedROI[[#This Row],[Mining Rate]]*60,SpeedROI[[#This Row],[Cargo]]/SpeedROI[[#This Row],[Total Time]]*60)</f>
        <v>0</v>
      </c>
      <c r="N45" s="73">
        <f>IF(SpeedROI[[#This Row],[Future Efficiency]]&lt;=1,SpeedROI[[#This Row],[Mining Rate]]*60,SpeedROI[[#This Row],[Cargo]]/SpeedROI[[#This Row],[New Time]]*60)</f>
        <v>0</v>
      </c>
      <c r="O45" s="34">
        <f>_xlfn.XLOOKUP(SpeedROI[[#This Row],[Planet '#]],tblplanetvalue[Planet '#],tblplanetvalue[Total Worth])</f>
        <v>153500</v>
      </c>
      <c r="P45" s="35" t="str">
        <f>_xlfn.XLOOKUP(SpeedROI[[#This Row],[Planet '#]],tblplaneteco[Planet '#],tblplaneteco[Ship Speed Cost])</f>
        <v/>
      </c>
      <c r="Q45" s="63" t="str">
        <f>_xlfn.XLOOKUP(SpeedROI[[#This Row],[Planet '#]],tblprogress[Planet '#],tblprogress[Total Time])</f>
        <v/>
      </c>
      <c r="R45" s="63" t="str">
        <f>IF(SpeedROI[[#This Row],[Current Deposit]]&gt;0,SpeedROI[[#This Row],[Total Time]]*SpeedROI[[#This Row],[Ship Speed]]/SpeedROI[[#This Row],[Next Ship Speed]],"")</f>
        <v/>
      </c>
      <c r="S45" s="14" t="str">
        <f>IF(
   _xlfn.XLOOKUP(SpeedROI[[#This Row],[Planet '#]], tblPlanets[Planet '#], tblPlanets[Name])=SpeedROI[[#This Row],[Name]],
   "Match",
   "Mismatch"
)</f>
        <v>Match</v>
      </c>
    </row>
    <row r="46" spans="1:19" x14ac:dyDescent="0.3">
      <c r="A46" s="24">
        <v>45</v>
      </c>
      <c r="B46" s="24" t="str">
        <f>_xlfn.XLOOKUP(tblprogress[[#This Row],[Planet '#]],tblPlanets[Planet '#],tblPlanets[Name])</f>
        <v>Zero</v>
      </c>
      <c r="C46" s="44">
        <f>_xlfn.XLOOKUP(SpeedROI[[#This Row],[Speed Level]]+1,tblUpgradeStats[Level],tblUpgradeStats[Ship Speed])</f>
        <v>1</v>
      </c>
      <c r="D46" s="41">
        <f>IFERROR(SpeedROI[[#This Row],[Current Efficiency]]*(SpeedROI[[#This Row],[Ship Speed]]/SpeedROI[[#This Row],[Next Ship Speed]]),0)</f>
        <v>0</v>
      </c>
      <c r="E46" s="60">
        <f>SpeedROI[[#This Row],[Future Deposit]]-SpeedROI[[#This Row],[Current Deposit]]</f>
        <v>0</v>
      </c>
      <c r="F4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6" s="25">
        <f>_xlfn.XLOOKUP(SpeedROI[[#This Row],[Planet '#]],tblprogress[Planet '#],tblprogress[Ship Level])</f>
        <v>0</v>
      </c>
      <c r="I46" s="44">
        <f>_xlfn.XLOOKUP(SpeedROI[[#This Row],[Planet '#]],tblprogress[Planet '#],tblprogress[Ship Speed])</f>
        <v>0</v>
      </c>
      <c r="J46" s="75">
        <f>_xlfn.XLOOKUP(SpeedROI[[#This Row],[Planet '#]],tblprogress[Planet '#],tblprogress[Mining Rate])</f>
        <v>0</v>
      </c>
      <c r="K46" s="28">
        <f>_xlfn.XLOOKUP(SpeedROI[[#This Row],[Planet '#]],tblprogress[Planet '#],tblprogress[Cargo])</f>
        <v>0</v>
      </c>
      <c r="L46" s="41">
        <f>_xlfn.XLOOKUP(SpeedROI[[#This Row],[Planet '#]],tblprogress[Planet '#],tblprogress[Efficiency],0)</f>
        <v>0</v>
      </c>
      <c r="M46" s="73">
        <f>IF(SpeedROI[[#This Row],[Current Efficiency]]&lt;=1,SpeedROI[[#This Row],[Mining Rate]]*60,SpeedROI[[#This Row],[Cargo]]/SpeedROI[[#This Row],[Total Time]]*60)</f>
        <v>0</v>
      </c>
      <c r="N46" s="73">
        <f>IF(SpeedROI[[#This Row],[Future Efficiency]]&lt;=1,SpeedROI[[#This Row],[Mining Rate]]*60,SpeedROI[[#This Row],[Cargo]]/SpeedROI[[#This Row],[New Time]]*60)</f>
        <v>0</v>
      </c>
      <c r="O46" s="34">
        <f>_xlfn.XLOOKUP(SpeedROI[[#This Row],[Planet '#]],tblplanetvalue[Planet '#],tblplanetvalue[Total Worth])</f>
        <v>215000</v>
      </c>
      <c r="P46" s="35" t="str">
        <f>_xlfn.XLOOKUP(SpeedROI[[#This Row],[Planet '#]],tblplaneteco[Planet '#],tblplaneteco[Ship Speed Cost])</f>
        <v/>
      </c>
      <c r="Q46" s="63" t="str">
        <f>_xlfn.XLOOKUP(SpeedROI[[#This Row],[Planet '#]],tblprogress[Planet '#],tblprogress[Total Time])</f>
        <v/>
      </c>
      <c r="R46" s="63" t="str">
        <f>IF(SpeedROI[[#This Row],[Current Deposit]]&gt;0,SpeedROI[[#This Row],[Total Time]]*SpeedROI[[#This Row],[Ship Speed]]/SpeedROI[[#This Row],[Next Ship Speed]],"")</f>
        <v/>
      </c>
      <c r="S46" s="14" t="str">
        <f>IF(
   _xlfn.XLOOKUP(SpeedROI[[#This Row],[Planet '#]], tblPlanets[Planet '#], tblPlanets[Name])=SpeedROI[[#This Row],[Name]],
   "Match",
   "Mismatch"
)</f>
        <v>Match</v>
      </c>
    </row>
    <row r="47" spans="1:19" x14ac:dyDescent="0.3">
      <c r="A47" s="25">
        <v>46</v>
      </c>
      <c r="B47" s="25" t="str">
        <f>_xlfn.XLOOKUP(tblprogress[[#This Row],[Planet '#]],tblPlanets[Planet '#],tblPlanets[Name])</f>
        <v>Sotomi</v>
      </c>
      <c r="C47" s="44">
        <f>_xlfn.XLOOKUP(SpeedROI[[#This Row],[Speed Level]]+1,tblUpgradeStats[Level],tblUpgradeStats[Ship Speed])</f>
        <v>1</v>
      </c>
      <c r="D47" s="41">
        <f>IFERROR(SpeedROI[[#This Row],[Current Efficiency]]*(SpeedROI[[#This Row],[Ship Speed]]/SpeedROI[[#This Row],[Next Ship Speed]]),0)</f>
        <v>0</v>
      </c>
      <c r="E47" s="60">
        <f>SpeedROI[[#This Row],[Future Deposit]]-SpeedROI[[#This Row],[Current Deposit]]</f>
        <v>0</v>
      </c>
      <c r="F4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7" s="25">
        <f>_xlfn.XLOOKUP(SpeedROI[[#This Row],[Planet '#]],tblprogress[Planet '#],tblprogress[Ship Level])</f>
        <v>0</v>
      </c>
      <c r="I47" s="44">
        <f>_xlfn.XLOOKUP(SpeedROI[[#This Row],[Planet '#]],tblprogress[Planet '#],tblprogress[Ship Speed])</f>
        <v>0</v>
      </c>
      <c r="J47" s="75">
        <f>_xlfn.XLOOKUP(SpeedROI[[#This Row],[Planet '#]],tblprogress[Planet '#],tblprogress[Mining Rate])</f>
        <v>0</v>
      </c>
      <c r="K47" s="28">
        <f>_xlfn.XLOOKUP(SpeedROI[[#This Row],[Planet '#]],tblprogress[Planet '#],tblprogress[Cargo])</f>
        <v>0</v>
      </c>
      <c r="L47" s="41">
        <f>_xlfn.XLOOKUP(SpeedROI[[#This Row],[Planet '#]],tblprogress[Planet '#],tblprogress[Efficiency],0)</f>
        <v>0</v>
      </c>
      <c r="M47" s="73">
        <f>IF(SpeedROI[[#This Row],[Current Efficiency]]&lt;=1,SpeedROI[[#This Row],[Mining Rate]]*60,SpeedROI[[#This Row],[Cargo]]/SpeedROI[[#This Row],[Total Time]]*60)</f>
        <v>0</v>
      </c>
      <c r="N47" s="73">
        <f>IF(SpeedROI[[#This Row],[Future Efficiency]]&lt;=1,SpeedROI[[#This Row],[Mining Rate]]*60,SpeedROI[[#This Row],[Cargo]]/SpeedROI[[#This Row],[New Time]]*60)</f>
        <v>0</v>
      </c>
      <c r="O47" s="34">
        <f>_xlfn.XLOOKUP(SpeedROI[[#This Row],[Planet '#]],tblplanetvalue[Planet '#],tblplanetvalue[Total Worth])</f>
        <v>288750</v>
      </c>
      <c r="P47" s="35" t="str">
        <f>_xlfn.XLOOKUP(SpeedROI[[#This Row],[Planet '#]],tblplaneteco[Planet '#],tblplaneteco[Ship Speed Cost])</f>
        <v/>
      </c>
      <c r="Q47" s="63" t="str">
        <f>_xlfn.XLOOKUP(SpeedROI[[#This Row],[Planet '#]],tblprogress[Planet '#],tblprogress[Total Time])</f>
        <v/>
      </c>
      <c r="R47" s="63" t="str">
        <f>IF(SpeedROI[[#This Row],[Current Deposit]]&gt;0,SpeedROI[[#This Row],[Total Time]]*SpeedROI[[#This Row],[Ship Speed]]/SpeedROI[[#This Row],[Next Ship Speed]],"")</f>
        <v/>
      </c>
      <c r="S47" s="14" t="str">
        <f>IF(
   _xlfn.XLOOKUP(SpeedROI[[#This Row],[Planet '#]], tblPlanets[Planet '#], tblPlanets[Name])=SpeedROI[[#This Row],[Name]],
   "Match",
   "Mismatch"
)</f>
        <v>Match</v>
      </c>
    </row>
    <row r="48" spans="1:19" x14ac:dyDescent="0.3">
      <c r="A48" s="24">
        <v>47</v>
      </c>
      <c r="B48" s="24" t="str">
        <f>_xlfn.XLOOKUP(tblprogress[[#This Row],[Planet '#]],tblPlanets[Planet '#],tblPlanets[Name])</f>
        <v>Remidian</v>
      </c>
      <c r="C48" s="44">
        <f>_xlfn.XLOOKUP(SpeedROI[[#This Row],[Speed Level]]+1,tblUpgradeStats[Level],tblUpgradeStats[Ship Speed])</f>
        <v>1</v>
      </c>
      <c r="D48" s="41">
        <f>IFERROR(SpeedROI[[#This Row],[Current Efficiency]]*(SpeedROI[[#This Row],[Ship Speed]]/SpeedROI[[#This Row],[Next Ship Speed]]),0)</f>
        <v>0</v>
      </c>
      <c r="E48" s="60">
        <f>SpeedROI[[#This Row],[Future Deposit]]-SpeedROI[[#This Row],[Current Deposit]]</f>
        <v>0</v>
      </c>
      <c r="F48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8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8" s="25">
        <f>_xlfn.XLOOKUP(SpeedROI[[#This Row],[Planet '#]],tblprogress[Planet '#],tblprogress[Ship Level])</f>
        <v>0</v>
      </c>
      <c r="I48" s="44">
        <f>_xlfn.XLOOKUP(SpeedROI[[#This Row],[Planet '#]],tblprogress[Planet '#],tblprogress[Ship Speed])</f>
        <v>0</v>
      </c>
      <c r="J48" s="75">
        <f>_xlfn.XLOOKUP(SpeedROI[[#This Row],[Planet '#]],tblprogress[Planet '#],tblprogress[Mining Rate])</f>
        <v>0</v>
      </c>
      <c r="K48" s="28">
        <f>_xlfn.XLOOKUP(SpeedROI[[#This Row],[Planet '#]],tblprogress[Planet '#],tblprogress[Cargo])</f>
        <v>0</v>
      </c>
      <c r="L48" s="41">
        <f>_xlfn.XLOOKUP(SpeedROI[[#This Row],[Planet '#]],tblprogress[Planet '#],tblprogress[Efficiency],0)</f>
        <v>0</v>
      </c>
      <c r="M48" s="73">
        <f>IF(SpeedROI[[#This Row],[Current Efficiency]]&lt;=1,SpeedROI[[#This Row],[Mining Rate]]*60,SpeedROI[[#This Row],[Cargo]]/SpeedROI[[#This Row],[Total Time]]*60)</f>
        <v>0</v>
      </c>
      <c r="N48" s="73">
        <f>IF(SpeedROI[[#This Row],[Future Efficiency]]&lt;=1,SpeedROI[[#This Row],[Mining Rate]]*60,SpeedROI[[#This Row],[Cargo]]/SpeedROI[[#This Row],[New Time]]*60)</f>
        <v>0</v>
      </c>
      <c r="O48" s="34">
        <f>_xlfn.XLOOKUP(SpeedROI[[#This Row],[Planet '#]],tblplanetvalue[Planet '#],tblplanetvalue[Total Worth])</f>
        <v>342800</v>
      </c>
      <c r="P48" s="35" t="str">
        <f>_xlfn.XLOOKUP(SpeedROI[[#This Row],[Planet '#]],tblplaneteco[Planet '#],tblplaneteco[Ship Speed Cost])</f>
        <v/>
      </c>
      <c r="Q48" s="63" t="str">
        <f>_xlfn.XLOOKUP(SpeedROI[[#This Row],[Planet '#]],tblprogress[Planet '#],tblprogress[Total Time])</f>
        <v/>
      </c>
      <c r="R48" s="63" t="str">
        <f>IF(SpeedROI[[#This Row],[Current Deposit]]&gt;0,SpeedROI[[#This Row],[Total Time]]*SpeedROI[[#This Row],[Ship Speed]]/SpeedROI[[#This Row],[Next Ship Speed]],"")</f>
        <v/>
      </c>
      <c r="S48" s="14" t="str">
        <f>IF(
   _xlfn.XLOOKUP(SpeedROI[[#This Row],[Planet '#]], tblPlanets[Planet '#], tblPlanets[Name])=SpeedROI[[#This Row],[Name]],
   "Match",
   "Mismatch"
)</f>
        <v>Match</v>
      </c>
    </row>
    <row r="49" spans="1:19" x14ac:dyDescent="0.3">
      <c r="A49" s="25">
        <v>48</v>
      </c>
      <c r="B49" s="25" t="str">
        <f>_xlfn.XLOOKUP(tblprogress[[#This Row],[Planet '#]],tblPlanets[Planet '#],tblPlanets[Name])</f>
        <v>Muse</v>
      </c>
      <c r="C49" s="44">
        <f>_xlfn.XLOOKUP(SpeedROI[[#This Row],[Speed Level]]+1,tblUpgradeStats[Level],tblUpgradeStats[Ship Speed])</f>
        <v>1</v>
      </c>
      <c r="D49" s="41">
        <f>IFERROR(SpeedROI[[#This Row],[Current Efficiency]]*(SpeedROI[[#This Row],[Ship Speed]]/SpeedROI[[#This Row],[Next Ship Speed]]),0)</f>
        <v>0</v>
      </c>
      <c r="E49" s="60">
        <f>SpeedROI[[#This Row],[Future Deposit]]-SpeedROI[[#This Row],[Current Deposit]]</f>
        <v>0</v>
      </c>
      <c r="F49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49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49" s="25">
        <f>_xlfn.XLOOKUP(SpeedROI[[#This Row],[Planet '#]],tblprogress[Planet '#],tblprogress[Ship Level])</f>
        <v>0</v>
      </c>
      <c r="I49" s="44">
        <f>_xlfn.XLOOKUP(SpeedROI[[#This Row],[Planet '#]],tblprogress[Planet '#],tblprogress[Ship Speed])</f>
        <v>0</v>
      </c>
      <c r="J49" s="75">
        <f>_xlfn.XLOOKUP(SpeedROI[[#This Row],[Planet '#]],tblprogress[Planet '#],tblprogress[Mining Rate])</f>
        <v>0</v>
      </c>
      <c r="K49" s="28">
        <f>_xlfn.XLOOKUP(SpeedROI[[#This Row],[Planet '#]],tblprogress[Planet '#],tblprogress[Cargo])</f>
        <v>0</v>
      </c>
      <c r="L49" s="41">
        <f>_xlfn.XLOOKUP(SpeedROI[[#This Row],[Planet '#]],tblprogress[Planet '#],tblprogress[Efficiency],0)</f>
        <v>0</v>
      </c>
      <c r="M49" s="73">
        <f>IF(SpeedROI[[#This Row],[Current Efficiency]]&lt;=1,SpeedROI[[#This Row],[Mining Rate]]*60,SpeedROI[[#This Row],[Cargo]]/SpeedROI[[#This Row],[Total Time]]*60)</f>
        <v>0</v>
      </c>
      <c r="N49" s="73">
        <f>IF(SpeedROI[[#This Row],[Future Efficiency]]&lt;=1,SpeedROI[[#This Row],[Mining Rate]]*60,SpeedROI[[#This Row],[Cargo]]/SpeedROI[[#This Row],[New Time]]*60)</f>
        <v>0</v>
      </c>
      <c r="O49" s="34">
        <f>_xlfn.XLOOKUP(SpeedROI[[#This Row],[Planet '#]],tblplanetvalue[Planet '#],tblplanetvalue[Total Worth])</f>
        <v>510000</v>
      </c>
      <c r="P49" s="35" t="str">
        <f>_xlfn.XLOOKUP(SpeedROI[[#This Row],[Planet '#]],tblplaneteco[Planet '#],tblplaneteco[Ship Speed Cost])</f>
        <v/>
      </c>
      <c r="Q49" s="63" t="str">
        <f>_xlfn.XLOOKUP(SpeedROI[[#This Row],[Planet '#]],tblprogress[Planet '#],tblprogress[Total Time])</f>
        <v/>
      </c>
      <c r="R49" s="63" t="str">
        <f>IF(SpeedROI[[#This Row],[Current Deposit]]&gt;0,SpeedROI[[#This Row],[Total Time]]*SpeedROI[[#This Row],[Ship Speed]]/SpeedROI[[#This Row],[Next Ship Speed]],"")</f>
        <v/>
      </c>
      <c r="S49" s="14" t="str">
        <f>IF(
   _xlfn.XLOOKUP(SpeedROI[[#This Row],[Planet '#]], tblPlanets[Planet '#], tblPlanets[Name])=SpeedROI[[#This Row],[Name]],
   "Match",
   "Mismatch"
)</f>
        <v>Match</v>
      </c>
    </row>
    <row r="50" spans="1:19" x14ac:dyDescent="0.3">
      <c r="A50" s="24">
        <v>49</v>
      </c>
      <c r="B50" s="24" t="str">
        <f>_xlfn.XLOOKUP(tblprogress[[#This Row],[Planet '#]],tblPlanets[Planet '#],tblPlanets[Name])</f>
        <v>Arabis</v>
      </c>
      <c r="C50" s="44">
        <f>_xlfn.XLOOKUP(SpeedROI[[#This Row],[Speed Level]]+1,tblUpgradeStats[Level],tblUpgradeStats[Ship Speed])</f>
        <v>1</v>
      </c>
      <c r="D50" s="41">
        <f>IFERROR(SpeedROI[[#This Row],[Current Efficiency]]*(SpeedROI[[#This Row],[Ship Speed]]/SpeedROI[[#This Row],[Next Ship Speed]]),0)</f>
        <v>0</v>
      </c>
      <c r="E50" s="60">
        <f>SpeedROI[[#This Row],[Future Deposit]]-SpeedROI[[#This Row],[Current Deposit]]</f>
        <v>0</v>
      </c>
      <c r="F50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0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0" s="25">
        <f>_xlfn.XLOOKUP(SpeedROI[[#This Row],[Planet '#]],tblprogress[Planet '#],tblprogress[Ship Level])</f>
        <v>0</v>
      </c>
      <c r="I50" s="44">
        <f>_xlfn.XLOOKUP(SpeedROI[[#This Row],[Planet '#]],tblprogress[Planet '#],tblprogress[Ship Speed])</f>
        <v>0</v>
      </c>
      <c r="J50" s="75">
        <f>_xlfn.XLOOKUP(SpeedROI[[#This Row],[Planet '#]],tblprogress[Planet '#],tblprogress[Mining Rate])</f>
        <v>0</v>
      </c>
      <c r="K50" s="28">
        <f>_xlfn.XLOOKUP(SpeedROI[[#This Row],[Planet '#]],tblprogress[Planet '#],tblprogress[Cargo])</f>
        <v>0</v>
      </c>
      <c r="L50" s="41">
        <f>_xlfn.XLOOKUP(SpeedROI[[#This Row],[Planet '#]],tblprogress[Planet '#],tblprogress[Efficiency],0)</f>
        <v>0</v>
      </c>
      <c r="M50" s="73">
        <f>IF(SpeedROI[[#This Row],[Current Efficiency]]&lt;=1,SpeedROI[[#This Row],[Mining Rate]]*60,SpeedROI[[#This Row],[Cargo]]/SpeedROI[[#This Row],[Total Time]]*60)</f>
        <v>0</v>
      </c>
      <c r="N50" s="73">
        <f>IF(SpeedROI[[#This Row],[Future Efficiency]]&lt;=1,SpeedROI[[#This Row],[Mining Rate]]*60,SpeedROI[[#This Row],[Cargo]]/SpeedROI[[#This Row],[New Time]]*60)</f>
        <v>0</v>
      </c>
      <c r="O50" s="34">
        <f>_xlfn.XLOOKUP(SpeedROI[[#This Row],[Planet '#]],tblplanetvalue[Planet '#],tblplanetvalue[Total Worth])</f>
        <v>880000</v>
      </c>
      <c r="P50" s="35" t="str">
        <f>_xlfn.XLOOKUP(SpeedROI[[#This Row],[Planet '#]],tblplaneteco[Planet '#],tblplaneteco[Ship Speed Cost])</f>
        <v/>
      </c>
      <c r="Q50" s="63" t="str">
        <f>_xlfn.XLOOKUP(SpeedROI[[#This Row],[Planet '#]],tblprogress[Planet '#],tblprogress[Total Time])</f>
        <v/>
      </c>
      <c r="R50" s="63" t="str">
        <f>IF(SpeedROI[[#This Row],[Current Deposit]]&gt;0,SpeedROI[[#This Row],[Total Time]]*SpeedROI[[#This Row],[Ship Speed]]/SpeedROI[[#This Row],[Next Ship Speed]],"")</f>
        <v/>
      </c>
      <c r="S50" s="14" t="str">
        <f>IF(
   _xlfn.XLOOKUP(SpeedROI[[#This Row],[Planet '#]], tblPlanets[Planet '#], tblPlanets[Name])=SpeedROI[[#This Row],[Name]],
   "Match",
   "Mismatch"
)</f>
        <v>Match</v>
      </c>
    </row>
    <row r="51" spans="1:19" x14ac:dyDescent="0.3">
      <c r="A51" s="25">
        <v>50</v>
      </c>
      <c r="B51" s="25" t="str">
        <f>_xlfn.XLOOKUP(tblprogress[[#This Row],[Planet '#]],tblPlanets[Planet '#],tblPlanets[Name])</f>
        <v>Vesna</v>
      </c>
      <c r="C51" s="44">
        <f>_xlfn.XLOOKUP(SpeedROI[[#This Row],[Speed Level]]+1,tblUpgradeStats[Level],tblUpgradeStats[Ship Speed])</f>
        <v>1</v>
      </c>
      <c r="D51" s="41">
        <f>IFERROR(SpeedROI[[#This Row],[Current Efficiency]]*(SpeedROI[[#This Row],[Ship Speed]]/SpeedROI[[#This Row],[Next Ship Speed]]),0)</f>
        <v>0</v>
      </c>
      <c r="E51" s="60">
        <f>SpeedROI[[#This Row],[Future Deposit]]-SpeedROI[[#This Row],[Current Deposit]]</f>
        <v>0</v>
      </c>
      <c r="F51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1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1" s="25">
        <f>_xlfn.XLOOKUP(SpeedROI[[#This Row],[Planet '#]],tblprogress[Planet '#],tblprogress[Ship Level])</f>
        <v>0</v>
      </c>
      <c r="I51" s="44">
        <f>_xlfn.XLOOKUP(SpeedROI[[#This Row],[Planet '#]],tblprogress[Planet '#],tblprogress[Ship Speed])</f>
        <v>0</v>
      </c>
      <c r="J51" s="75">
        <f>_xlfn.XLOOKUP(SpeedROI[[#This Row],[Planet '#]],tblprogress[Planet '#],tblprogress[Mining Rate])</f>
        <v>0</v>
      </c>
      <c r="K51" s="28">
        <f>_xlfn.XLOOKUP(SpeedROI[[#This Row],[Planet '#]],tblprogress[Planet '#],tblprogress[Cargo])</f>
        <v>0</v>
      </c>
      <c r="L51" s="41">
        <f>_xlfn.XLOOKUP(SpeedROI[[#This Row],[Planet '#]],tblprogress[Planet '#],tblprogress[Efficiency],0)</f>
        <v>0</v>
      </c>
      <c r="M51" s="73">
        <f>IF(SpeedROI[[#This Row],[Current Efficiency]]&lt;=1,SpeedROI[[#This Row],[Mining Rate]]*60,SpeedROI[[#This Row],[Cargo]]/SpeedROI[[#This Row],[Total Time]]*60)</f>
        <v>0</v>
      </c>
      <c r="N51" s="73">
        <f>IF(SpeedROI[[#This Row],[Future Efficiency]]&lt;=1,SpeedROI[[#This Row],[Mining Rate]]*60,SpeedROI[[#This Row],[Cargo]]/SpeedROI[[#This Row],[New Time]]*60)</f>
        <v>0</v>
      </c>
      <c r="O51" s="34">
        <f>_xlfn.XLOOKUP(SpeedROI[[#This Row],[Planet '#]],tblplanetvalue[Planet '#],tblplanetvalue[Total Worth])</f>
        <v>836000</v>
      </c>
      <c r="P51" s="35" t="str">
        <f>_xlfn.XLOOKUP(SpeedROI[[#This Row],[Planet '#]],tblplaneteco[Planet '#],tblplaneteco[Ship Speed Cost])</f>
        <v/>
      </c>
      <c r="Q51" s="63" t="str">
        <f>_xlfn.XLOOKUP(SpeedROI[[#This Row],[Planet '#]],tblprogress[Planet '#],tblprogress[Total Time])</f>
        <v/>
      </c>
      <c r="R51" s="63" t="str">
        <f>IF(SpeedROI[[#This Row],[Current Deposit]]&gt;0,SpeedROI[[#This Row],[Total Time]]*SpeedROI[[#This Row],[Ship Speed]]/SpeedROI[[#This Row],[Next Ship Speed]],"")</f>
        <v/>
      </c>
      <c r="S51" s="14" t="str">
        <f>IF(
   _xlfn.XLOOKUP(SpeedROI[[#This Row],[Planet '#]], tblPlanets[Planet '#], tblPlanets[Name])=SpeedROI[[#This Row],[Name]],
   "Match",
   "Mismatch"
)</f>
        <v>Match</v>
      </c>
    </row>
    <row r="52" spans="1:19" x14ac:dyDescent="0.3">
      <c r="A52" s="24">
        <v>51</v>
      </c>
      <c r="B52" s="24" t="str">
        <f>_xlfn.XLOOKUP(tblprogress[[#This Row],[Planet '#]],tblPlanets[Planet '#],tblPlanets[Name])</f>
        <v>Chandra</v>
      </c>
      <c r="C52" s="44">
        <f>_xlfn.XLOOKUP(SpeedROI[[#This Row],[Speed Level]]+1,tblUpgradeStats[Level],tblUpgradeStats[Ship Speed])</f>
        <v>1</v>
      </c>
      <c r="D52" s="41">
        <f>IFERROR(SpeedROI[[#This Row],[Current Efficiency]]*(SpeedROI[[#This Row],[Ship Speed]]/SpeedROI[[#This Row],[Next Ship Speed]]),0)</f>
        <v>0</v>
      </c>
      <c r="E52" s="60">
        <f>SpeedROI[[#This Row],[Future Deposit]]-SpeedROI[[#This Row],[Current Deposit]]</f>
        <v>0</v>
      </c>
      <c r="F5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2" s="25">
        <f>_xlfn.XLOOKUP(SpeedROI[[#This Row],[Planet '#]],tblprogress[Planet '#],tblprogress[Ship Level])</f>
        <v>0</v>
      </c>
      <c r="I52" s="44">
        <f>_xlfn.XLOOKUP(SpeedROI[[#This Row],[Planet '#]],tblprogress[Planet '#],tblprogress[Ship Speed])</f>
        <v>0</v>
      </c>
      <c r="J52" s="75">
        <f>_xlfn.XLOOKUP(SpeedROI[[#This Row],[Planet '#]],tblprogress[Planet '#],tblprogress[Mining Rate])</f>
        <v>0</v>
      </c>
      <c r="K52" s="28">
        <f>_xlfn.XLOOKUP(SpeedROI[[#This Row],[Planet '#]],tblprogress[Planet '#],tblprogress[Cargo])</f>
        <v>0</v>
      </c>
      <c r="L52" s="41">
        <f>_xlfn.XLOOKUP(SpeedROI[[#This Row],[Planet '#]],tblprogress[Planet '#],tblprogress[Efficiency],0)</f>
        <v>0</v>
      </c>
      <c r="M52" s="73">
        <f>IF(SpeedROI[[#This Row],[Current Efficiency]]&lt;=1,SpeedROI[[#This Row],[Mining Rate]]*60,SpeedROI[[#This Row],[Cargo]]/SpeedROI[[#This Row],[Total Time]]*60)</f>
        <v>0</v>
      </c>
      <c r="N52" s="73">
        <f>IF(SpeedROI[[#This Row],[Future Efficiency]]&lt;=1,SpeedROI[[#This Row],[Mining Rate]]*60,SpeedROI[[#This Row],[Cargo]]/SpeedROI[[#This Row],[New Time]]*60)</f>
        <v>0</v>
      </c>
      <c r="O52" s="34">
        <f>_xlfn.XLOOKUP(SpeedROI[[#This Row],[Planet '#]],tblplanetvalue[Planet '#],tblplanetvalue[Total Worth])</f>
        <v>1250000</v>
      </c>
      <c r="P52" s="35" t="str">
        <f>_xlfn.XLOOKUP(SpeedROI[[#This Row],[Planet '#]],tblplaneteco[Planet '#],tblplaneteco[Ship Speed Cost])</f>
        <v/>
      </c>
      <c r="Q52" s="63" t="str">
        <f>_xlfn.XLOOKUP(SpeedROI[[#This Row],[Planet '#]],tblprogress[Planet '#],tblprogress[Total Time])</f>
        <v/>
      </c>
      <c r="R52" s="63" t="str">
        <f>IF(SpeedROI[[#This Row],[Current Deposit]]&gt;0,SpeedROI[[#This Row],[Total Time]]*SpeedROI[[#This Row],[Ship Speed]]/SpeedROI[[#This Row],[Next Ship Speed]],"")</f>
        <v/>
      </c>
      <c r="S52" s="14" t="str">
        <f>IF(
   _xlfn.XLOOKUP(SpeedROI[[#This Row],[Planet '#]], tblPlanets[Planet '#], tblPlanets[Name])=SpeedROI[[#This Row],[Name]],
   "Match",
   "Mismatch"
)</f>
        <v>Match</v>
      </c>
    </row>
    <row r="53" spans="1:19" x14ac:dyDescent="0.3">
      <c r="A53" s="25">
        <v>52</v>
      </c>
      <c r="B53" s="25" t="str">
        <f>_xlfn.XLOOKUP(tblprogress[[#This Row],[Planet '#]],tblPlanets[Planet '#],tblPlanets[Name])</f>
        <v>Vega</v>
      </c>
      <c r="C53" s="44">
        <f>_xlfn.XLOOKUP(SpeedROI[[#This Row],[Speed Level]]+1,tblUpgradeStats[Level],tblUpgradeStats[Ship Speed])</f>
        <v>1</v>
      </c>
      <c r="D53" s="41">
        <f>IFERROR(SpeedROI[[#This Row],[Current Efficiency]]*(SpeedROI[[#This Row],[Ship Speed]]/SpeedROI[[#This Row],[Next Ship Speed]]),0)</f>
        <v>0</v>
      </c>
      <c r="E53" s="60">
        <f>SpeedROI[[#This Row],[Future Deposit]]-SpeedROI[[#This Row],[Current Deposit]]</f>
        <v>0</v>
      </c>
      <c r="F5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3" s="25">
        <f>_xlfn.XLOOKUP(SpeedROI[[#This Row],[Planet '#]],tblprogress[Planet '#],tblprogress[Ship Level])</f>
        <v>0</v>
      </c>
      <c r="I53" s="44">
        <f>_xlfn.XLOOKUP(SpeedROI[[#This Row],[Planet '#]],tblprogress[Planet '#],tblprogress[Ship Speed])</f>
        <v>0</v>
      </c>
      <c r="J53" s="75">
        <f>_xlfn.XLOOKUP(SpeedROI[[#This Row],[Planet '#]],tblprogress[Planet '#],tblprogress[Mining Rate])</f>
        <v>0</v>
      </c>
      <c r="K53" s="28">
        <f>_xlfn.XLOOKUP(SpeedROI[[#This Row],[Planet '#]],tblprogress[Planet '#],tblprogress[Cargo])</f>
        <v>0</v>
      </c>
      <c r="L53" s="41">
        <f>_xlfn.XLOOKUP(SpeedROI[[#This Row],[Planet '#]],tblprogress[Planet '#],tblprogress[Efficiency],0)</f>
        <v>0</v>
      </c>
      <c r="M53" s="73">
        <f>IF(SpeedROI[[#This Row],[Current Efficiency]]&lt;=1,SpeedROI[[#This Row],[Mining Rate]]*60,SpeedROI[[#This Row],[Cargo]]/SpeedROI[[#This Row],[Total Time]]*60)</f>
        <v>0</v>
      </c>
      <c r="N53" s="73">
        <f>IF(SpeedROI[[#This Row],[Future Efficiency]]&lt;=1,SpeedROI[[#This Row],[Mining Rate]]*60,SpeedROI[[#This Row],[Cargo]]/SpeedROI[[#This Row],[New Time]]*60)</f>
        <v>0</v>
      </c>
      <c r="O53" s="34">
        <f>_xlfn.XLOOKUP(SpeedROI[[#This Row],[Planet '#]],tblplanetvalue[Planet '#],tblplanetvalue[Total Worth])</f>
        <v>1516750</v>
      </c>
      <c r="P53" s="35" t="str">
        <f>_xlfn.XLOOKUP(SpeedROI[[#This Row],[Planet '#]],tblplaneteco[Planet '#],tblplaneteco[Ship Speed Cost])</f>
        <v/>
      </c>
      <c r="Q53" s="63" t="str">
        <f>_xlfn.XLOOKUP(SpeedROI[[#This Row],[Planet '#]],tblprogress[Planet '#],tblprogress[Total Time])</f>
        <v/>
      </c>
      <c r="R53" s="63" t="str">
        <f>IF(SpeedROI[[#This Row],[Current Deposit]]&gt;0,SpeedROI[[#This Row],[Total Time]]*SpeedROI[[#This Row],[Ship Speed]]/SpeedROI[[#This Row],[Next Ship Speed]],"")</f>
        <v/>
      </c>
      <c r="S53" s="14" t="str">
        <f>IF(
   _xlfn.XLOOKUP(SpeedROI[[#This Row],[Planet '#]], tblPlanets[Planet '#], tblPlanets[Name])=SpeedROI[[#This Row],[Name]],
   "Match",
   "Mismatch"
)</f>
        <v>Match</v>
      </c>
    </row>
    <row r="54" spans="1:19" x14ac:dyDescent="0.3">
      <c r="A54" s="24">
        <v>53</v>
      </c>
      <c r="B54" s="24" t="str">
        <f>_xlfn.XLOOKUP(tblprogress[[#This Row],[Planet '#]],tblPlanets[Planet '#],tblPlanets[Name])</f>
        <v>Crius</v>
      </c>
      <c r="C54" s="44">
        <f>_xlfn.XLOOKUP(SpeedROI[[#This Row],[Speed Level]]+1,tblUpgradeStats[Level],tblUpgradeStats[Ship Speed])</f>
        <v>1</v>
      </c>
      <c r="D54" s="41">
        <f>IFERROR(SpeedROI[[#This Row],[Current Efficiency]]*(SpeedROI[[#This Row],[Ship Speed]]/SpeedROI[[#This Row],[Next Ship Speed]]),0)</f>
        <v>0</v>
      </c>
      <c r="E54" s="60">
        <f>SpeedROI[[#This Row],[Future Deposit]]-SpeedROI[[#This Row],[Current Deposit]]</f>
        <v>0</v>
      </c>
      <c r="F5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4" s="25">
        <f>_xlfn.XLOOKUP(SpeedROI[[#This Row],[Planet '#]],tblprogress[Planet '#],tblprogress[Ship Level])</f>
        <v>0</v>
      </c>
      <c r="I54" s="44">
        <f>_xlfn.XLOOKUP(SpeedROI[[#This Row],[Planet '#]],tblprogress[Planet '#],tblprogress[Ship Speed])</f>
        <v>0</v>
      </c>
      <c r="J54" s="75">
        <f>_xlfn.XLOOKUP(SpeedROI[[#This Row],[Planet '#]],tblprogress[Planet '#],tblprogress[Mining Rate])</f>
        <v>0</v>
      </c>
      <c r="K54" s="28">
        <f>_xlfn.XLOOKUP(SpeedROI[[#This Row],[Planet '#]],tblprogress[Planet '#],tblprogress[Cargo])</f>
        <v>0</v>
      </c>
      <c r="L54" s="41">
        <f>_xlfn.XLOOKUP(SpeedROI[[#This Row],[Planet '#]],tblprogress[Planet '#],tblprogress[Efficiency],0)</f>
        <v>0</v>
      </c>
      <c r="M54" s="73">
        <f>IF(SpeedROI[[#This Row],[Current Efficiency]]&lt;=1,SpeedROI[[#This Row],[Mining Rate]]*60,SpeedROI[[#This Row],[Cargo]]/SpeedROI[[#This Row],[Total Time]]*60)</f>
        <v>0</v>
      </c>
      <c r="N54" s="73">
        <f>IF(SpeedROI[[#This Row],[Future Efficiency]]&lt;=1,SpeedROI[[#This Row],[Mining Rate]]*60,SpeedROI[[#This Row],[Cargo]]/SpeedROI[[#This Row],[New Time]]*60)</f>
        <v>0</v>
      </c>
      <c r="O54" s="34">
        <f>_xlfn.XLOOKUP(SpeedROI[[#This Row],[Planet '#]],tblplanetvalue[Planet '#],tblplanetvalue[Total Worth])</f>
        <v>1707500</v>
      </c>
      <c r="P54" s="35" t="str">
        <f>_xlfn.XLOOKUP(SpeedROI[[#This Row],[Planet '#]],tblplaneteco[Planet '#],tblplaneteco[Ship Speed Cost])</f>
        <v/>
      </c>
      <c r="Q54" s="63" t="str">
        <f>_xlfn.XLOOKUP(SpeedROI[[#This Row],[Planet '#]],tblprogress[Planet '#],tblprogress[Total Time])</f>
        <v/>
      </c>
      <c r="R54" s="63" t="str">
        <f>IF(SpeedROI[[#This Row],[Current Deposit]]&gt;0,SpeedROI[[#This Row],[Total Time]]*SpeedROI[[#This Row],[Ship Speed]]/SpeedROI[[#This Row],[Next Ship Speed]],"")</f>
        <v/>
      </c>
      <c r="S54" s="14" t="str">
        <f>IF(
   _xlfn.XLOOKUP(SpeedROI[[#This Row],[Planet '#]], tblPlanets[Planet '#], tblPlanets[Name])=SpeedROI[[#This Row],[Name]],
   "Match",
   "Mismatch"
)</f>
        <v>Match</v>
      </c>
    </row>
    <row r="55" spans="1:19" x14ac:dyDescent="0.3">
      <c r="A55" s="25">
        <v>54</v>
      </c>
      <c r="B55" s="25" t="str">
        <f>_xlfn.XLOOKUP(tblprogress[[#This Row],[Planet '#]],tblPlanets[Planet '#],tblPlanets[Name])</f>
        <v>Singhana</v>
      </c>
      <c r="C55" s="44">
        <f>_xlfn.XLOOKUP(SpeedROI[[#This Row],[Speed Level]]+1,tblUpgradeStats[Level],tblUpgradeStats[Ship Speed])</f>
        <v>1</v>
      </c>
      <c r="D55" s="41">
        <f>IFERROR(SpeedROI[[#This Row],[Current Efficiency]]*(SpeedROI[[#This Row],[Ship Speed]]/SpeedROI[[#This Row],[Next Ship Speed]]),0)</f>
        <v>0</v>
      </c>
      <c r="E55" s="60">
        <f>SpeedROI[[#This Row],[Future Deposit]]-SpeedROI[[#This Row],[Current Deposit]]</f>
        <v>0</v>
      </c>
      <c r="F5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5" s="25">
        <f>_xlfn.XLOOKUP(SpeedROI[[#This Row],[Planet '#]],tblprogress[Planet '#],tblprogress[Ship Level])</f>
        <v>0</v>
      </c>
      <c r="I55" s="44">
        <f>_xlfn.XLOOKUP(SpeedROI[[#This Row],[Planet '#]],tblprogress[Planet '#],tblprogress[Ship Speed])</f>
        <v>0</v>
      </c>
      <c r="J55" s="75">
        <f>_xlfn.XLOOKUP(SpeedROI[[#This Row],[Planet '#]],tblprogress[Planet '#],tblprogress[Mining Rate])</f>
        <v>0</v>
      </c>
      <c r="K55" s="28">
        <f>_xlfn.XLOOKUP(SpeedROI[[#This Row],[Planet '#]],tblprogress[Planet '#],tblprogress[Cargo])</f>
        <v>0</v>
      </c>
      <c r="L55" s="41">
        <f>_xlfn.XLOOKUP(SpeedROI[[#This Row],[Planet '#]],tblprogress[Planet '#],tblprogress[Efficiency],0)</f>
        <v>0</v>
      </c>
      <c r="M55" s="73">
        <f>IF(SpeedROI[[#This Row],[Current Efficiency]]&lt;=1,SpeedROI[[#This Row],[Mining Rate]]*60,SpeedROI[[#This Row],[Cargo]]/SpeedROI[[#This Row],[Total Time]]*60)</f>
        <v>0</v>
      </c>
      <c r="N55" s="73">
        <f>IF(SpeedROI[[#This Row],[Future Efficiency]]&lt;=1,SpeedROI[[#This Row],[Mining Rate]]*60,SpeedROI[[#This Row],[Cargo]]/SpeedROI[[#This Row],[New Time]]*60)</f>
        <v>0</v>
      </c>
      <c r="O55" s="34">
        <f>_xlfn.XLOOKUP(SpeedROI[[#This Row],[Planet '#]],tblplanetvalue[Planet '#],tblplanetvalue[Total Worth])</f>
        <v>3200000</v>
      </c>
      <c r="P55" s="35" t="str">
        <f>_xlfn.XLOOKUP(SpeedROI[[#This Row],[Planet '#]],tblplaneteco[Planet '#],tblplaneteco[Ship Speed Cost])</f>
        <v/>
      </c>
      <c r="Q55" s="63" t="str">
        <f>_xlfn.XLOOKUP(SpeedROI[[#This Row],[Planet '#]],tblprogress[Planet '#],tblprogress[Total Time])</f>
        <v/>
      </c>
      <c r="R55" s="63" t="str">
        <f>IF(SpeedROI[[#This Row],[Current Deposit]]&gt;0,SpeedROI[[#This Row],[Total Time]]*SpeedROI[[#This Row],[Ship Speed]]/SpeedROI[[#This Row],[Next Ship Speed]],"")</f>
        <v/>
      </c>
      <c r="S55" s="14" t="str">
        <f>IF(
   _xlfn.XLOOKUP(SpeedROI[[#This Row],[Planet '#]], tblPlanets[Planet '#], tblPlanets[Name])=SpeedROI[[#This Row],[Name]],
   "Match",
   "Mismatch"
)</f>
        <v>Match</v>
      </c>
    </row>
    <row r="56" spans="1:19" x14ac:dyDescent="0.3">
      <c r="A56" s="24">
        <v>55</v>
      </c>
      <c r="B56" s="24" t="str">
        <f>_xlfn.XLOOKUP(tblprogress[[#This Row],[Planet '#]],tblPlanets[Planet '#],tblPlanets[Name])</f>
        <v>Zumbia</v>
      </c>
      <c r="C56" s="44">
        <f>_xlfn.XLOOKUP(SpeedROI[[#This Row],[Speed Level]]+1,tblUpgradeStats[Level],tblUpgradeStats[Ship Speed])</f>
        <v>1</v>
      </c>
      <c r="D56" s="41">
        <f>IFERROR(SpeedROI[[#This Row],[Current Efficiency]]*(SpeedROI[[#This Row],[Ship Speed]]/SpeedROI[[#This Row],[Next Ship Speed]]),0)</f>
        <v>0</v>
      </c>
      <c r="E56" s="60">
        <f>SpeedROI[[#This Row],[Future Deposit]]-SpeedROI[[#This Row],[Current Deposit]]</f>
        <v>0</v>
      </c>
      <c r="F5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6" s="25">
        <f>_xlfn.XLOOKUP(SpeedROI[[#This Row],[Planet '#]],tblprogress[Planet '#],tblprogress[Ship Level])</f>
        <v>0</v>
      </c>
      <c r="I56" s="44">
        <f>_xlfn.XLOOKUP(SpeedROI[[#This Row],[Planet '#]],tblprogress[Planet '#],tblprogress[Ship Speed])</f>
        <v>0</v>
      </c>
      <c r="J56" s="75">
        <f>_xlfn.XLOOKUP(SpeedROI[[#This Row],[Planet '#]],tblprogress[Planet '#],tblprogress[Mining Rate])</f>
        <v>0</v>
      </c>
      <c r="K56" s="28">
        <f>_xlfn.XLOOKUP(SpeedROI[[#This Row],[Planet '#]],tblprogress[Planet '#],tblprogress[Cargo])</f>
        <v>0</v>
      </c>
      <c r="L56" s="41">
        <f>_xlfn.XLOOKUP(SpeedROI[[#This Row],[Planet '#]],tblprogress[Planet '#],tblprogress[Efficiency],0)</f>
        <v>0</v>
      </c>
      <c r="M56" s="73">
        <f>IF(SpeedROI[[#This Row],[Current Efficiency]]&lt;=1,SpeedROI[[#This Row],[Mining Rate]]*60,SpeedROI[[#This Row],[Cargo]]/SpeedROI[[#This Row],[Total Time]]*60)</f>
        <v>0</v>
      </c>
      <c r="N56" s="73">
        <f>IF(SpeedROI[[#This Row],[Future Efficiency]]&lt;=1,SpeedROI[[#This Row],[Mining Rate]]*60,SpeedROI[[#This Row],[Cargo]]/SpeedROI[[#This Row],[New Time]]*60)</f>
        <v>0</v>
      </c>
      <c r="O56" s="34">
        <f>_xlfn.XLOOKUP(SpeedROI[[#This Row],[Planet '#]],tblplanetvalue[Planet '#],tblplanetvalue[Total Worth])</f>
        <v>3390000</v>
      </c>
      <c r="P56" s="35" t="str">
        <f>_xlfn.XLOOKUP(SpeedROI[[#This Row],[Planet '#]],tblplaneteco[Planet '#],tblplaneteco[Ship Speed Cost])</f>
        <v/>
      </c>
      <c r="Q56" s="63" t="str">
        <f>_xlfn.XLOOKUP(SpeedROI[[#This Row],[Planet '#]],tblprogress[Planet '#],tblprogress[Total Time])</f>
        <v/>
      </c>
      <c r="R56" s="63" t="str">
        <f>IF(SpeedROI[[#This Row],[Current Deposit]]&gt;0,SpeedROI[[#This Row],[Total Time]]*SpeedROI[[#This Row],[Ship Speed]]/SpeedROI[[#This Row],[Next Ship Speed]],"")</f>
        <v/>
      </c>
      <c r="S56" s="14" t="str">
        <f>IF(
   _xlfn.XLOOKUP(SpeedROI[[#This Row],[Planet '#]], tblPlanets[Planet '#], tblPlanets[Name])=SpeedROI[[#This Row],[Name]],
   "Match",
   "Mismatch"
)</f>
        <v>Match</v>
      </c>
    </row>
    <row r="57" spans="1:19" x14ac:dyDescent="0.3">
      <c r="A57" s="25">
        <v>56</v>
      </c>
      <c r="B57" s="25" t="str">
        <f>_xlfn.XLOOKUP(tblprogress[[#This Row],[Planet '#]],tblPlanets[Planet '#],tblPlanets[Name])</f>
        <v>Elysium</v>
      </c>
      <c r="C57" s="44">
        <f>_xlfn.XLOOKUP(SpeedROI[[#This Row],[Speed Level]]+1,tblUpgradeStats[Level],tblUpgradeStats[Ship Speed])</f>
        <v>1</v>
      </c>
      <c r="D57" s="41">
        <f>IFERROR(SpeedROI[[#This Row],[Current Efficiency]]*(SpeedROI[[#This Row],[Ship Speed]]/SpeedROI[[#This Row],[Next Ship Speed]]),0)</f>
        <v>0</v>
      </c>
      <c r="E57" s="60">
        <f>SpeedROI[[#This Row],[Future Deposit]]-SpeedROI[[#This Row],[Current Deposit]]</f>
        <v>0</v>
      </c>
      <c r="F5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7" s="25">
        <f>_xlfn.XLOOKUP(SpeedROI[[#This Row],[Planet '#]],tblprogress[Planet '#],tblprogress[Ship Level])</f>
        <v>0</v>
      </c>
      <c r="I57" s="44">
        <f>_xlfn.XLOOKUP(SpeedROI[[#This Row],[Planet '#]],tblprogress[Planet '#],tblprogress[Ship Speed])</f>
        <v>0</v>
      </c>
      <c r="J57" s="75">
        <f>_xlfn.XLOOKUP(SpeedROI[[#This Row],[Planet '#]],tblprogress[Planet '#],tblprogress[Mining Rate])</f>
        <v>0</v>
      </c>
      <c r="K57" s="28">
        <f>_xlfn.XLOOKUP(SpeedROI[[#This Row],[Planet '#]],tblprogress[Planet '#],tblprogress[Cargo])</f>
        <v>0</v>
      </c>
      <c r="L57" s="41">
        <f>_xlfn.XLOOKUP(SpeedROI[[#This Row],[Planet '#]],tblprogress[Planet '#],tblprogress[Efficiency],0)</f>
        <v>0</v>
      </c>
      <c r="M57" s="73">
        <f>IF(SpeedROI[[#This Row],[Current Efficiency]]&lt;=1,SpeedROI[[#This Row],[Mining Rate]]*60,SpeedROI[[#This Row],[Cargo]]/SpeedROI[[#This Row],[Total Time]]*60)</f>
        <v>0</v>
      </c>
      <c r="N57" s="73">
        <f>IF(SpeedROI[[#This Row],[Future Efficiency]]&lt;=1,SpeedROI[[#This Row],[Mining Rate]]*60,SpeedROI[[#This Row],[Cargo]]/SpeedROI[[#This Row],[New Time]]*60)</f>
        <v>0</v>
      </c>
      <c r="O57" s="34">
        <f>_xlfn.XLOOKUP(SpeedROI[[#This Row],[Planet '#]],tblplanetvalue[Planet '#],tblplanetvalue[Total Worth])</f>
        <v>5604000</v>
      </c>
      <c r="P57" s="35" t="str">
        <f>_xlfn.XLOOKUP(SpeedROI[[#This Row],[Planet '#]],tblplaneteco[Planet '#],tblplaneteco[Ship Speed Cost])</f>
        <v/>
      </c>
      <c r="Q57" s="63" t="str">
        <f>_xlfn.XLOOKUP(SpeedROI[[#This Row],[Planet '#]],tblprogress[Planet '#],tblprogress[Total Time])</f>
        <v/>
      </c>
      <c r="R57" s="63" t="str">
        <f>IF(SpeedROI[[#This Row],[Current Deposit]]&gt;0,SpeedROI[[#This Row],[Total Time]]*SpeedROI[[#This Row],[Ship Speed]]/SpeedROI[[#This Row],[Next Ship Speed]],"")</f>
        <v/>
      </c>
      <c r="S57" s="14" t="str">
        <f>IF(
   _xlfn.XLOOKUP(SpeedROI[[#This Row],[Planet '#]], tblPlanets[Planet '#], tblPlanets[Name])=SpeedROI[[#This Row],[Name]],
   "Match",
   "Mismatch"
)</f>
        <v>Match</v>
      </c>
    </row>
    <row r="58" spans="1:19" x14ac:dyDescent="0.3">
      <c r="A58" s="24">
        <v>57</v>
      </c>
      <c r="B58" s="24" t="str">
        <f>_xlfn.XLOOKUP(tblprogress[[#This Row],[Planet '#]],tblPlanets[Planet '#],tblPlanets[Name])</f>
        <v>Nyota</v>
      </c>
      <c r="C58" s="44">
        <f>_xlfn.XLOOKUP(SpeedROI[[#This Row],[Speed Level]]+1,tblUpgradeStats[Level],tblUpgradeStats[Ship Speed])</f>
        <v>1</v>
      </c>
      <c r="D58" s="41">
        <f>IFERROR(SpeedROI[[#This Row],[Current Efficiency]]*(SpeedROI[[#This Row],[Ship Speed]]/SpeedROI[[#This Row],[Next Ship Speed]]),0)</f>
        <v>0</v>
      </c>
      <c r="E58" s="60">
        <f>SpeedROI[[#This Row],[Future Deposit]]-SpeedROI[[#This Row],[Current Deposit]]</f>
        <v>0</v>
      </c>
      <c r="F58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8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8" s="25">
        <f>_xlfn.XLOOKUP(SpeedROI[[#This Row],[Planet '#]],tblprogress[Planet '#],tblprogress[Ship Level])</f>
        <v>0</v>
      </c>
      <c r="I58" s="44">
        <f>_xlfn.XLOOKUP(SpeedROI[[#This Row],[Planet '#]],tblprogress[Planet '#],tblprogress[Ship Speed])</f>
        <v>0</v>
      </c>
      <c r="J58" s="75">
        <f>_xlfn.XLOOKUP(SpeedROI[[#This Row],[Planet '#]],tblprogress[Planet '#],tblprogress[Mining Rate])</f>
        <v>0</v>
      </c>
      <c r="K58" s="28">
        <f>_xlfn.XLOOKUP(SpeedROI[[#This Row],[Planet '#]],tblprogress[Planet '#],tblprogress[Cargo])</f>
        <v>0</v>
      </c>
      <c r="L58" s="41">
        <f>_xlfn.XLOOKUP(SpeedROI[[#This Row],[Planet '#]],tblprogress[Planet '#],tblprogress[Efficiency],0)</f>
        <v>0</v>
      </c>
      <c r="M58" s="73">
        <f>IF(SpeedROI[[#This Row],[Current Efficiency]]&lt;=1,SpeedROI[[#This Row],[Mining Rate]]*60,SpeedROI[[#This Row],[Cargo]]/SpeedROI[[#This Row],[Total Time]]*60)</f>
        <v>0</v>
      </c>
      <c r="N58" s="73">
        <f>IF(SpeedROI[[#This Row],[Future Efficiency]]&lt;=1,SpeedROI[[#This Row],[Mining Rate]]*60,SpeedROI[[#This Row],[Cargo]]/SpeedROI[[#This Row],[New Time]]*60)</f>
        <v>0</v>
      </c>
      <c r="O58" s="34">
        <f>_xlfn.XLOOKUP(SpeedROI[[#This Row],[Planet '#]],tblplanetvalue[Planet '#],tblplanetvalue[Total Worth])</f>
        <v>9000000</v>
      </c>
      <c r="P58" s="35" t="str">
        <f>_xlfn.XLOOKUP(SpeedROI[[#This Row],[Planet '#]],tblplaneteco[Planet '#],tblplaneteco[Ship Speed Cost])</f>
        <v/>
      </c>
      <c r="Q58" s="63" t="str">
        <f>_xlfn.XLOOKUP(SpeedROI[[#This Row],[Planet '#]],tblprogress[Planet '#],tblprogress[Total Time])</f>
        <v/>
      </c>
      <c r="R58" s="63" t="str">
        <f>IF(SpeedROI[[#This Row],[Current Deposit]]&gt;0,SpeedROI[[#This Row],[Total Time]]*SpeedROI[[#This Row],[Ship Speed]]/SpeedROI[[#This Row],[Next Ship Speed]],"")</f>
        <v/>
      </c>
      <c r="S58" s="14" t="str">
        <f>IF(
   _xlfn.XLOOKUP(SpeedROI[[#This Row],[Planet '#]], tblPlanets[Planet '#], tblPlanets[Name])=SpeedROI[[#This Row],[Name]],
   "Match",
   "Mismatch"
)</f>
        <v>Match</v>
      </c>
    </row>
    <row r="59" spans="1:19" x14ac:dyDescent="0.3">
      <c r="A59" s="25">
        <v>58</v>
      </c>
      <c r="B59" s="25" t="str">
        <f>_xlfn.XLOOKUP(tblprogress[[#This Row],[Planet '#]],tblPlanets[Planet '#],tblPlanets[Name])</f>
        <v>Doral</v>
      </c>
      <c r="C59" s="44">
        <f>_xlfn.XLOOKUP(SpeedROI[[#This Row],[Speed Level]]+1,tblUpgradeStats[Level],tblUpgradeStats[Ship Speed])</f>
        <v>1</v>
      </c>
      <c r="D59" s="41">
        <f>IFERROR(SpeedROI[[#This Row],[Current Efficiency]]*(SpeedROI[[#This Row],[Ship Speed]]/SpeedROI[[#This Row],[Next Ship Speed]]),0)</f>
        <v>0</v>
      </c>
      <c r="E59" s="60">
        <f>SpeedROI[[#This Row],[Future Deposit]]-SpeedROI[[#This Row],[Current Deposit]]</f>
        <v>0</v>
      </c>
      <c r="F59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59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59" s="25">
        <f>_xlfn.XLOOKUP(SpeedROI[[#This Row],[Planet '#]],tblprogress[Planet '#],tblprogress[Ship Level])</f>
        <v>0</v>
      </c>
      <c r="I59" s="44">
        <f>_xlfn.XLOOKUP(SpeedROI[[#This Row],[Planet '#]],tblprogress[Planet '#],tblprogress[Ship Speed])</f>
        <v>0</v>
      </c>
      <c r="J59" s="75">
        <f>_xlfn.XLOOKUP(SpeedROI[[#This Row],[Planet '#]],tblprogress[Planet '#],tblprogress[Mining Rate])</f>
        <v>0</v>
      </c>
      <c r="K59" s="28">
        <f>_xlfn.XLOOKUP(SpeedROI[[#This Row],[Planet '#]],tblprogress[Planet '#],tblprogress[Cargo])</f>
        <v>0</v>
      </c>
      <c r="L59" s="41">
        <f>_xlfn.XLOOKUP(SpeedROI[[#This Row],[Planet '#]],tblprogress[Planet '#],tblprogress[Efficiency],0)</f>
        <v>0</v>
      </c>
      <c r="M59" s="73">
        <f>IF(SpeedROI[[#This Row],[Current Efficiency]]&lt;=1,SpeedROI[[#This Row],[Mining Rate]]*60,SpeedROI[[#This Row],[Cargo]]/SpeedROI[[#This Row],[Total Time]]*60)</f>
        <v>0</v>
      </c>
      <c r="N59" s="73">
        <f>IF(SpeedROI[[#This Row],[Future Efficiency]]&lt;=1,SpeedROI[[#This Row],[Mining Rate]]*60,SpeedROI[[#This Row],[Cargo]]/SpeedROI[[#This Row],[New Time]]*60)</f>
        <v>0</v>
      </c>
      <c r="O59" s="34">
        <f>_xlfn.XLOOKUP(SpeedROI[[#This Row],[Planet '#]],tblplanetvalue[Planet '#],tblplanetvalue[Total Worth])</f>
        <v>10480000</v>
      </c>
      <c r="P59" s="35" t="str">
        <f>_xlfn.XLOOKUP(SpeedROI[[#This Row],[Planet '#]],tblplaneteco[Planet '#],tblplaneteco[Ship Speed Cost])</f>
        <v/>
      </c>
      <c r="Q59" s="63" t="str">
        <f>_xlfn.XLOOKUP(SpeedROI[[#This Row],[Planet '#]],tblprogress[Planet '#],tblprogress[Total Time])</f>
        <v/>
      </c>
      <c r="R59" s="63" t="str">
        <f>IF(SpeedROI[[#This Row],[Current Deposit]]&gt;0,SpeedROI[[#This Row],[Total Time]]*SpeedROI[[#This Row],[Ship Speed]]/SpeedROI[[#This Row],[Next Ship Speed]],"")</f>
        <v/>
      </c>
      <c r="S59" s="14" t="str">
        <f>IF(
   _xlfn.XLOOKUP(SpeedROI[[#This Row],[Planet '#]], tblPlanets[Planet '#], tblPlanets[Name])=SpeedROI[[#This Row],[Name]],
   "Match",
   "Mismatch"
)</f>
        <v>Match</v>
      </c>
    </row>
    <row r="60" spans="1:19" x14ac:dyDescent="0.3">
      <c r="A60" s="24">
        <v>59</v>
      </c>
      <c r="B60" s="24" t="str">
        <f>_xlfn.XLOOKUP(tblprogress[[#This Row],[Planet '#]],tblPlanets[Planet '#],tblPlanets[Name])</f>
        <v>Nikara</v>
      </c>
      <c r="C60" s="44">
        <f>_xlfn.XLOOKUP(SpeedROI[[#This Row],[Speed Level]]+1,tblUpgradeStats[Level],tblUpgradeStats[Ship Speed])</f>
        <v>1</v>
      </c>
      <c r="D60" s="41">
        <f>IFERROR(SpeedROI[[#This Row],[Current Efficiency]]*(SpeedROI[[#This Row],[Ship Speed]]/SpeedROI[[#This Row],[Next Ship Speed]]),0)</f>
        <v>0</v>
      </c>
      <c r="E60" s="60">
        <f>SpeedROI[[#This Row],[Future Deposit]]-SpeedROI[[#This Row],[Current Deposit]]</f>
        <v>0</v>
      </c>
      <c r="F60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0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0" s="25">
        <f>_xlfn.XLOOKUP(SpeedROI[[#This Row],[Planet '#]],tblprogress[Planet '#],tblprogress[Ship Level])</f>
        <v>0</v>
      </c>
      <c r="I60" s="44">
        <f>_xlfn.XLOOKUP(SpeedROI[[#This Row],[Planet '#]],tblprogress[Planet '#],tblprogress[Ship Speed])</f>
        <v>0</v>
      </c>
      <c r="J60" s="75">
        <f>_xlfn.XLOOKUP(SpeedROI[[#This Row],[Planet '#]],tblprogress[Planet '#],tblprogress[Mining Rate])</f>
        <v>0</v>
      </c>
      <c r="K60" s="28">
        <f>_xlfn.XLOOKUP(SpeedROI[[#This Row],[Planet '#]],tblprogress[Planet '#],tblprogress[Cargo])</f>
        <v>0</v>
      </c>
      <c r="L60" s="41">
        <f>_xlfn.XLOOKUP(SpeedROI[[#This Row],[Planet '#]],tblprogress[Planet '#],tblprogress[Efficiency],0)</f>
        <v>0</v>
      </c>
      <c r="M60" s="73">
        <f>IF(SpeedROI[[#This Row],[Current Efficiency]]&lt;=1,SpeedROI[[#This Row],[Mining Rate]]*60,SpeedROI[[#This Row],[Cargo]]/SpeedROI[[#This Row],[Total Time]]*60)</f>
        <v>0</v>
      </c>
      <c r="N60" s="73">
        <f>IF(SpeedROI[[#This Row],[Future Efficiency]]&lt;=1,SpeedROI[[#This Row],[Mining Rate]]*60,SpeedROI[[#This Row],[Cargo]]/SpeedROI[[#This Row],[New Time]]*60)</f>
        <v>0</v>
      </c>
      <c r="O60" s="34">
        <f>_xlfn.XLOOKUP(SpeedROI[[#This Row],[Planet '#]],tblplanetvalue[Planet '#],tblplanetvalue[Total Worth])</f>
        <v>19975000</v>
      </c>
      <c r="P60" s="35" t="str">
        <f>_xlfn.XLOOKUP(SpeedROI[[#This Row],[Planet '#]],tblplaneteco[Planet '#],tblplaneteco[Ship Speed Cost])</f>
        <v/>
      </c>
      <c r="Q60" s="63" t="str">
        <f>_xlfn.XLOOKUP(SpeedROI[[#This Row],[Planet '#]],tblprogress[Planet '#],tblprogress[Total Time])</f>
        <v/>
      </c>
      <c r="R60" s="63" t="str">
        <f>IF(SpeedROI[[#This Row],[Current Deposit]]&gt;0,SpeedROI[[#This Row],[Total Time]]*SpeedROI[[#This Row],[Ship Speed]]/SpeedROI[[#This Row],[Next Ship Speed]],"")</f>
        <v/>
      </c>
      <c r="S60" s="14" t="str">
        <f>IF(
   _xlfn.XLOOKUP(SpeedROI[[#This Row],[Planet '#]], tblPlanets[Planet '#], tblPlanets[Name])=SpeedROI[[#This Row],[Name]],
   "Match",
   "Mismatch"
)</f>
        <v>Match</v>
      </c>
    </row>
    <row r="61" spans="1:19" x14ac:dyDescent="0.3">
      <c r="A61" s="25">
        <v>60</v>
      </c>
      <c r="B61" s="25" t="str">
        <f>_xlfn.XLOOKUP(tblprogress[[#This Row],[Planet '#]],tblPlanets[Planet '#],tblPlanets[Name])</f>
        <v>Limbo</v>
      </c>
      <c r="C61" s="44">
        <f>_xlfn.XLOOKUP(SpeedROI[[#This Row],[Speed Level]]+1,tblUpgradeStats[Level],tblUpgradeStats[Ship Speed])</f>
        <v>1</v>
      </c>
      <c r="D61" s="41">
        <f>IFERROR(SpeedROI[[#This Row],[Current Efficiency]]*(SpeedROI[[#This Row],[Ship Speed]]/SpeedROI[[#This Row],[Next Ship Speed]]),0)</f>
        <v>0</v>
      </c>
      <c r="E61" s="60">
        <f>SpeedROI[[#This Row],[Future Deposit]]-SpeedROI[[#This Row],[Current Deposit]]</f>
        <v>0</v>
      </c>
      <c r="F61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1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1" s="25">
        <f>_xlfn.XLOOKUP(SpeedROI[[#This Row],[Planet '#]],tblprogress[Planet '#],tblprogress[Ship Level])</f>
        <v>0</v>
      </c>
      <c r="I61" s="44">
        <f>_xlfn.XLOOKUP(SpeedROI[[#This Row],[Planet '#]],tblprogress[Planet '#],tblprogress[Ship Speed])</f>
        <v>0</v>
      </c>
      <c r="J61" s="75">
        <f>_xlfn.XLOOKUP(SpeedROI[[#This Row],[Planet '#]],tblprogress[Planet '#],tblprogress[Mining Rate])</f>
        <v>0</v>
      </c>
      <c r="K61" s="28">
        <f>_xlfn.XLOOKUP(SpeedROI[[#This Row],[Planet '#]],tblprogress[Planet '#],tblprogress[Cargo])</f>
        <v>0</v>
      </c>
      <c r="L61" s="41">
        <f>_xlfn.XLOOKUP(SpeedROI[[#This Row],[Planet '#]],tblprogress[Planet '#],tblprogress[Efficiency],0)</f>
        <v>0</v>
      </c>
      <c r="M61" s="73">
        <f>IF(SpeedROI[[#This Row],[Current Efficiency]]&lt;=1,SpeedROI[[#This Row],[Mining Rate]]*60,SpeedROI[[#This Row],[Cargo]]/SpeedROI[[#This Row],[Total Time]]*60)</f>
        <v>0</v>
      </c>
      <c r="N61" s="73">
        <f>IF(SpeedROI[[#This Row],[Future Efficiency]]&lt;=1,SpeedROI[[#This Row],[Mining Rate]]*60,SpeedROI[[#This Row],[Cargo]]/SpeedROI[[#This Row],[New Time]]*60)</f>
        <v>0</v>
      </c>
      <c r="O61" s="34">
        <f>_xlfn.XLOOKUP(SpeedROI[[#This Row],[Planet '#]],tblplanetvalue[Planet '#],tblplanetvalue[Total Worth])</f>
        <v>28000000</v>
      </c>
      <c r="P61" s="35" t="str">
        <f>_xlfn.XLOOKUP(SpeedROI[[#This Row],[Planet '#]],tblplaneteco[Planet '#],tblplaneteco[Ship Speed Cost])</f>
        <v/>
      </c>
      <c r="Q61" s="63" t="str">
        <f>_xlfn.XLOOKUP(SpeedROI[[#This Row],[Planet '#]],tblprogress[Planet '#],tblprogress[Total Time])</f>
        <v/>
      </c>
      <c r="R61" s="63" t="str">
        <f>IF(SpeedROI[[#This Row],[Current Deposit]]&gt;0,SpeedROI[[#This Row],[Total Time]]*SpeedROI[[#This Row],[Ship Speed]]/SpeedROI[[#This Row],[Next Ship Speed]],"")</f>
        <v/>
      </c>
      <c r="S61" s="14" t="str">
        <f>IF(
   _xlfn.XLOOKUP(SpeedROI[[#This Row],[Planet '#]], tblPlanets[Planet '#], tblPlanets[Name])=SpeedROI[[#This Row],[Name]],
   "Match",
   "Mismatch"
)</f>
        <v>Match</v>
      </c>
    </row>
    <row r="62" spans="1:19" x14ac:dyDescent="0.3">
      <c r="A62" s="24">
        <v>61</v>
      </c>
      <c r="B62" s="24" t="str">
        <f>_xlfn.XLOOKUP(tblprogress[[#This Row],[Planet '#]],tblPlanets[Planet '#],tblPlanets[Name])</f>
        <v>Bob</v>
      </c>
      <c r="C62" s="44">
        <f>_xlfn.XLOOKUP(SpeedROI[[#This Row],[Speed Level]]+1,tblUpgradeStats[Level],tblUpgradeStats[Ship Speed])</f>
        <v>1</v>
      </c>
      <c r="D62" s="41">
        <f>IFERROR(SpeedROI[[#This Row],[Current Efficiency]]*(SpeedROI[[#This Row],[Ship Speed]]/SpeedROI[[#This Row],[Next Ship Speed]]),0)</f>
        <v>0</v>
      </c>
      <c r="E62" s="60">
        <f>SpeedROI[[#This Row],[Future Deposit]]-SpeedROI[[#This Row],[Current Deposit]]</f>
        <v>0</v>
      </c>
      <c r="F6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2" s="25">
        <f>_xlfn.XLOOKUP(SpeedROI[[#This Row],[Planet '#]],tblprogress[Planet '#],tblprogress[Ship Level])</f>
        <v>0</v>
      </c>
      <c r="I62" s="44">
        <f>_xlfn.XLOOKUP(SpeedROI[[#This Row],[Planet '#]],tblprogress[Planet '#],tblprogress[Ship Speed])</f>
        <v>0</v>
      </c>
      <c r="J62" s="75">
        <f>_xlfn.XLOOKUP(SpeedROI[[#This Row],[Planet '#]],tblprogress[Planet '#],tblprogress[Mining Rate])</f>
        <v>0</v>
      </c>
      <c r="K62" s="28">
        <f>_xlfn.XLOOKUP(SpeedROI[[#This Row],[Planet '#]],tblprogress[Planet '#],tblprogress[Cargo])</f>
        <v>0</v>
      </c>
      <c r="L62" s="41">
        <f>_xlfn.XLOOKUP(SpeedROI[[#This Row],[Planet '#]],tblprogress[Planet '#],tblprogress[Efficiency],0)</f>
        <v>0</v>
      </c>
      <c r="M62" s="73">
        <f>IF(SpeedROI[[#This Row],[Current Efficiency]]&lt;=1,SpeedROI[[#This Row],[Mining Rate]]*60,SpeedROI[[#This Row],[Cargo]]/SpeedROI[[#This Row],[Total Time]]*60)</f>
        <v>0</v>
      </c>
      <c r="N62" s="73">
        <f>IF(SpeedROI[[#This Row],[Future Efficiency]]&lt;=1,SpeedROI[[#This Row],[Mining Rate]]*60,SpeedROI[[#This Row],[Cargo]]/SpeedROI[[#This Row],[New Time]]*60)</f>
        <v>0</v>
      </c>
      <c r="O62" s="34">
        <f>_xlfn.XLOOKUP(SpeedROI[[#This Row],[Planet '#]],tblplanetvalue[Planet '#],tblplanetvalue[Total Worth])</f>
        <v>46600000</v>
      </c>
      <c r="P62" s="35" t="str">
        <f>_xlfn.XLOOKUP(SpeedROI[[#This Row],[Planet '#]],tblplaneteco[Planet '#],tblplaneteco[Ship Speed Cost])</f>
        <v/>
      </c>
      <c r="Q62" s="63" t="str">
        <f>_xlfn.XLOOKUP(SpeedROI[[#This Row],[Planet '#]],tblprogress[Planet '#],tblprogress[Total Time])</f>
        <v/>
      </c>
      <c r="R62" s="63" t="str">
        <f>IF(SpeedROI[[#This Row],[Current Deposit]]&gt;0,SpeedROI[[#This Row],[Total Time]]*SpeedROI[[#This Row],[Ship Speed]]/SpeedROI[[#This Row],[Next Ship Speed]],"")</f>
        <v/>
      </c>
      <c r="S62" s="14" t="str">
        <f>IF(
   _xlfn.XLOOKUP(SpeedROI[[#This Row],[Planet '#]], tblPlanets[Planet '#], tblPlanets[Name])=SpeedROI[[#This Row],[Name]],
   "Match",
   "Mismatch"
)</f>
        <v>Match</v>
      </c>
    </row>
    <row r="63" spans="1:19" x14ac:dyDescent="0.3">
      <c r="A63" s="25">
        <v>62</v>
      </c>
      <c r="B63" s="25" t="str">
        <f>_xlfn.XLOOKUP(tblprogress[[#This Row],[Planet '#]],tblPlanets[Planet '#],tblPlanets[Name])</f>
        <v>Midas</v>
      </c>
      <c r="C63" s="44">
        <f>_xlfn.XLOOKUP(SpeedROI[[#This Row],[Speed Level]]+1,tblUpgradeStats[Level],tblUpgradeStats[Ship Speed])</f>
        <v>1</v>
      </c>
      <c r="D63" s="41">
        <f>IFERROR(SpeedROI[[#This Row],[Current Efficiency]]*(SpeedROI[[#This Row],[Ship Speed]]/SpeedROI[[#This Row],[Next Ship Speed]]),0)</f>
        <v>0</v>
      </c>
      <c r="E63" s="60">
        <f>SpeedROI[[#This Row],[Future Deposit]]-SpeedROI[[#This Row],[Current Deposit]]</f>
        <v>0</v>
      </c>
      <c r="F6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3" s="25">
        <f>_xlfn.XLOOKUP(SpeedROI[[#This Row],[Planet '#]],tblprogress[Planet '#],tblprogress[Ship Level])</f>
        <v>0</v>
      </c>
      <c r="I63" s="44">
        <f>_xlfn.XLOOKUP(SpeedROI[[#This Row],[Planet '#]],tblprogress[Planet '#],tblprogress[Ship Speed])</f>
        <v>0</v>
      </c>
      <c r="J63" s="75">
        <f>_xlfn.XLOOKUP(SpeedROI[[#This Row],[Planet '#]],tblprogress[Planet '#],tblprogress[Mining Rate])</f>
        <v>0</v>
      </c>
      <c r="K63" s="28">
        <f>_xlfn.XLOOKUP(SpeedROI[[#This Row],[Planet '#]],tblprogress[Planet '#],tblprogress[Cargo])</f>
        <v>0</v>
      </c>
      <c r="L63" s="41">
        <f>_xlfn.XLOOKUP(SpeedROI[[#This Row],[Planet '#]],tblprogress[Planet '#],tblprogress[Efficiency],0)</f>
        <v>0</v>
      </c>
      <c r="M63" s="73">
        <f>IF(SpeedROI[[#This Row],[Current Efficiency]]&lt;=1,SpeedROI[[#This Row],[Mining Rate]]*60,SpeedROI[[#This Row],[Cargo]]/SpeedROI[[#This Row],[Total Time]]*60)</f>
        <v>0</v>
      </c>
      <c r="N63" s="73">
        <f>IF(SpeedROI[[#This Row],[Future Efficiency]]&lt;=1,SpeedROI[[#This Row],[Mining Rate]]*60,SpeedROI[[#This Row],[Cargo]]/SpeedROI[[#This Row],[New Time]]*60)</f>
        <v>0</v>
      </c>
      <c r="O63" s="34">
        <f>_xlfn.XLOOKUP(SpeedROI[[#This Row],[Planet '#]],tblplanetvalue[Planet '#],tblplanetvalue[Total Worth])</f>
        <v>50940000.000000007</v>
      </c>
      <c r="P63" s="35" t="str">
        <f>_xlfn.XLOOKUP(SpeedROI[[#This Row],[Planet '#]],tblplaneteco[Planet '#],tblplaneteco[Ship Speed Cost])</f>
        <v/>
      </c>
      <c r="Q63" s="63" t="str">
        <f>_xlfn.XLOOKUP(SpeedROI[[#This Row],[Planet '#]],tblprogress[Planet '#],tblprogress[Total Time])</f>
        <v/>
      </c>
      <c r="R63" s="63" t="str">
        <f>IF(SpeedROI[[#This Row],[Current Deposit]]&gt;0,SpeedROI[[#This Row],[Total Time]]*SpeedROI[[#This Row],[Ship Speed]]/SpeedROI[[#This Row],[Next Ship Speed]],"")</f>
        <v/>
      </c>
      <c r="S63" s="14" t="str">
        <f>IF(
   _xlfn.XLOOKUP(SpeedROI[[#This Row],[Planet '#]], tblPlanets[Planet '#], tblPlanets[Name])=SpeedROI[[#This Row],[Name]],
   "Match",
   "Mismatch"
)</f>
        <v>Match</v>
      </c>
    </row>
    <row r="64" spans="1:19" x14ac:dyDescent="0.3">
      <c r="A64" s="24">
        <v>63</v>
      </c>
      <c r="B64" s="24" t="str">
        <f>_xlfn.XLOOKUP(tblprogress[[#This Row],[Planet '#]],tblPlanets[Planet '#],tblPlanets[Name])</f>
        <v>Antigone</v>
      </c>
      <c r="C64" s="44">
        <f>_xlfn.XLOOKUP(SpeedROI[[#This Row],[Speed Level]]+1,tblUpgradeStats[Level],tblUpgradeStats[Ship Speed])</f>
        <v>1</v>
      </c>
      <c r="D64" s="41">
        <f>IFERROR(SpeedROI[[#This Row],[Current Efficiency]]*(SpeedROI[[#This Row],[Ship Speed]]/SpeedROI[[#This Row],[Next Ship Speed]]),0)</f>
        <v>0</v>
      </c>
      <c r="E64" s="60">
        <f>SpeedROI[[#This Row],[Future Deposit]]-SpeedROI[[#This Row],[Current Deposit]]</f>
        <v>0</v>
      </c>
      <c r="F6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4" s="25">
        <f>_xlfn.XLOOKUP(SpeedROI[[#This Row],[Planet '#]],tblprogress[Planet '#],tblprogress[Ship Level])</f>
        <v>0</v>
      </c>
      <c r="I64" s="44">
        <f>_xlfn.XLOOKUP(SpeedROI[[#This Row],[Planet '#]],tblprogress[Planet '#],tblprogress[Ship Speed])</f>
        <v>0</v>
      </c>
      <c r="J64" s="75">
        <f>_xlfn.XLOOKUP(SpeedROI[[#This Row],[Planet '#]],tblprogress[Planet '#],tblprogress[Mining Rate])</f>
        <v>0</v>
      </c>
      <c r="K64" s="28">
        <f>_xlfn.XLOOKUP(SpeedROI[[#This Row],[Planet '#]],tblprogress[Planet '#],tblprogress[Cargo])</f>
        <v>0</v>
      </c>
      <c r="L64" s="41">
        <f>_xlfn.XLOOKUP(SpeedROI[[#This Row],[Planet '#]],tblprogress[Planet '#],tblprogress[Efficiency],0)</f>
        <v>0</v>
      </c>
      <c r="M64" s="73">
        <f>IF(SpeedROI[[#This Row],[Current Efficiency]]&lt;=1,SpeedROI[[#This Row],[Mining Rate]]*60,SpeedROI[[#This Row],[Cargo]]/SpeedROI[[#This Row],[Total Time]]*60)</f>
        <v>0</v>
      </c>
      <c r="N64" s="73">
        <f>IF(SpeedROI[[#This Row],[Future Efficiency]]&lt;=1,SpeedROI[[#This Row],[Mining Rate]]*60,SpeedROI[[#This Row],[Cargo]]/SpeedROI[[#This Row],[New Time]]*60)</f>
        <v>0</v>
      </c>
      <c r="O64" s="34">
        <f>_xlfn.XLOOKUP(SpeedROI[[#This Row],[Planet '#]],tblplanetvalue[Planet '#],tblplanetvalue[Total Worth])</f>
        <v>90000000</v>
      </c>
      <c r="P64" s="35" t="str">
        <f>_xlfn.XLOOKUP(SpeedROI[[#This Row],[Planet '#]],tblplaneteco[Planet '#],tblplaneteco[Ship Speed Cost])</f>
        <v/>
      </c>
      <c r="Q64" s="63" t="str">
        <f>_xlfn.XLOOKUP(SpeedROI[[#This Row],[Planet '#]],tblprogress[Planet '#],tblprogress[Total Time])</f>
        <v/>
      </c>
      <c r="R64" s="63" t="str">
        <f>IF(SpeedROI[[#This Row],[Current Deposit]]&gt;0,SpeedROI[[#This Row],[Total Time]]*SpeedROI[[#This Row],[Ship Speed]]/SpeedROI[[#This Row],[Next Ship Speed]],"")</f>
        <v/>
      </c>
      <c r="S64" s="14" t="str">
        <f>IF(
   _xlfn.XLOOKUP(SpeedROI[[#This Row],[Planet '#]], tblPlanets[Planet '#], tblPlanets[Name])=SpeedROI[[#This Row],[Name]],
   "Match",
   "Mismatch"
)</f>
        <v>Match</v>
      </c>
    </row>
    <row r="65" spans="1:19" x14ac:dyDescent="0.3">
      <c r="A65" s="25">
        <v>64</v>
      </c>
      <c r="B65" s="25" t="str">
        <f>_xlfn.XLOOKUP(tblprogress[[#This Row],[Planet '#]],tblPlanets[Planet '#],tblPlanets[Name])</f>
        <v>Hecate</v>
      </c>
      <c r="C65" s="44">
        <f>_xlfn.XLOOKUP(SpeedROI[[#This Row],[Speed Level]]+1,tblUpgradeStats[Level],tblUpgradeStats[Ship Speed])</f>
        <v>1</v>
      </c>
      <c r="D65" s="41">
        <f>IFERROR(SpeedROI[[#This Row],[Current Efficiency]]*(SpeedROI[[#This Row],[Ship Speed]]/SpeedROI[[#This Row],[Next Ship Speed]]),0)</f>
        <v>0</v>
      </c>
      <c r="E65" s="60">
        <f>SpeedROI[[#This Row],[Future Deposit]]-SpeedROI[[#This Row],[Current Deposit]]</f>
        <v>0</v>
      </c>
      <c r="F6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5" s="25">
        <f>_xlfn.XLOOKUP(SpeedROI[[#This Row],[Planet '#]],tblprogress[Planet '#],tblprogress[Ship Level])</f>
        <v>0</v>
      </c>
      <c r="I65" s="44">
        <f>_xlfn.XLOOKUP(SpeedROI[[#This Row],[Planet '#]],tblprogress[Planet '#],tblprogress[Ship Speed])</f>
        <v>0</v>
      </c>
      <c r="J65" s="75">
        <f>_xlfn.XLOOKUP(SpeedROI[[#This Row],[Planet '#]],tblprogress[Planet '#],tblprogress[Mining Rate])</f>
        <v>0</v>
      </c>
      <c r="K65" s="28">
        <f>_xlfn.XLOOKUP(SpeedROI[[#This Row],[Planet '#]],tblprogress[Planet '#],tblprogress[Cargo])</f>
        <v>0</v>
      </c>
      <c r="L65" s="41">
        <f>_xlfn.XLOOKUP(SpeedROI[[#This Row],[Planet '#]],tblprogress[Planet '#],tblprogress[Efficiency],0)</f>
        <v>0</v>
      </c>
      <c r="M65" s="73">
        <f>IF(SpeedROI[[#This Row],[Current Efficiency]]&lt;=1,SpeedROI[[#This Row],[Mining Rate]]*60,SpeedROI[[#This Row],[Cargo]]/SpeedROI[[#This Row],[Total Time]]*60)</f>
        <v>0</v>
      </c>
      <c r="N65" s="73">
        <f>IF(SpeedROI[[#This Row],[Future Efficiency]]&lt;=1,SpeedROI[[#This Row],[Mining Rate]]*60,SpeedROI[[#This Row],[Cargo]]/SpeedROI[[#This Row],[New Time]]*60)</f>
        <v>0</v>
      </c>
      <c r="O65" s="34">
        <f>_xlfn.XLOOKUP(SpeedROI[[#This Row],[Planet '#]],tblplanetvalue[Planet '#],tblplanetvalue[Total Worth])</f>
        <v>127000000</v>
      </c>
      <c r="P65" s="35" t="str">
        <f>_xlfn.XLOOKUP(SpeedROI[[#This Row],[Planet '#]],tblplaneteco[Planet '#],tblplaneteco[Ship Speed Cost])</f>
        <v/>
      </c>
      <c r="Q65" s="63" t="str">
        <f>_xlfn.XLOOKUP(SpeedROI[[#This Row],[Planet '#]],tblprogress[Planet '#],tblprogress[Total Time])</f>
        <v/>
      </c>
      <c r="R65" s="63" t="str">
        <f>IF(SpeedROI[[#This Row],[Current Deposit]]&gt;0,SpeedROI[[#This Row],[Total Time]]*SpeedROI[[#This Row],[Ship Speed]]/SpeedROI[[#This Row],[Next Ship Speed]],"")</f>
        <v/>
      </c>
      <c r="S65" s="14" t="str">
        <f>IF(
   _xlfn.XLOOKUP(SpeedROI[[#This Row],[Planet '#]], tblPlanets[Planet '#], tblPlanets[Name])=SpeedROI[[#This Row],[Name]],
   "Match",
   "Mismatch"
)</f>
        <v>Match</v>
      </c>
    </row>
    <row r="66" spans="1:19" x14ac:dyDescent="0.3">
      <c r="A66" s="24">
        <v>65</v>
      </c>
      <c r="B66" s="24" t="str">
        <f>_xlfn.XLOOKUP(tblprogress[[#This Row],[Planet '#]],tblPlanets[Planet '#],tblPlanets[Name])</f>
        <v>Sterop</v>
      </c>
      <c r="C66" s="44">
        <f>_xlfn.XLOOKUP(SpeedROI[[#This Row],[Speed Level]]+1,tblUpgradeStats[Level],tblUpgradeStats[Ship Speed])</f>
        <v>1</v>
      </c>
      <c r="D66" s="41">
        <f>IFERROR(SpeedROI[[#This Row],[Current Efficiency]]*(SpeedROI[[#This Row],[Ship Speed]]/SpeedROI[[#This Row],[Next Ship Speed]]),0)</f>
        <v>0</v>
      </c>
      <c r="E66" s="60">
        <f>SpeedROI[[#This Row],[Future Deposit]]-SpeedROI[[#This Row],[Current Deposit]]</f>
        <v>0</v>
      </c>
      <c r="F6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6" s="25">
        <f>_xlfn.XLOOKUP(SpeedROI[[#This Row],[Planet '#]],tblprogress[Planet '#],tblprogress[Ship Level])</f>
        <v>0</v>
      </c>
      <c r="I66" s="44">
        <f>_xlfn.XLOOKUP(SpeedROI[[#This Row],[Planet '#]],tblprogress[Planet '#],tblprogress[Ship Speed])</f>
        <v>0</v>
      </c>
      <c r="J66" s="75">
        <f>_xlfn.XLOOKUP(SpeedROI[[#This Row],[Planet '#]],tblprogress[Planet '#],tblprogress[Mining Rate])</f>
        <v>0</v>
      </c>
      <c r="K66" s="28">
        <f>_xlfn.XLOOKUP(SpeedROI[[#This Row],[Planet '#]],tblprogress[Planet '#],tblprogress[Cargo])</f>
        <v>0</v>
      </c>
      <c r="L66" s="41">
        <f>_xlfn.XLOOKUP(SpeedROI[[#This Row],[Planet '#]],tblprogress[Planet '#],tblprogress[Efficiency],0)</f>
        <v>0</v>
      </c>
      <c r="M66" s="73">
        <f>IF(SpeedROI[[#This Row],[Current Efficiency]]&lt;=1,SpeedROI[[#This Row],[Mining Rate]]*60,SpeedROI[[#This Row],[Cargo]]/SpeedROI[[#This Row],[Total Time]]*60)</f>
        <v>0</v>
      </c>
      <c r="N66" s="73">
        <f>IF(SpeedROI[[#This Row],[Future Efficiency]]&lt;=1,SpeedROI[[#This Row],[Mining Rate]]*60,SpeedROI[[#This Row],[Cargo]]/SpeedROI[[#This Row],[New Time]]*60)</f>
        <v>0</v>
      </c>
      <c r="O66" s="34">
        <f>_xlfn.XLOOKUP(SpeedROI[[#This Row],[Planet '#]],tblplanetvalue[Planet '#],tblplanetvalue[Total Worth])</f>
        <v>199800000</v>
      </c>
      <c r="P66" s="35" t="str">
        <f>_xlfn.XLOOKUP(SpeedROI[[#This Row],[Planet '#]],tblplaneteco[Planet '#],tblplaneteco[Ship Speed Cost])</f>
        <v/>
      </c>
      <c r="Q66" s="63" t="str">
        <f>_xlfn.XLOOKUP(SpeedROI[[#This Row],[Planet '#]],tblprogress[Planet '#],tblprogress[Total Time])</f>
        <v/>
      </c>
      <c r="R66" s="63" t="str">
        <f>IF(SpeedROI[[#This Row],[Current Deposit]]&gt;0,SpeedROI[[#This Row],[Total Time]]*SpeedROI[[#This Row],[Ship Speed]]/SpeedROI[[#This Row],[Next Ship Speed]],"")</f>
        <v/>
      </c>
      <c r="S66" s="14" t="str">
        <f>IF(
   _xlfn.XLOOKUP(SpeedROI[[#This Row],[Planet '#]], tblPlanets[Planet '#], tblPlanets[Name])=SpeedROI[[#This Row],[Name]],
   "Match",
   "Mismatch"
)</f>
        <v>Match</v>
      </c>
    </row>
    <row r="67" spans="1:19" x14ac:dyDescent="0.3">
      <c r="A67" s="25">
        <v>66</v>
      </c>
      <c r="B67" s="25" t="str">
        <f>_xlfn.XLOOKUP(tblprogress[[#This Row],[Planet '#]],tblPlanets[Planet '#],tblPlanets[Name])</f>
        <v>Lavinia</v>
      </c>
      <c r="C67" s="44">
        <f>_xlfn.XLOOKUP(SpeedROI[[#This Row],[Speed Level]]+1,tblUpgradeStats[Level],tblUpgradeStats[Ship Speed])</f>
        <v>1</v>
      </c>
      <c r="D67" s="41">
        <f>IFERROR(SpeedROI[[#This Row],[Current Efficiency]]*(SpeedROI[[#This Row],[Ship Speed]]/SpeedROI[[#This Row],[Next Ship Speed]]),0)</f>
        <v>0</v>
      </c>
      <c r="E67" s="60">
        <f>SpeedROI[[#This Row],[Future Deposit]]-SpeedROI[[#This Row],[Current Deposit]]</f>
        <v>0</v>
      </c>
      <c r="F6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7" s="25">
        <f>_xlfn.XLOOKUP(SpeedROI[[#This Row],[Planet '#]],tblprogress[Planet '#],tblprogress[Ship Level])</f>
        <v>0</v>
      </c>
      <c r="I67" s="44">
        <f>_xlfn.XLOOKUP(SpeedROI[[#This Row],[Planet '#]],tblprogress[Planet '#],tblprogress[Ship Speed])</f>
        <v>0</v>
      </c>
      <c r="J67" s="75">
        <f>_xlfn.XLOOKUP(SpeedROI[[#This Row],[Planet '#]],tblprogress[Planet '#],tblprogress[Mining Rate])</f>
        <v>0</v>
      </c>
      <c r="K67" s="28">
        <f>_xlfn.XLOOKUP(SpeedROI[[#This Row],[Planet '#]],tblprogress[Planet '#],tblprogress[Cargo])</f>
        <v>0</v>
      </c>
      <c r="L67" s="41">
        <f>_xlfn.XLOOKUP(SpeedROI[[#This Row],[Planet '#]],tblprogress[Planet '#],tblprogress[Efficiency],0)</f>
        <v>0</v>
      </c>
      <c r="M67" s="73">
        <f>IF(SpeedROI[[#This Row],[Current Efficiency]]&lt;=1,SpeedROI[[#This Row],[Mining Rate]]*60,SpeedROI[[#This Row],[Cargo]]/SpeedROI[[#This Row],[Total Time]]*60)</f>
        <v>0</v>
      </c>
      <c r="N67" s="73">
        <f>IF(SpeedROI[[#This Row],[Future Efficiency]]&lt;=1,SpeedROI[[#This Row],[Mining Rate]]*60,SpeedROI[[#This Row],[Cargo]]/SpeedROI[[#This Row],[New Time]]*60)</f>
        <v>0</v>
      </c>
      <c r="O67" s="34">
        <f>_xlfn.XLOOKUP(SpeedROI[[#This Row],[Planet '#]],tblplanetvalue[Planet '#],tblplanetvalue[Total Worth])</f>
        <v>300000000</v>
      </c>
      <c r="P67" s="35" t="str">
        <f>_xlfn.XLOOKUP(SpeedROI[[#This Row],[Planet '#]],tblplaneteco[Planet '#],tblplaneteco[Ship Speed Cost])</f>
        <v/>
      </c>
      <c r="Q67" s="63" t="str">
        <f>_xlfn.XLOOKUP(SpeedROI[[#This Row],[Planet '#]],tblprogress[Planet '#],tblprogress[Total Time])</f>
        <v/>
      </c>
      <c r="R67" s="63" t="str">
        <f>IF(SpeedROI[[#This Row],[Current Deposit]]&gt;0,SpeedROI[[#This Row],[Total Time]]*SpeedROI[[#This Row],[Ship Speed]]/SpeedROI[[#This Row],[Next Ship Speed]],"")</f>
        <v/>
      </c>
      <c r="S67" s="14" t="str">
        <f>IF(
   _xlfn.XLOOKUP(SpeedROI[[#This Row],[Planet '#]], tblPlanets[Planet '#], tblPlanets[Name])=SpeedROI[[#This Row],[Name]],
   "Match",
   "Mismatch"
)</f>
        <v>Match</v>
      </c>
    </row>
    <row r="68" spans="1:19" x14ac:dyDescent="0.3">
      <c r="A68" s="24">
        <v>67</v>
      </c>
      <c r="B68" s="24" t="str">
        <f>_xlfn.XLOOKUP(tblprogress[[#This Row],[Planet '#]],tblPlanets[Planet '#],tblPlanets[Name])</f>
        <v>Ren</v>
      </c>
      <c r="C68" s="44">
        <f>_xlfn.XLOOKUP(SpeedROI[[#This Row],[Speed Level]]+1,tblUpgradeStats[Level],tblUpgradeStats[Ship Speed])</f>
        <v>1</v>
      </c>
      <c r="D68" s="41">
        <f>IFERROR(SpeedROI[[#This Row],[Current Efficiency]]*(SpeedROI[[#This Row],[Ship Speed]]/SpeedROI[[#This Row],[Next Ship Speed]]),0)</f>
        <v>0</v>
      </c>
      <c r="E68" s="60">
        <f>SpeedROI[[#This Row],[Future Deposit]]-SpeedROI[[#This Row],[Current Deposit]]</f>
        <v>0</v>
      </c>
      <c r="F68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8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8" s="25">
        <f>_xlfn.XLOOKUP(SpeedROI[[#This Row],[Planet '#]],tblprogress[Planet '#],tblprogress[Ship Level])</f>
        <v>0</v>
      </c>
      <c r="I68" s="44">
        <f>_xlfn.XLOOKUP(SpeedROI[[#This Row],[Planet '#]],tblprogress[Planet '#],tblprogress[Ship Speed])</f>
        <v>0</v>
      </c>
      <c r="J68" s="75">
        <f>_xlfn.XLOOKUP(SpeedROI[[#This Row],[Planet '#]],tblprogress[Planet '#],tblprogress[Mining Rate])</f>
        <v>0</v>
      </c>
      <c r="K68" s="28">
        <f>_xlfn.XLOOKUP(SpeedROI[[#This Row],[Planet '#]],tblprogress[Planet '#],tblprogress[Cargo])</f>
        <v>0</v>
      </c>
      <c r="L68" s="41">
        <f>_xlfn.XLOOKUP(SpeedROI[[#This Row],[Planet '#]],tblprogress[Planet '#],tblprogress[Efficiency],0)</f>
        <v>0</v>
      </c>
      <c r="M68" s="73">
        <f>IF(SpeedROI[[#This Row],[Current Efficiency]]&lt;=1,SpeedROI[[#This Row],[Mining Rate]]*60,SpeedROI[[#This Row],[Cargo]]/SpeedROI[[#This Row],[Total Time]]*60)</f>
        <v>0</v>
      </c>
      <c r="N68" s="73">
        <f>IF(SpeedROI[[#This Row],[Future Efficiency]]&lt;=1,SpeedROI[[#This Row],[Mining Rate]]*60,SpeedROI[[#This Row],[Cargo]]/SpeedROI[[#This Row],[New Time]]*60)</f>
        <v>0</v>
      </c>
      <c r="O68" s="34">
        <f>_xlfn.XLOOKUP(SpeedROI[[#This Row],[Planet '#]],tblplanetvalue[Planet '#],tblplanetvalue[Total Worth])</f>
        <v>338000000</v>
      </c>
      <c r="P68" s="35" t="str">
        <f>_xlfn.XLOOKUP(SpeedROI[[#This Row],[Planet '#]],tblplaneteco[Planet '#],tblplaneteco[Ship Speed Cost])</f>
        <v/>
      </c>
      <c r="Q68" s="63" t="str">
        <f>_xlfn.XLOOKUP(SpeedROI[[#This Row],[Planet '#]],tblprogress[Planet '#],tblprogress[Total Time])</f>
        <v/>
      </c>
      <c r="R68" s="63" t="str">
        <f>IF(SpeedROI[[#This Row],[Current Deposit]]&gt;0,SpeedROI[[#This Row],[Total Time]]*SpeedROI[[#This Row],[Ship Speed]]/SpeedROI[[#This Row],[Next Ship Speed]],"")</f>
        <v/>
      </c>
      <c r="S68" s="14" t="str">
        <f>IF(
   _xlfn.XLOOKUP(SpeedROI[[#This Row],[Planet '#]], tblPlanets[Planet '#], tblPlanets[Name])=SpeedROI[[#This Row],[Name]],
   "Match",
   "Mismatch"
)</f>
        <v>Match</v>
      </c>
    </row>
    <row r="69" spans="1:19" x14ac:dyDescent="0.3">
      <c r="A69" s="25">
        <v>68</v>
      </c>
      <c r="B69" s="25" t="str">
        <f>_xlfn.XLOOKUP(tblprogress[[#This Row],[Planet '#]],tblPlanets[Planet '#],tblPlanets[Name])</f>
        <v>Gorgons</v>
      </c>
      <c r="C69" s="44">
        <f>_xlfn.XLOOKUP(SpeedROI[[#This Row],[Speed Level]]+1,tblUpgradeStats[Level],tblUpgradeStats[Ship Speed])</f>
        <v>1</v>
      </c>
      <c r="D69" s="41">
        <f>IFERROR(SpeedROI[[#This Row],[Current Efficiency]]*(SpeedROI[[#This Row],[Ship Speed]]/SpeedROI[[#This Row],[Next Ship Speed]]),0)</f>
        <v>0</v>
      </c>
      <c r="E69" s="60">
        <f>SpeedROI[[#This Row],[Future Deposit]]-SpeedROI[[#This Row],[Current Deposit]]</f>
        <v>0</v>
      </c>
      <c r="F69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69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69" s="25">
        <f>_xlfn.XLOOKUP(SpeedROI[[#This Row],[Planet '#]],tblprogress[Planet '#],tblprogress[Ship Level])</f>
        <v>0</v>
      </c>
      <c r="I69" s="44">
        <f>_xlfn.XLOOKUP(SpeedROI[[#This Row],[Planet '#]],tblprogress[Planet '#],tblprogress[Ship Speed])</f>
        <v>0</v>
      </c>
      <c r="J69" s="75">
        <f>_xlfn.XLOOKUP(SpeedROI[[#This Row],[Planet '#]],tblprogress[Planet '#],tblprogress[Mining Rate])</f>
        <v>0</v>
      </c>
      <c r="K69" s="28">
        <f>_xlfn.XLOOKUP(SpeedROI[[#This Row],[Planet '#]],tblprogress[Planet '#],tblprogress[Cargo])</f>
        <v>0</v>
      </c>
      <c r="L69" s="41">
        <f>_xlfn.XLOOKUP(SpeedROI[[#This Row],[Planet '#]],tblprogress[Planet '#],tblprogress[Efficiency],0)</f>
        <v>0</v>
      </c>
      <c r="M69" s="73">
        <f>IF(SpeedROI[[#This Row],[Current Efficiency]]&lt;=1,SpeedROI[[#This Row],[Mining Rate]]*60,SpeedROI[[#This Row],[Cargo]]/SpeedROI[[#This Row],[Total Time]]*60)</f>
        <v>0</v>
      </c>
      <c r="N69" s="73">
        <f>IF(SpeedROI[[#This Row],[Future Efficiency]]&lt;=1,SpeedROI[[#This Row],[Mining Rate]]*60,SpeedROI[[#This Row],[Cargo]]/SpeedROI[[#This Row],[New Time]]*60)</f>
        <v>0</v>
      </c>
      <c r="O69" s="34">
        <f>_xlfn.XLOOKUP(SpeedROI[[#This Row],[Planet '#]],tblplanetvalue[Planet '#],tblplanetvalue[Total Worth])</f>
        <v>671200000</v>
      </c>
      <c r="P69" s="35" t="str">
        <f>_xlfn.XLOOKUP(SpeedROI[[#This Row],[Planet '#]],tblplaneteco[Planet '#],tblplaneteco[Ship Speed Cost])</f>
        <v/>
      </c>
      <c r="Q69" s="63" t="str">
        <f>_xlfn.XLOOKUP(SpeedROI[[#This Row],[Planet '#]],tblprogress[Planet '#],tblprogress[Total Time])</f>
        <v/>
      </c>
      <c r="R69" s="63" t="str">
        <f>IF(SpeedROI[[#This Row],[Current Deposit]]&gt;0,SpeedROI[[#This Row],[Total Time]]*SpeedROI[[#This Row],[Ship Speed]]/SpeedROI[[#This Row],[Next Ship Speed]],"")</f>
        <v/>
      </c>
      <c r="S69" s="14" t="str">
        <f>IF(
   _xlfn.XLOOKUP(SpeedROI[[#This Row],[Planet '#]], tblPlanets[Planet '#], tblPlanets[Name])=SpeedROI[[#This Row],[Name]],
   "Match",
   "Mismatch"
)</f>
        <v>Match</v>
      </c>
    </row>
    <row r="70" spans="1:19" x14ac:dyDescent="0.3">
      <c r="A70" s="24">
        <v>69</v>
      </c>
      <c r="B70" s="24" t="str">
        <f>_xlfn.XLOOKUP(tblprogress[[#This Row],[Planet '#]],tblPlanets[Planet '#],tblPlanets[Name])</f>
        <v>Pontus</v>
      </c>
      <c r="C70" s="44">
        <f>_xlfn.XLOOKUP(SpeedROI[[#This Row],[Speed Level]]+1,tblUpgradeStats[Level],tblUpgradeStats[Ship Speed])</f>
        <v>1</v>
      </c>
      <c r="D70" s="41">
        <f>IFERROR(SpeedROI[[#This Row],[Current Efficiency]]*(SpeedROI[[#This Row],[Ship Speed]]/SpeedROI[[#This Row],[Next Ship Speed]]),0)</f>
        <v>0</v>
      </c>
      <c r="E70" s="60">
        <f>SpeedROI[[#This Row],[Future Deposit]]-SpeedROI[[#This Row],[Current Deposit]]</f>
        <v>0</v>
      </c>
      <c r="F70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0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0" s="25">
        <f>_xlfn.XLOOKUP(SpeedROI[[#This Row],[Planet '#]],tblprogress[Planet '#],tblprogress[Ship Level])</f>
        <v>0</v>
      </c>
      <c r="I70" s="44">
        <f>_xlfn.XLOOKUP(SpeedROI[[#This Row],[Planet '#]],tblprogress[Planet '#],tblprogress[Ship Speed])</f>
        <v>0</v>
      </c>
      <c r="J70" s="75">
        <f>_xlfn.XLOOKUP(SpeedROI[[#This Row],[Planet '#]],tblprogress[Planet '#],tblprogress[Mining Rate])</f>
        <v>0</v>
      </c>
      <c r="K70" s="28">
        <f>_xlfn.XLOOKUP(SpeedROI[[#This Row],[Planet '#]],tblprogress[Planet '#],tblprogress[Cargo])</f>
        <v>0</v>
      </c>
      <c r="L70" s="41">
        <f>_xlfn.XLOOKUP(SpeedROI[[#This Row],[Planet '#]],tblprogress[Planet '#],tblprogress[Efficiency],0)</f>
        <v>0</v>
      </c>
      <c r="M70" s="73">
        <f>IF(SpeedROI[[#This Row],[Current Efficiency]]&lt;=1,SpeedROI[[#This Row],[Mining Rate]]*60,SpeedROI[[#This Row],[Cargo]]/SpeedROI[[#This Row],[Total Time]]*60)</f>
        <v>0</v>
      </c>
      <c r="N70" s="73">
        <f>IF(SpeedROI[[#This Row],[Future Efficiency]]&lt;=1,SpeedROI[[#This Row],[Mining Rate]]*60,SpeedROI[[#This Row],[Cargo]]/SpeedROI[[#This Row],[New Time]]*60)</f>
        <v>0</v>
      </c>
      <c r="O70" s="34">
        <f>_xlfn.XLOOKUP(SpeedROI[[#This Row],[Planet '#]],tblplanetvalue[Planet '#],tblplanetvalue[Total Worth])</f>
        <v>940000000</v>
      </c>
      <c r="P70" s="35" t="str">
        <f>_xlfn.XLOOKUP(SpeedROI[[#This Row],[Planet '#]],tblplaneteco[Planet '#],tblplaneteco[Ship Speed Cost])</f>
        <v/>
      </c>
      <c r="Q70" s="63" t="str">
        <f>_xlfn.XLOOKUP(SpeedROI[[#This Row],[Planet '#]],tblprogress[Planet '#],tblprogress[Total Time])</f>
        <v/>
      </c>
      <c r="R70" s="63" t="str">
        <f>IF(SpeedROI[[#This Row],[Current Deposit]]&gt;0,SpeedROI[[#This Row],[Total Time]]*SpeedROI[[#This Row],[Ship Speed]]/SpeedROI[[#This Row],[Next Ship Speed]],"")</f>
        <v/>
      </c>
      <c r="S70" s="14" t="str">
        <f>IF(
   _xlfn.XLOOKUP(SpeedROI[[#This Row],[Planet '#]], tblPlanets[Planet '#], tblPlanets[Name])=SpeedROI[[#This Row],[Name]],
   "Match",
   "Mismatch"
)</f>
        <v>Match</v>
      </c>
    </row>
    <row r="71" spans="1:19" x14ac:dyDescent="0.3">
      <c r="A71" s="25">
        <v>70</v>
      </c>
      <c r="B71" s="25" t="str">
        <f>_xlfn.XLOOKUP(tblprogress[[#This Row],[Planet '#]],tblPlanets[Planet '#],tblPlanets[Name])</f>
        <v>Leto</v>
      </c>
      <c r="C71" s="44">
        <f>_xlfn.XLOOKUP(SpeedROI[[#This Row],[Speed Level]]+1,tblUpgradeStats[Level],tblUpgradeStats[Ship Speed])</f>
        <v>1</v>
      </c>
      <c r="D71" s="41">
        <f>IFERROR(SpeedROI[[#This Row],[Current Efficiency]]*(SpeedROI[[#This Row],[Ship Speed]]/SpeedROI[[#This Row],[Next Ship Speed]]),0)</f>
        <v>0</v>
      </c>
      <c r="E71" s="60">
        <f>SpeedROI[[#This Row],[Future Deposit]]-SpeedROI[[#This Row],[Current Deposit]]</f>
        <v>0</v>
      </c>
      <c r="F71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1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1" s="25">
        <f>_xlfn.XLOOKUP(SpeedROI[[#This Row],[Planet '#]],tblprogress[Planet '#],tblprogress[Ship Level])</f>
        <v>0</v>
      </c>
      <c r="I71" s="44">
        <f>_xlfn.XLOOKUP(SpeedROI[[#This Row],[Planet '#]],tblprogress[Planet '#],tblprogress[Ship Speed])</f>
        <v>0</v>
      </c>
      <c r="J71" s="75">
        <f>_xlfn.XLOOKUP(SpeedROI[[#This Row],[Planet '#]],tblprogress[Planet '#],tblprogress[Mining Rate])</f>
        <v>0</v>
      </c>
      <c r="K71" s="28">
        <f>_xlfn.XLOOKUP(SpeedROI[[#This Row],[Planet '#]],tblprogress[Planet '#],tblprogress[Cargo])</f>
        <v>0</v>
      </c>
      <c r="L71" s="41">
        <f>_xlfn.XLOOKUP(SpeedROI[[#This Row],[Planet '#]],tblprogress[Planet '#],tblprogress[Efficiency],0)</f>
        <v>0</v>
      </c>
      <c r="M71" s="73">
        <f>IF(SpeedROI[[#This Row],[Current Efficiency]]&lt;=1,SpeedROI[[#This Row],[Mining Rate]]*60,SpeedROI[[#This Row],[Cargo]]/SpeedROI[[#This Row],[Total Time]]*60)</f>
        <v>0</v>
      </c>
      <c r="N71" s="73">
        <f>IF(SpeedROI[[#This Row],[Future Efficiency]]&lt;=1,SpeedROI[[#This Row],[Mining Rate]]*60,SpeedROI[[#This Row],[Cargo]]/SpeedROI[[#This Row],[New Time]]*60)</f>
        <v>0</v>
      </c>
      <c r="O71" s="34">
        <f>_xlfn.XLOOKUP(SpeedROI[[#This Row],[Planet '#]],tblplanetvalue[Planet '#],tblplanetvalue[Total Worth])</f>
        <v>1100000000</v>
      </c>
      <c r="P71" s="35" t="str">
        <f>_xlfn.XLOOKUP(SpeedROI[[#This Row],[Planet '#]],tblplaneteco[Planet '#],tblplaneteco[Ship Speed Cost])</f>
        <v/>
      </c>
      <c r="Q71" s="63" t="str">
        <f>_xlfn.XLOOKUP(SpeedROI[[#This Row],[Planet '#]],tblprogress[Planet '#],tblprogress[Total Time])</f>
        <v/>
      </c>
      <c r="R71" s="63" t="str">
        <f>IF(SpeedROI[[#This Row],[Current Deposit]]&gt;0,SpeedROI[[#This Row],[Total Time]]*SpeedROI[[#This Row],[Ship Speed]]/SpeedROI[[#This Row],[Next Ship Speed]],"")</f>
        <v/>
      </c>
      <c r="S71" s="14" t="str">
        <f>IF(
   _xlfn.XLOOKUP(SpeedROI[[#This Row],[Planet '#]], tblPlanets[Planet '#], tblPlanets[Name])=SpeedROI[[#This Row],[Name]],
   "Match",
   "Mismatch"
)</f>
        <v>Match</v>
      </c>
    </row>
    <row r="72" spans="1:19" x14ac:dyDescent="0.3">
      <c r="A72" s="24">
        <v>71</v>
      </c>
      <c r="B72" s="24" t="str">
        <f>_xlfn.XLOOKUP(tblprogress[[#This Row],[Planet '#]],tblPlanets[Planet '#],tblPlanets[Name])</f>
        <v>Laconia</v>
      </c>
      <c r="C72" s="44">
        <f>_xlfn.XLOOKUP(SpeedROI[[#This Row],[Speed Level]]+1,tblUpgradeStats[Level],tblUpgradeStats[Ship Speed])</f>
        <v>1</v>
      </c>
      <c r="D72" s="41">
        <f>IFERROR(SpeedROI[[#This Row],[Current Efficiency]]*(SpeedROI[[#This Row],[Ship Speed]]/SpeedROI[[#This Row],[Next Ship Speed]]),0)</f>
        <v>0</v>
      </c>
      <c r="E72" s="60">
        <f>SpeedROI[[#This Row],[Future Deposit]]-SpeedROI[[#This Row],[Current Deposit]]</f>
        <v>0</v>
      </c>
      <c r="F72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2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2" s="25">
        <f>_xlfn.XLOOKUP(SpeedROI[[#This Row],[Planet '#]],tblprogress[Planet '#],tblprogress[Ship Level])</f>
        <v>0</v>
      </c>
      <c r="I72" s="44">
        <f>_xlfn.XLOOKUP(SpeedROI[[#This Row],[Planet '#]],tblprogress[Planet '#],tblprogress[Ship Speed])</f>
        <v>0</v>
      </c>
      <c r="J72" s="75">
        <f>_xlfn.XLOOKUP(SpeedROI[[#This Row],[Planet '#]],tblprogress[Planet '#],tblprogress[Mining Rate])</f>
        <v>0</v>
      </c>
      <c r="K72" s="28">
        <f>_xlfn.XLOOKUP(SpeedROI[[#This Row],[Planet '#]],tblprogress[Planet '#],tblprogress[Cargo])</f>
        <v>0</v>
      </c>
      <c r="L72" s="41">
        <f>_xlfn.XLOOKUP(SpeedROI[[#This Row],[Planet '#]],tblprogress[Planet '#],tblprogress[Efficiency],0)</f>
        <v>0</v>
      </c>
      <c r="M72" s="73">
        <f>IF(SpeedROI[[#This Row],[Current Efficiency]]&lt;=1,SpeedROI[[#This Row],[Mining Rate]]*60,SpeedROI[[#This Row],[Cargo]]/SpeedROI[[#This Row],[Total Time]]*60)</f>
        <v>0</v>
      </c>
      <c r="N72" s="73">
        <f>IF(SpeedROI[[#This Row],[Future Efficiency]]&lt;=1,SpeedROI[[#This Row],[Mining Rate]]*60,SpeedROI[[#This Row],[Cargo]]/SpeedROI[[#This Row],[New Time]]*60)</f>
        <v>0</v>
      </c>
      <c r="O72" s="34">
        <f>_xlfn.XLOOKUP(SpeedROI[[#This Row],[Planet '#]],tblplanetvalue[Planet '#],tblplanetvalue[Total Worth])</f>
        <v>1420000000</v>
      </c>
      <c r="P72" s="35" t="str">
        <f>_xlfn.XLOOKUP(SpeedROI[[#This Row],[Planet '#]],tblplaneteco[Planet '#],tblplaneteco[Ship Speed Cost])</f>
        <v/>
      </c>
      <c r="Q72" s="63" t="str">
        <f>_xlfn.XLOOKUP(SpeedROI[[#This Row],[Planet '#]],tblprogress[Planet '#],tblprogress[Total Time])</f>
        <v/>
      </c>
      <c r="R72" s="63" t="str">
        <f>IF(SpeedROI[[#This Row],[Current Deposit]]&gt;0,SpeedROI[[#This Row],[Total Time]]*SpeedROI[[#This Row],[Ship Speed]]/SpeedROI[[#This Row],[Next Ship Speed]],"")</f>
        <v/>
      </c>
      <c r="S72" s="14" t="str">
        <f>IF(
   _xlfn.XLOOKUP(SpeedROI[[#This Row],[Planet '#]], tblPlanets[Planet '#], tblPlanets[Name])=SpeedROI[[#This Row],[Name]],
   "Match",
   "Mismatch"
)</f>
        <v>Match</v>
      </c>
    </row>
    <row r="73" spans="1:19" x14ac:dyDescent="0.3">
      <c r="A73" s="25">
        <v>72</v>
      </c>
      <c r="B73" s="25" t="str">
        <f>_xlfn.XLOOKUP(tblprogress[[#This Row],[Planet '#]],tblPlanets[Planet '#],tblPlanets[Name])</f>
        <v>Awohali</v>
      </c>
      <c r="C73" s="44">
        <f>_xlfn.XLOOKUP(SpeedROI[[#This Row],[Speed Level]]+1,tblUpgradeStats[Level],tblUpgradeStats[Ship Speed])</f>
        <v>1</v>
      </c>
      <c r="D73" s="41">
        <f>IFERROR(SpeedROI[[#This Row],[Current Efficiency]]*(SpeedROI[[#This Row],[Ship Speed]]/SpeedROI[[#This Row],[Next Ship Speed]]),0)</f>
        <v>0</v>
      </c>
      <c r="E73" s="60">
        <f>SpeedROI[[#This Row],[Future Deposit]]-SpeedROI[[#This Row],[Current Deposit]]</f>
        <v>0</v>
      </c>
      <c r="F73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3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3" s="25">
        <f>_xlfn.XLOOKUP(SpeedROI[[#This Row],[Planet '#]],tblprogress[Planet '#],tblprogress[Ship Level])</f>
        <v>0</v>
      </c>
      <c r="I73" s="44">
        <f>_xlfn.XLOOKUP(SpeedROI[[#This Row],[Planet '#]],tblprogress[Planet '#],tblprogress[Ship Speed])</f>
        <v>0</v>
      </c>
      <c r="J73" s="75">
        <f>_xlfn.XLOOKUP(SpeedROI[[#This Row],[Planet '#]],tblprogress[Planet '#],tblprogress[Mining Rate])</f>
        <v>0</v>
      </c>
      <c r="K73" s="28">
        <f>_xlfn.XLOOKUP(SpeedROI[[#This Row],[Planet '#]],tblprogress[Planet '#],tblprogress[Cargo])</f>
        <v>0</v>
      </c>
      <c r="L73" s="41">
        <f>_xlfn.XLOOKUP(SpeedROI[[#This Row],[Planet '#]],tblprogress[Planet '#],tblprogress[Efficiency],0)</f>
        <v>0</v>
      </c>
      <c r="M73" s="73">
        <f>IF(SpeedROI[[#This Row],[Current Efficiency]]&lt;=1,SpeedROI[[#This Row],[Mining Rate]]*60,SpeedROI[[#This Row],[Cargo]]/SpeedROI[[#This Row],[Total Time]]*60)</f>
        <v>0</v>
      </c>
      <c r="N73" s="73">
        <f>IF(SpeedROI[[#This Row],[Future Efficiency]]&lt;=1,SpeedROI[[#This Row],[Mining Rate]]*60,SpeedROI[[#This Row],[Cargo]]/SpeedROI[[#This Row],[New Time]]*60)</f>
        <v>0</v>
      </c>
      <c r="O73" s="34">
        <f>_xlfn.XLOOKUP(SpeedROI[[#This Row],[Planet '#]],tblplanetvalue[Planet '#],tblplanetvalue[Total Worth])</f>
        <v>3037000000</v>
      </c>
      <c r="P73" s="35" t="str">
        <f>_xlfn.XLOOKUP(SpeedROI[[#This Row],[Planet '#]],tblplaneteco[Planet '#],tblplaneteco[Ship Speed Cost])</f>
        <v/>
      </c>
      <c r="Q73" s="63" t="str">
        <f>_xlfn.XLOOKUP(SpeedROI[[#This Row],[Planet '#]],tblprogress[Planet '#],tblprogress[Total Time])</f>
        <v/>
      </c>
      <c r="R73" s="63" t="str">
        <f>IF(SpeedROI[[#This Row],[Current Deposit]]&gt;0,SpeedROI[[#This Row],[Total Time]]*SpeedROI[[#This Row],[Ship Speed]]/SpeedROI[[#This Row],[Next Ship Speed]],"")</f>
        <v/>
      </c>
      <c r="S73" s="14" t="str">
        <f>IF(
   _xlfn.XLOOKUP(SpeedROI[[#This Row],[Planet '#]], tblPlanets[Planet '#], tblPlanets[Name])=SpeedROI[[#This Row],[Name]],
   "Match",
   "Mismatch"
)</f>
        <v>Match</v>
      </c>
    </row>
    <row r="74" spans="1:19" x14ac:dyDescent="0.3">
      <c r="A74" s="24">
        <v>73</v>
      </c>
      <c r="B74" s="24" t="str">
        <f>_xlfn.XLOOKUP(tblprogress[[#This Row],[Planet '#]],tblPlanets[Planet '#],tblPlanets[Name])</f>
        <v>Pegasi</v>
      </c>
      <c r="C74" s="44">
        <f>_xlfn.XLOOKUP(SpeedROI[[#This Row],[Speed Level]]+1,tblUpgradeStats[Level],tblUpgradeStats[Ship Speed])</f>
        <v>1</v>
      </c>
      <c r="D74" s="41">
        <f>IFERROR(SpeedROI[[#This Row],[Current Efficiency]]*(SpeedROI[[#This Row],[Ship Speed]]/SpeedROI[[#This Row],[Next Ship Speed]]),0)</f>
        <v>0</v>
      </c>
      <c r="E74" s="60">
        <f>SpeedROI[[#This Row],[Future Deposit]]-SpeedROI[[#This Row],[Current Deposit]]</f>
        <v>0</v>
      </c>
      <c r="F74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4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4" s="25">
        <f>_xlfn.XLOOKUP(SpeedROI[[#This Row],[Planet '#]],tblprogress[Planet '#],tblprogress[Ship Level])</f>
        <v>0</v>
      </c>
      <c r="I74" s="44">
        <f>_xlfn.XLOOKUP(SpeedROI[[#This Row],[Planet '#]],tblprogress[Planet '#],tblprogress[Ship Speed])</f>
        <v>0</v>
      </c>
      <c r="J74" s="75">
        <f>_xlfn.XLOOKUP(SpeedROI[[#This Row],[Planet '#]],tblprogress[Planet '#],tblprogress[Mining Rate])</f>
        <v>0</v>
      </c>
      <c r="K74" s="28">
        <f>_xlfn.XLOOKUP(SpeedROI[[#This Row],[Planet '#]],tblprogress[Planet '#],tblprogress[Cargo])</f>
        <v>0</v>
      </c>
      <c r="L74" s="41">
        <f>_xlfn.XLOOKUP(SpeedROI[[#This Row],[Planet '#]],tblprogress[Planet '#],tblprogress[Efficiency],0)</f>
        <v>0</v>
      </c>
      <c r="M74" s="73">
        <f>IF(SpeedROI[[#This Row],[Current Efficiency]]&lt;=1,SpeedROI[[#This Row],[Mining Rate]]*60,SpeedROI[[#This Row],[Cargo]]/SpeedROI[[#This Row],[Total Time]]*60)</f>
        <v>0</v>
      </c>
      <c r="N74" s="73">
        <f>IF(SpeedROI[[#This Row],[Future Efficiency]]&lt;=1,SpeedROI[[#This Row],[Mining Rate]]*60,SpeedROI[[#This Row],[Cargo]]/SpeedROI[[#This Row],[New Time]]*60)</f>
        <v>0</v>
      </c>
      <c r="O74" s="34">
        <f>_xlfn.XLOOKUP(SpeedROI[[#This Row],[Planet '#]],tblplanetvalue[Planet '#],tblplanetvalue[Total Worth])</f>
        <v>4300000000</v>
      </c>
      <c r="P74" s="35" t="str">
        <f>_xlfn.XLOOKUP(SpeedROI[[#This Row],[Planet '#]],tblplaneteco[Planet '#],tblplaneteco[Ship Speed Cost])</f>
        <v/>
      </c>
      <c r="Q74" s="63" t="str">
        <f>_xlfn.XLOOKUP(SpeedROI[[#This Row],[Planet '#]],tblprogress[Planet '#],tblprogress[Total Time])</f>
        <v/>
      </c>
      <c r="R74" s="63" t="str">
        <f>IF(SpeedROI[[#This Row],[Current Deposit]]&gt;0,SpeedROI[[#This Row],[Total Time]]*SpeedROI[[#This Row],[Ship Speed]]/SpeedROI[[#This Row],[Next Ship Speed]],"")</f>
        <v/>
      </c>
      <c r="S74" s="14" t="str">
        <f>IF(
   _xlfn.XLOOKUP(SpeedROI[[#This Row],[Planet '#]], tblPlanets[Planet '#], tblPlanets[Name])=SpeedROI[[#This Row],[Name]],
   "Match",
   "Mismatch"
)</f>
        <v>Match</v>
      </c>
    </row>
    <row r="75" spans="1:19" x14ac:dyDescent="0.3">
      <c r="A75" s="25">
        <v>74</v>
      </c>
      <c r="B75" s="25" t="str">
        <f>_xlfn.XLOOKUP(tblprogress[[#This Row],[Planet '#]],tblPlanets[Planet '#],tblPlanets[Name])</f>
        <v>Typhon</v>
      </c>
      <c r="C75" s="44">
        <f>_xlfn.XLOOKUP(SpeedROI[[#This Row],[Speed Level]]+1,tblUpgradeStats[Level],tblUpgradeStats[Ship Speed])</f>
        <v>1</v>
      </c>
      <c r="D75" s="41">
        <f>IFERROR(SpeedROI[[#This Row],[Current Efficiency]]*(SpeedROI[[#This Row],[Ship Speed]]/SpeedROI[[#This Row],[Next Ship Speed]]),0)</f>
        <v>0</v>
      </c>
      <c r="E75" s="60">
        <f>SpeedROI[[#This Row],[Future Deposit]]-SpeedROI[[#This Row],[Current Deposit]]</f>
        <v>0</v>
      </c>
      <c r="F75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5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5" s="25">
        <f>_xlfn.XLOOKUP(SpeedROI[[#This Row],[Planet '#]],tblprogress[Planet '#],tblprogress[Ship Level])</f>
        <v>0</v>
      </c>
      <c r="I75" s="44">
        <f>_xlfn.XLOOKUP(SpeedROI[[#This Row],[Planet '#]],tblprogress[Planet '#],tblprogress[Ship Speed])</f>
        <v>0</v>
      </c>
      <c r="J75" s="75">
        <f>_xlfn.XLOOKUP(SpeedROI[[#This Row],[Planet '#]],tblprogress[Planet '#],tblprogress[Mining Rate])</f>
        <v>0</v>
      </c>
      <c r="K75" s="28">
        <f>_xlfn.XLOOKUP(SpeedROI[[#This Row],[Planet '#]],tblprogress[Planet '#],tblprogress[Cargo])</f>
        <v>0</v>
      </c>
      <c r="L75" s="41">
        <f>_xlfn.XLOOKUP(SpeedROI[[#This Row],[Planet '#]],tblprogress[Planet '#],tblprogress[Efficiency],0)</f>
        <v>0</v>
      </c>
      <c r="M75" s="73">
        <f>IF(SpeedROI[[#This Row],[Current Efficiency]]&lt;=1,SpeedROI[[#This Row],[Mining Rate]]*60,SpeedROI[[#This Row],[Cargo]]/SpeedROI[[#This Row],[Total Time]]*60)</f>
        <v>0</v>
      </c>
      <c r="N75" s="73">
        <f>IF(SpeedROI[[#This Row],[Future Efficiency]]&lt;=1,SpeedROI[[#This Row],[Mining Rate]]*60,SpeedROI[[#This Row],[Cargo]]/SpeedROI[[#This Row],[New Time]]*60)</f>
        <v>0</v>
      </c>
      <c r="O75" s="34">
        <f>_xlfn.XLOOKUP(SpeedROI[[#This Row],[Planet '#]],tblplanetvalue[Planet '#],tblplanetvalue[Total Worth])</f>
        <v>9780000000</v>
      </c>
      <c r="P75" s="35" t="str">
        <f>_xlfn.XLOOKUP(SpeedROI[[#This Row],[Planet '#]],tblplaneteco[Planet '#],tblplaneteco[Ship Speed Cost])</f>
        <v/>
      </c>
      <c r="Q75" s="63" t="str">
        <f>_xlfn.XLOOKUP(SpeedROI[[#This Row],[Planet '#]],tblprogress[Planet '#],tblprogress[Total Time])</f>
        <v/>
      </c>
      <c r="R75" s="63" t="str">
        <f>IF(SpeedROI[[#This Row],[Current Deposit]]&gt;0,SpeedROI[[#This Row],[Total Time]]*SpeedROI[[#This Row],[Ship Speed]]/SpeedROI[[#This Row],[Next Ship Speed]],"")</f>
        <v/>
      </c>
      <c r="S75" s="14" t="str">
        <f>IF(
   _xlfn.XLOOKUP(SpeedROI[[#This Row],[Planet '#]], tblPlanets[Planet '#], tblPlanets[Name])=SpeedROI[[#This Row],[Name]],
   "Match",
   "Mismatch"
)</f>
        <v>Match</v>
      </c>
    </row>
    <row r="76" spans="1:19" x14ac:dyDescent="0.3">
      <c r="A76" s="24">
        <v>75</v>
      </c>
      <c r="B76" s="24" t="str">
        <f>_xlfn.XLOOKUP(tblprogress[[#This Row],[Planet '#]],tblPlanets[Planet '#],tblPlanets[Name])</f>
        <v>Surtur</v>
      </c>
      <c r="C76" s="44">
        <f>_xlfn.XLOOKUP(SpeedROI[[#This Row],[Speed Level]]+1,tblUpgradeStats[Level],tblUpgradeStats[Ship Speed])</f>
        <v>1</v>
      </c>
      <c r="D76" s="41">
        <f>IFERROR(SpeedROI[[#This Row],[Current Efficiency]]*(SpeedROI[[#This Row],[Ship Speed]]/SpeedROI[[#This Row],[Next Ship Speed]]),0)</f>
        <v>0</v>
      </c>
      <c r="E76" s="60">
        <f>SpeedROI[[#This Row],[Future Deposit]]-SpeedROI[[#This Row],[Current Deposit]]</f>
        <v>0</v>
      </c>
      <c r="F76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6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6" s="25">
        <f>_xlfn.XLOOKUP(SpeedROI[[#This Row],[Planet '#]],tblprogress[Planet '#],tblprogress[Ship Level])</f>
        <v>0</v>
      </c>
      <c r="I76" s="44">
        <f>_xlfn.XLOOKUP(SpeedROI[[#This Row],[Planet '#]],tblprogress[Planet '#],tblprogress[Ship Speed])</f>
        <v>0</v>
      </c>
      <c r="J76" s="75">
        <f>_xlfn.XLOOKUP(SpeedROI[[#This Row],[Planet '#]],tblprogress[Planet '#],tblprogress[Mining Rate])</f>
        <v>0</v>
      </c>
      <c r="K76" s="28">
        <f>_xlfn.XLOOKUP(SpeedROI[[#This Row],[Planet '#]],tblprogress[Planet '#],tblprogress[Cargo])</f>
        <v>0</v>
      </c>
      <c r="L76" s="41">
        <f>_xlfn.XLOOKUP(SpeedROI[[#This Row],[Planet '#]],tblprogress[Planet '#],tblprogress[Efficiency],0)</f>
        <v>0</v>
      </c>
      <c r="M76" s="73">
        <f>IF(SpeedROI[[#This Row],[Current Efficiency]]&lt;=1,SpeedROI[[#This Row],[Mining Rate]]*60,SpeedROI[[#This Row],[Cargo]]/SpeedROI[[#This Row],[Total Time]]*60)</f>
        <v>0</v>
      </c>
      <c r="N76" s="73">
        <f>IF(SpeedROI[[#This Row],[Future Efficiency]]&lt;=1,SpeedROI[[#This Row],[Mining Rate]]*60,SpeedROI[[#This Row],[Cargo]]/SpeedROI[[#This Row],[New Time]]*60)</f>
        <v>0</v>
      </c>
      <c r="O76" s="34">
        <f>_xlfn.XLOOKUP(SpeedROI[[#This Row],[Planet '#]],tblplanetvalue[Planet '#],tblplanetvalue[Total Worth])</f>
        <v>12930000000</v>
      </c>
      <c r="P76" s="35" t="str">
        <f>_xlfn.XLOOKUP(SpeedROI[[#This Row],[Planet '#]],tblplaneteco[Planet '#],tblplaneteco[Ship Speed Cost])</f>
        <v/>
      </c>
      <c r="Q76" s="63" t="str">
        <f>_xlfn.XLOOKUP(SpeedROI[[#This Row],[Planet '#]],tblprogress[Planet '#],tblprogress[Total Time])</f>
        <v/>
      </c>
      <c r="R76" s="63" t="str">
        <f>IF(SpeedROI[[#This Row],[Current Deposit]]&gt;0,SpeedROI[[#This Row],[Total Time]]*SpeedROI[[#This Row],[Ship Speed]]/SpeedROI[[#This Row],[Next Ship Speed]],"")</f>
        <v/>
      </c>
      <c r="S76" s="14" t="str">
        <f>IF(
   _xlfn.XLOOKUP(SpeedROI[[#This Row],[Planet '#]], tblPlanets[Planet '#], tblPlanets[Name])=SpeedROI[[#This Row],[Name]],
   "Match",
   "Mismatch"
)</f>
        <v>Match</v>
      </c>
    </row>
    <row r="77" spans="1:19" x14ac:dyDescent="0.3">
      <c r="A77" s="27">
        <v>76</v>
      </c>
      <c r="B77" s="27" t="str">
        <f>_xlfn.XLOOKUP(tblprogress[[#This Row],[Planet '#]],tblPlanets[Planet '#],tblPlanets[Name])</f>
        <v>Vesta</v>
      </c>
      <c r="C77" s="45">
        <f>_xlfn.XLOOKUP(SpeedROI[[#This Row],[Speed Level]]+1,tblUpgradeStats[Level],tblUpgradeStats[Ship Speed])</f>
        <v>1</v>
      </c>
      <c r="D77" s="42">
        <f>IFERROR(SpeedROI[[#This Row],[Current Efficiency]]*(SpeedROI[[#This Row],[Ship Speed]]/SpeedROI[[#This Row],[Next Ship Speed]]),0)</f>
        <v>0</v>
      </c>
      <c r="E77" s="61">
        <f>SpeedROI[[#This Row],[Future Deposit]]-SpeedROI[[#This Row],[Current Deposit]]</f>
        <v>0</v>
      </c>
      <c r="F77" s="47" t="str">
        <f>IF(OR(SpeedROI[[#This Row],[Upgrade Ship Speed]]="",SpeedROI[[#This Row],[Deposit Increase]]=0),"",(SpeedROI[[#This Row],[Deposit Increase]]*SpeedROI[[#This Row],[Planet Worth]]*3600)/SpeedROI[[#This Row],[Upgrade Ship Speed]])</f>
        <v/>
      </c>
      <c r="G77" s="47" t="str">
        <f>IF(OR(SpeedROI[[#This Row],[Future Efficiency]]="",SpeedROI[[#This Row],[Planet Worth]]="",SpeedROI[[#This Row],[Upgrade Ship Speed]]="",SpeedROI[[#This Row],[Deposit Increase]]=0),"",
   SpeedROI[[#This Row],[Upgrade Ship Speed]]/((SpeedROI[[#This Row],[Deposit Increase]]*SpeedROI[[#This Row],[Planet Worth]])/SpeedROI[[#This Row],[Total Time]]))</f>
        <v/>
      </c>
      <c r="H77" s="27">
        <f>_xlfn.XLOOKUP(SpeedROI[[#This Row],[Planet '#]],tblprogress[Planet '#],tblprogress[Ship Level])</f>
        <v>0</v>
      </c>
      <c r="I77" s="45">
        <f>_xlfn.XLOOKUP(SpeedROI[[#This Row],[Planet '#]],tblprogress[Planet '#],tblprogress[Ship Speed])</f>
        <v>0</v>
      </c>
      <c r="J77" s="76">
        <f>_xlfn.XLOOKUP(SpeedROI[[#This Row],[Planet '#]],tblprogress[Planet '#],tblprogress[Mining Rate])</f>
        <v>0</v>
      </c>
      <c r="K77" s="14">
        <f>_xlfn.XLOOKUP(SpeedROI[[#This Row],[Planet '#]],tblprogress[Planet '#],tblprogress[Cargo])</f>
        <v>0</v>
      </c>
      <c r="L77" s="42">
        <f>_xlfn.XLOOKUP(SpeedROI[[#This Row],[Planet '#]],tblprogress[Planet '#],tblprogress[Efficiency],0)</f>
        <v>0</v>
      </c>
      <c r="M77" s="74">
        <f>IF(SpeedROI[[#This Row],[Current Efficiency]]&lt;=1,SpeedROI[[#This Row],[Mining Rate]]*60,SpeedROI[[#This Row],[Cargo]]/SpeedROI[[#This Row],[Total Time]]*60)</f>
        <v>0</v>
      </c>
      <c r="N77" s="74">
        <f>IF(SpeedROI[[#This Row],[Future Efficiency]]&lt;=1,SpeedROI[[#This Row],[Mining Rate]]*60,SpeedROI[[#This Row],[Cargo]]/SpeedROI[[#This Row],[New Time]]*60)</f>
        <v>0</v>
      </c>
      <c r="O77" s="34">
        <f>_xlfn.XLOOKUP(SpeedROI[[#This Row],[Planet '#]],tblplanetvalue[Planet '#],tblplanetvalue[Total Worth])</f>
        <v>18000000000</v>
      </c>
      <c r="P77" s="36" t="str">
        <f>_xlfn.XLOOKUP(SpeedROI[[#This Row],[Planet '#]],tblplaneteco[Planet '#],tblplaneteco[Ship Speed Cost])</f>
        <v/>
      </c>
      <c r="Q77" s="63" t="str">
        <f>_xlfn.XLOOKUP(SpeedROI[[#This Row],[Planet '#]],tblprogress[Planet '#],tblprogress[Total Time])</f>
        <v/>
      </c>
      <c r="R77" s="63" t="str">
        <f>IF(SpeedROI[[#This Row],[Current Deposit]]&gt;0,SpeedROI[[#This Row],[Total Time]]*SpeedROI[[#This Row],[Ship Speed]]/SpeedROI[[#This Row],[Next Ship Speed]],"")</f>
        <v/>
      </c>
      <c r="S77" s="14" t="str">
        <f>IF(
   _xlfn.XLOOKUP(SpeedROI[[#This Row],[Planet '#]], tblPlanets[Planet '#], tblPlanets[Name])=SpeedROI[[#This Row],[Name]],
   "Match",
   "Mismatch"
)</f>
        <v>Match</v>
      </c>
    </row>
  </sheetData>
  <conditionalFormatting sqref="O2:S77 A2:L77">
    <cfRule type="expression" dxfId="71" priority="2">
      <formula>$S2 = "mismatch"</formula>
    </cfRule>
  </conditionalFormatting>
  <conditionalFormatting sqref="M2:N77">
    <cfRule type="expression" dxfId="70" priority="1">
      <formula>$Q2 = "mismatch"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A418A-429D-4D19-A69D-470248972D6D}">
  <sheetPr codeName="Sheet11"/>
  <dimension ref="A1:Q77"/>
  <sheetViews>
    <sheetView workbookViewId="0">
      <selection activeCell="H1" sqref="H1:P1048576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21.33203125" style="29" bestFit="1" customWidth="1"/>
    <col min="4" max="4" width="15" bestFit="1" customWidth="1"/>
    <col min="5" max="5" width="19.33203125" customWidth="1"/>
    <col min="6" max="6" width="10.21875" customWidth="1"/>
    <col min="7" max="7" width="14.44140625" customWidth="1"/>
    <col min="8" max="8" width="15.5546875" style="39" hidden="1" customWidth="1"/>
    <col min="9" max="9" width="15" style="29" hidden="1" customWidth="1"/>
    <col min="10" max="10" width="15" style="51" hidden="1" customWidth="1"/>
    <col min="11" max="11" width="19.6640625" style="51" hidden="1" customWidth="1"/>
    <col min="12" max="13" width="18.5546875" style="51" hidden="1" customWidth="1"/>
    <col min="14" max="14" width="18.5546875" style="37" hidden="1" customWidth="1"/>
    <col min="15" max="15" width="23.88671875" style="48" hidden="1" customWidth="1"/>
    <col min="16" max="16" width="14" style="48" hidden="1" customWidth="1"/>
    <col min="17" max="17" width="12.44140625" hidden="1" customWidth="1"/>
  </cols>
  <sheetData>
    <row r="1" spans="1:17" x14ac:dyDescent="0.3">
      <c r="A1" s="26" t="s">
        <v>0</v>
      </c>
      <c r="B1" s="26" t="s">
        <v>155</v>
      </c>
      <c r="C1" s="26" t="s">
        <v>184</v>
      </c>
      <c r="D1" s="38" t="s">
        <v>206</v>
      </c>
      <c r="E1" s="50" t="s">
        <v>207</v>
      </c>
      <c r="F1" s="46" t="s">
        <v>178</v>
      </c>
      <c r="G1" s="46" t="s">
        <v>187</v>
      </c>
      <c r="H1" s="26" t="s">
        <v>157</v>
      </c>
      <c r="I1" s="26" t="s">
        <v>152</v>
      </c>
      <c r="J1" s="26" t="s">
        <v>158</v>
      </c>
      <c r="K1" s="38" t="s">
        <v>208</v>
      </c>
      <c r="L1" s="50" t="s">
        <v>179</v>
      </c>
      <c r="M1" s="50" t="s">
        <v>180</v>
      </c>
      <c r="N1" s="33" t="s">
        <v>209</v>
      </c>
      <c r="O1" s="33" t="s">
        <v>162</v>
      </c>
      <c r="P1" s="62" t="s">
        <v>165</v>
      </c>
      <c r="Q1" s="26" t="s">
        <v>176</v>
      </c>
    </row>
    <row r="2" spans="1:17" x14ac:dyDescent="0.3">
      <c r="A2" s="24">
        <v>1</v>
      </c>
      <c r="B2" s="24" t="str">
        <f>_xlfn.XLOOKUP(tblprogress[[#This Row],[Planet '#]],tblPlanets[Planet '#],tblPlanets[Name])</f>
        <v>Balor</v>
      </c>
      <c r="C2" s="28">
        <f>_xlfn.XLOOKUP(CargoROI[[#This Row],[Cargo Level]]+1,tblUpgradeStats[Level],tblUpgradeStats[Cargo Amount])</f>
        <v>85</v>
      </c>
      <c r="D2" s="41">
        <f>IFERROR(CargoROI[[#This Row],[Current Efficiency]]*(CargoROI[[#This Row],[Cargo Amount]]/CargoROI[[#This Row],[Next Cargo Amount]]),0)</f>
        <v>0.42246618564265631</v>
      </c>
      <c r="E2" s="60">
        <f>CargoROI[[#This Row],[Future Deposit]]-CargoROI[[#This Row],[Current Deposit]]</f>
        <v>0</v>
      </c>
      <c r="F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" s="28">
        <f>_xlfn.XLOOKUP(CargoROI[[#This Row],[Planet '#]],tblprogress[Planet '#],tblprogress[Cargo Level])</f>
        <v>20</v>
      </c>
      <c r="I2" s="28">
        <f>_xlfn.XLOOKUP(CargoROI[[#This Row],[Planet '#]],tblprogress[Planet '#],tblprogress[Cargo])</f>
        <v>79</v>
      </c>
      <c r="J2" s="43">
        <f>_xlfn.XLOOKUP(CargoROI[[#This Row],[Planet '#]],tblprogress[Planet '#],tblprogress[Mining Rate])</f>
        <v>17.447000000000003</v>
      </c>
      <c r="K2" s="41">
        <f>_xlfn.XLOOKUP(CargoROI[[#This Row],[Planet '#]],tblprogress[Planet '#],tblprogress[Efficiency],0)</f>
        <v>0.45455222505855425</v>
      </c>
      <c r="L2" s="73">
        <f>IF(CargoROI[[#This Row],[Current Efficiency]]&lt;=1,CargoROI[[#This Row],[Mining Rate]]*60,CargoROI[[#This Row],[Cargo Amount]]/CargoROI[[#This Row],[Total Time]]*60)</f>
        <v>1046.8200000000002</v>
      </c>
      <c r="M2" s="73">
        <f>IF(CargoROI[[#This Row],[Future Efficiency]]&lt;=1,CargoROI[[#This Row],[Mining Rate]]*60,CargoROI[[#This Row],[Next Cargo Amount]]/CargoROI[[#This Row],[Total Time]]*60)</f>
        <v>1046.8200000000002</v>
      </c>
      <c r="N2" s="34">
        <f>_xlfn.XLOOKUP(CargoROI[[#This Row],[Planet '#]],tblplanetvalue[Planet '#],tblplanetvalue[Total Worth])</f>
        <v>1</v>
      </c>
      <c r="O2" s="34">
        <f>_xlfn.XLOOKUP(CargoROI[[#This Row],[Planet '#]],tblplaneteco[Planet '#],tblplaneteco[Cargo Rate Cost])</f>
        <v>731</v>
      </c>
      <c r="P2" s="63">
        <f>_xlfn.XLOOKUP(CargoROI[[#This Row],[Planet '#]],tblprogress[Planet '#],tblprogress[Total Time])</f>
        <v>2.058212058212058</v>
      </c>
      <c r="Q2" s="14" t="str">
        <f>IF(
   _xlfn.XLOOKUP(CargoROI[[#This Row],[Planet '#]], tblPlanets[Planet '#], tblPlanets[Name])=CargoROI[[#This Row],[Name]],
   "Match",
   "Mismatch"
)</f>
        <v>Match</v>
      </c>
    </row>
    <row r="3" spans="1:17" x14ac:dyDescent="0.3">
      <c r="A3" s="25">
        <v>2</v>
      </c>
      <c r="B3" s="25" t="str">
        <f>_xlfn.XLOOKUP(tblprogress[[#This Row],[Planet '#]],tblPlanets[Planet '#],tblPlanets[Name])</f>
        <v>Drasta</v>
      </c>
      <c r="C3" s="25">
        <f>_xlfn.XLOOKUP(CargoROI[[#This Row],[Cargo Level]]+1,tblUpgradeStats[Level],tblUpgradeStats[Cargo Amount])</f>
        <v>68</v>
      </c>
      <c r="D3" s="41">
        <f>IFERROR(CargoROI[[#This Row],[Current Efficiency]]*(CargoROI[[#This Row],[Cargo Amount]]/CargoROI[[#This Row],[Next Cargo Amount]]),0)</f>
        <v>0.56832209199469275</v>
      </c>
      <c r="E3" s="60">
        <f>CargoROI[[#This Row],[Future Deposit]]-CargoROI[[#This Row],[Current Deposit]]</f>
        <v>0</v>
      </c>
      <c r="F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" s="25">
        <f>_xlfn.XLOOKUP(CargoROI[[#This Row],[Planet '#]],tblprogress[Planet '#],tblprogress[Cargo Level])</f>
        <v>17</v>
      </c>
      <c r="I3" s="25">
        <f>_xlfn.XLOOKUP(CargoROI[[#This Row],[Planet '#]],tblprogress[Planet '#],tblprogress[Cargo])</f>
        <v>63</v>
      </c>
      <c r="J3" s="43">
        <f>_xlfn.XLOOKUP(CargoROI[[#This Row],[Planet '#]],tblprogress[Planet '#],tblprogress[Mining Rate])</f>
        <v>15.343</v>
      </c>
      <c r="K3" s="41">
        <f>_xlfn.XLOOKUP(CargoROI[[#This Row],[Planet '#]],tblprogress[Planet '#],tblprogress[Efficiency],0)</f>
        <v>0.61342701993077942</v>
      </c>
      <c r="L3" s="73">
        <f>IF(CargoROI[[#This Row],[Current Efficiency]]&lt;=1,CargoROI[[#This Row],[Mining Rate]]*60,CargoROI[[#This Row],[Cargo Amount]]/CargoROI[[#This Row],[Total Time]]*60)</f>
        <v>920.58</v>
      </c>
      <c r="M3" s="73">
        <f>IF(CargoROI[[#This Row],[Future Efficiency]]&lt;=1,CargoROI[[#This Row],[Mining Rate]]*60,CargoROI[[#This Row],[Next Cargo Amount]]/CargoROI[[#This Row],[Total Time]]*60)</f>
        <v>920.58</v>
      </c>
      <c r="N3" s="34">
        <f>_xlfn.XLOOKUP(CargoROI[[#This Row],[Planet '#]],tblplanetvalue[Planet '#],tblplanetvalue[Total Worth])</f>
        <v>1.2000000000000002</v>
      </c>
      <c r="O3" s="35">
        <f>_xlfn.XLOOKUP(CargoROI[[#This Row],[Planet '#]],tblplaneteco[Planet '#],tblplaneteco[Cargo Rate Cost])</f>
        <v>665</v>
      </c>
      <c r="P3" s="63">
        <f>_xlfn.XLOOKUP(CargoROI[[#This Row],[Planet '#]],tblprogress[Planet '#],tblprogress[Total Time])</f>
        <v>2.518796992481203</v>
      </c>
      <c r="Q3" s="14" t="str">
        <f>IF(
   _xlfn.XLOOKUP(CargoROI[[#This Row],[Planet '#]], tblPlanets[Planet '#], tblPlanets[Name])=CargoROI[[#This Row],[Name]],
   "Match",
   "Mismatch"
)</f>
        <v>Match</v>
      </c>
    </row>
    <row r="4" spans="1:17" x14ac:dyDescent="0.3">
      <c r="A4" s="24">
        <v>3</v>
      </c>
      <c r="B4" s="24" t="str">
        <f>_xlfn.XLOOKUP(tblprogress[[#This Row],[Planet '#]],tblPlanets[Planet '#],tblPlanets[Name])</f>
        <v>Anadius</v>
      </c>
      <c r="C4" s="25">
        <f>_xlfn.XLOOKUP(CargoROI[[#This Row],[Cargo Level]]+1,tblUpgradeStats[Level],tblUpgradeStats[Cargo Amount])</f>
        <v>63</v>
      </c>
      <c r="D4" s="41">
        <f>IFERROR(CargoROI[[#This Row],[Current Efficiency]]*(CargoROI[[#This Row],[Cargo Amount]]/CargoROI[[#This Row],[Next Cargo Amount]]),0)</f>
        <v>0.64694444444444432</v>
      </c>
      <c r="E4" s="60">
        <f>CargoROI[[#This Row],[Future Deposit]]-CargoROI[[#This Row],[Current Deposit]]</f>
        <v>0</v>
      </c>
      <c r="F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" s="25">
        <f>_xlfn.XLOOKUP(CargoROI[[#This Row],[Planet '#]],tblprogress[Planet '#],tblprogress[Cargo Level])</f>
        <v>16</v>
      </c>
      <c r="I4" s="25">
        <f>_xlfn.XLOOKUP(CargoROI[[#This Row],[Planet '#]],tblprogress[Planet '#],tblprogress[Cargo])</f>
        <v>58</v>
      </c>
      <c r="J4" s="43">
        <f>_xlfn.XLOOKUP(CargoROI[[#This Row],[Planet '#]],tblprogress[Planet '#],tblprogress[Mining Rate])</f>
        <v>11.543000000000001</v>
      </c>
      <c r="K4" s="41">
        <f>_xlfn.XLOOKUP(CargoROI[[#This Row],[Planet '#]],tblprogress[Planet '#],tblprogress[Efficiency],0)</f>
        <v>0.70271551724137926</v>
      </c>
      <c r="L4" s="73">
        <f>IF(CargoROI[[#This Row],[Current Efficiency]]&lt;=1,CargoROI[[#This Row],[Mining Rate]]*60,CargoROI[[#This Row],[Cargo Amount]]/CargoROI[[#This Row],[Total Time]]*60)</f>
        <v>692.58</v>
      </c>
      <c r="M4" s="73">
        <f>IF(CargoROI[[#This Row],[Future Efficiency]]&lt;=1,CargoROI[[#This Row],[Mining Rate]]*60,CargoROI[[#This Row],[Next Cargo Amount]]/CargoROI[[#This Row],[Total Time]]*60)</f>
        <v>692.58</v>
      </c>
      <c r="N4" s="34">
        <f>_xlfn.XLOOKUP(CargoROI[[#This Row],[Planet '#]],tblplanetvalue[Planet '#],tblplanetvalue[Total Worth])</f>
        <v>1.5</v>
      </c>
      <c r="O4" s="35">
        <f>_xlfn.XLOOKUP(CargoROI[[#This Row],[Planet '#]],tblplaneteco[Planet '#],tblplaneteco[Cargo Rate Cost])</f>
        <v>1280</v>
      </c>
      <c r="P4" s="63">
        <f>_xlfn.XLOOKUP(CargoROI[[#This Row],[Planet '#]],tblprogress[Planet '#],tblprogress[Total Time])</f>
        <v>3.5309278350515463</v>
      </c>
      <c r="Q4" s="14" t="str">
        <f>IF(
   _xlfn.XLOOKUP(CargoROI[[#This Row],[Planet '#]], tblPlanets[Planet '#], tblPlanets[Name])=CargoROI[[#This Row],[Name]],
   "Match",
   "Mismatch"
)</f>
        <v>Match</v>
      </c>
    </row>
    <row r="5" spans="1:17" x14ac:dyDescent="0.3">
      <c r="A5" s="25">
        <v>4</v>
      </c>
      <c r="B5" s="25" t="str">
        <f>_xlfn.XLOOKUP(tblprogress[[#This Row],[Planet '#]],tblPlanets[Planet '#],tblPlanets[Name])</f>
        <v>Dholen</v>
      </c>
      <c r="C5" s="25">
        <f>_xlfn.XLOOKUP(CargoROI[[#This Row],[Cargo Level]]+1,tblUpgradeStats[Level],tblUpgradeStats[Cargo Amount])</f>
        <v>139</v>
      </c>
      <c r="D5" s="41">
        <f>IFERROR(CargoROI[[#This Row],[Current Efficiency]]*(CargoROI[[#This Row],[Cargo Amount]]/CargoROI[[#This Row],[Next Cargo Amount]]),0)</f>
        <v>0.16943920945248359</v>
      </c>
      <c r="E5" s="60">
        <f>CargoROI[[#This Row],[Future Deposit]]-CargoROI[[#This Row],[Current Deposit]]</f>
        <v>0</v>
      </c>
      <c r="F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" s="25">
        <f>_xlfn.XLOOKUP(CargoROI[[#This Row],[Planet '#]],tblprogress[Planet '#],tblprogress[Cargo Level])</f>
        <v>28</v>
      </c>
      <c r="I5" s="25">
        <f>_xlfn.XLOOKUP(CargoROI[[#This Row],[Planet '#]],tblprogress[Planet '#],tblprogress[Cargo])</f>
        <v>132</v>
      </c>
      <c r="J5" s="43">
        <f>_xlfn.XLOOKUP(CargoROI[[#This Row],[Planet '#]],tblprogress[Planet '#],tblprogress[Mining Rate])</f>
        <v>9.8470000000000013</v>
      </c>
      <c r="K5" s="41">
        <f>_xlfn.XLOOKUP(CargoROI[[#This Row],[Planet '#]],tblprogress[Planet '#],tblprogress[Efficiency],0)</f>
        <v>0.17842462207496379</v>
      </c>
      <c r="L5" s="73">
        <f>IF(CargoROI[[#This Row],[Current Efficiency]]&lt;=1,CargoROI[[#This Row],[Mining Rate]]*60,CargoROI[[#This Row],[Cargo Amount]]/CargoROI[[#This Row],[Total Time]]*60)</f>
        <v>590.82000000000005</v>
      </c>
      <c r="M5" s="73">
        <f>IF(CargoROI[[#This Row],[Future Efficiency]]&lt;=1,CargoROI[[#This Row],[Mining Rate]]*60,CargoROI[[#This Row],[Next Cargo Amount]]/CargoROI[[#This Row],[Total Time]]*60)</f>
        <v>590.82000000000005</v>
      </c>
      <c r="N5" s="34">
        <f>_xlfn.XLOOKUP(CargoROI[[#This Row],[Planet '#]],tblplanetvalue[Planet '#],tblplanetvalue[Total Worth])</f>
        <v>2.4000000000000004</v>
      </c>
      <c r="O5" s="35">
        <f>_xlfn.XLOOKUP(CargoROI[[#This Row],[Planet '#]],tblplaneteco[Planet '#],tblplaneteco[Cargo Rate Cost])</f>
        <v>74533</v>
      </c>
      <c r="P5" s="63">
        <f>_xlfn.XLOOKUP(CargoROI[[#This Row],[Planet '#]],tblprogress[Planet '#],tblprogress[Total Time])</f>
        <v>2.3917995444191344</v>
      </c>
      <c r="Q5" s="14" t="str">
        <f>IF(
   _xlfn.XLOOKUP(CargoROI[[#This Row],[Planet '#]], tblPlanets[Planet '#], tblPlanets[Name])=CargoROI[[#This Row],[Name]],
   "Match",
   "Mismatch"
)</f>
        <v>Match</v>
      </c>
    </row>
    <row r="6" spans="1:17" x14ac:dyDescent="0.3">
      <c r="A6" s="24">
        <v>5</v>
      </c>
      <c r="B6" s="24" t="str">
        <f>_xlfn.XLOOKUP(tblprogress[[#This Row],[Planet '#]],tblPlanets[Planet '#],tblPlanets[Name])</f>
        <v>Verr</v>
      </c>
      <c r="C6" s="25">
        <f>_xlfn.XLOOKUP(CargoROI[[#This Row],[Cargo Level]]+1,tblUpgradeStats[Level],tblUpgradeStats[Cargo Amount])</f>
        <v>9</v>
      </c>
      <c r="D6" s="41">
        <f>IFERROR(CargoROI[[#This Row],[Current Efficiency]]*(CargoROI[[#This Row],[Cargo Amount]]/CargoROI[[#This Row],[Next Cargo Amount]]),0)</f>
        <v>0.76857033639143757</v>
      </c>
      <c r="E6" s="60">
        <f>CargoROI[[#This Row],[Future Deposit]]-CargoROI[[#This Row],[Current Deposit]]</f>
        <v>0</v>
      </c>
      <c r="F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" s="25">
        <f>_xlfn.XLOOKUP(CargoROI[[#This Row],[Planet '#]],tblprogress[Planet '#],tblprogress[Cargo Level])</f>
        <v>2</v>
      </c>
      <c r="I6" s="25">
        <f>_xlfn.XLOOKUP(CargoROI[[#This Row],[Planet '#]],tblprogress[Planet '#],tblprogress[Cargo])</f>
        <v>7</v>
      </c>
      <c r="J6" s="43">
        <f>_xlfn.XLOOKUP(CargoROI[[#This Row],[Planet '#]],tblprogress[Planet '#],tblprogress[Mining Rate])</f>
        <v>0.70300000000000007</v>
      </c>
      <c r="K6" s="41">
        <f>_xlfn.XLOOKUP(CargoROI[[#This Row],[Planet '#]],tblprogress[Planet '#],tblprogress[Efficiency],0)</f>
        <v>0.98816186107470549</v>
      </c>
      <c r="L6" s="73">
        <f>IF(CargoROI[[#This Row],[Current Efficiency]]&lt;=1,CargoROI[[#This Row],[Mining Rate]]*60,CargoROI[[#This Row],[Cargo Amount]]/CargoROI[[#This Row],[Total Time]]*60)</f>
        <v>42.180000000000007</v>
      </c>
      <c r="M6" s="73">
        <f>IF(CargoROI[[#This Row],[Future Efficiency]]&lt;=1,CargoROI[[#This Row],[Mining Rate]]*60,CargoROI[[#This Row],[Next Cargo Amount]]/CargoROI[[#This Row],[Total Time]]*60)</f>
        <v>42.180000000000007</v>
      </c>
      <c r="N6" s="34">
        <f>_xlfn.XLOOKUP(CargoROI[[#This Row],[Planet '#]],tblplanetvalue[Planet '#],tblplanetvalue[Total Worth])</f>
        <v>2.8000000000000003</v>
      </c>
      <c r="O6" s="35">
        <f>_xlfn.XLOOKUP(CargoROI[[#This Row],[Planet '#]],tblplaneteco[Planet '#],tblplaneteco[Cargo Rate Cost])</f>
        <v>325</v>
      </c>
      <c r="P6" s="63">
        <f>_xlfn.XLOOKUP(CargoROI[[#This Row],[Planet '#]],tblprogress[Planet '#],tblprogress[Total Time])</f>
        <v>9.8394495412844059</v>
      </c>
      <c r="Q6" s="14" t="str">
        <f>IF(
   _xlfn.XLOOKUP(CargoROI[[#This Row],[Planet '#]], tblPlanets[Planet '#], tblPlanets[Name])=CargoROI[[#This Row],[Name]],
   "Match",
   "Mismatch"
)</f>
        <v>Match</v>
      </c>
    </row>
    <row r="7" spans="1:17" x14ac:dyDescent="0.3">
      <c r="A7" s="25">
        <v>6</v>
      </c>
      <c r="B7" s="25" t="str">
        <f>_xlfn.XLOOKUP(tblprogress[[#This Row],[Planet '#]],tblPlanets[Planet '#],tblPlanets[Name])</f>
        <v>Newton</v>
      </c>
      <c r="C7" s="25">
        <f>_xlfn.XLOOKUP(CargoROI[[#This Row],[Cargo Level]]+1,tblUpgradeStats[Level],tblUpgradeStats[Cargo Amount])</f>
        <v>15</v>
      </c>
      <c r="D7" s="41">
        <f>IFERROR(CargoROI[[#This Row],[Current Efficiency]]*(CargoROI[[#This Row],[Cargo Amount]]/CargoROI[[#This Row],[Next Cargo Amount]]),0)</f>
        <v>0.66492248062015502</v>
      </c>
      <c r="E7" s="60">
        <f>CargoROI[[#This Row],[Future Deposit]]-CargoROI[[#This Row],[Current Deposit]]</f>
        <v>0</v>
      </c>
      <c r="F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" s="25">
        <f>_xlfn.XLOOKUP(CargoROI[[#This Row],[Planet '#]],tblprogress[Planet '#],tblprogress[Cargo Level])</f>
        <v>4</v>
      </c>
      <c r="I7" s="25">
        <f>_xlfn.XLOOKUP(CargoROI[[#This Row],[Planet '#]],tblprogress[Planet '#],tblprogress[Cargo])</f>
        <v>12</v>
      </c>
      <c r="J7" s="43">
        <f>_xlfn.XLOOKUP(CargoROI[[#This Row],[Planet '#]],tblprogress[Planet '#],tblprogress[Mining Rate])</f>
        <v>1.175</v>
      </c>
      <c r="K7" s="41">
        <f>_xlfn.XLOOKUP(CargoROI[[#This Row],[Planet '#]],tblprogress[Planet '#],tblprogress[Efficiency],0)</f>
        <v>0.83115310077519367</v>
      </c>
      <c r="L7" s="73">
        <f>IF(CargoROI[[#This Row],[Current Efficiency]]&lt;=1,CargoROI[[#This Row],[Mining Rate]]*60,CargoROI[[#This Row],[Cargo Amount]]/CargoROI[[#This Row],[Total Time]]*60)</f>
        <v>70.5</v>
      </c>
      <c r="M7" s="73">
        <f>IF(CargoROI[[#This Row],[Future Efficiency]]&lt;=1,CargoROI[[#This Row],[Mining Rate]]*60,CargoROI[[#This Row],[Next Cargo Amount]]/CargoROI[[#This Row],[Total Time]]*60)</f>
        <v>70.5</v>
      </c>
      <c r="N7" s="34">
        <f>_xlfn.XLOOKUP(CargoROI[[#This Row],[Planet '#]],tblplanetvalue[Planet '#],tblplanetvalue[Total Worth])</f>
        <v>4</v>
      </c>
      <c r="O7" s="35">
        <f>_xlfn.XLOOKUP(CargoROI[[#This Row],[Planet '#]],tblplaneteco[Planet '#],tblplaneteco[Cargo Rate Cost])</f>
        <v>989</v>
      </c>
      <c r="P7" s="63">
        <f>_xlfn.XLOOKUP(CargoROI[[#This Row],[Planet '#]],tblprogress[Planet '#],tblprogress[Total Time])</f>
        <v>8.4883720930232549</v>
      </c>
      <c r="Q7" s="14" t="str">
        <f>IF(
   _xlfn.XLOOKUP(CargoROI[[#This Row],[Planet '#]], tblPlanets[Planet '#], tblPlanets[Name])=CargoROI[[#This Row],[Name]],
   "Match",
   "Mismatch"
)</f>
        <v>Match</v>
      </c>
    </row>
    <row r="8" spans="1:17" x14ac:dyDescent="0.3">
      <c r="A8" s="24">
        <v>7</v>
      </c>
      <c r="B8" s="24" t="str">
        <f>_xlfn.XLOOKUP(tblprogress[[#This Row],[Planet '#]],tblPlanets[Planet '#],tblPlanets[Name])</f>
        <v>Widow</v>
      </c>
      <c r="C8" s="25">
        <f>_xlfn.XLOOKUP(CargoROI[[#This Row],[Cargo Level]]+1,tblUpgradeStats[Level],tblUpgradeStats[Cargo Amount])</f>
        <v>7</v>
      </c>
      <c r="D8" s="41">
        <f>IFERROR(CargoROI[[#This Row],[Current Efficiency]]*(CargoROI[[#This Row],[Cargo Amount]]/CargoROI[[#This Row],[Next Cargo Amount]]),0)</f>
        <v>0.78118571428571437</v>
      </c>
      <c r="E8" s="60">
        <f>CargoROI[[#This Row],[Future Deposit]]-CargoROI[[#This Row],[Current Deposit]]</f>
        <v>1.8857718120805345</v>
      </c>
      <c r="F8" s="47">
        <f>IF(OR(CargoROI[[#This Row],[Cargo Upgrade Cost]]="",CargoROI[[#This Row],[Deposit Increase]]=0),"",(CargoROI[[#This Row],[Deposit Increase]]*CargoROI[[#This Row],[Planet Worth]]*3600)/CargoROI[[#This Row],[Cargo Upgrade Cost]])</f>
        <v>25.344773154362386</v>
      </c>
      <c r="G8" s="47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>2116.4127085811929</v>
      </c>
      <c r="H8" s="25">
        <f>_xlfn.XLOOKUP(CargoROI[[#This Row],[Planet '#]],tblprogress[Planet '#],tblprogress[Cargo Level])</f>
        <v>1</v>
      </c>
      <c r="I8" s="25">
        <f>_xlfn.XLOOKUP(CargoROI[[#This Row],[Planet '#]],tblprogress[Planet '#],tblprogress[Cargo])</f>
        <v>5</v>
      </c>
      <c r="J8" s="43">
        <f>_xlfn.XLOOKUP(CargoROI[[#This Row],[Planet '#]],tblprogress[Planet '#],tblprogress[Mining Rate])</f>
        <v>0.36699999999999999</v>
      </c>
      <c r="K8" s="41">
        <f>_xlfn.XLOOKUP(CargoROI[[#This Row],[Planet '#]],tblprogress[Planet '#],tblprogress[Efficiency],0)</f>
        <v>1.0936600000000001</v>
      </c>
      <c r="L8" s="73">
        <f>IF(CargoROI[[#This Row],[Current Efficiency]]&lt;=1,CargoROI[[#This Row],[Mining Rate]]*60,CargoROI[[#This Row],[Cargo Amount]]/CargoROI[[#This Row],[Total Time]]*60)</f>
        <v>20.134228187919465</v>
      </c>
      <c r="M8" s="73">
        <f>IF(CargoROI[[#This Row],[Future Efficiency]]&lt;=1,CargoROI[[#This Row],[Mining Rate]]*60,CargoROI[[#This Row],[Next Cargo Amount]]/CargoROI[[#This Row],[Total Time]]*60)</f>
        <v>22.02</v>
      </c>
      <c r="N8" s="34">
        <f>_xlfn.XLOOKUP(CargoROI[[#This Row],[Planet '#]],tblplanetvalue[Planet '#],tblplanetvalue[Total Worth])</f>
        <v>2.8000000000000003</v>
      </c>
      <c r="O8" s="35">
        <f>_xlfn.XLOOKUP(CargoROI[[#This Row],[Planet '#]],tblplaneteco[Planet '#],tblplaneteco[Cargo Rate Cost])</f>
        <v>750</v>
      </c>
      <c r="P8" s="63">
        <f>_xlfn.XLOOKUP(CargoROI[[#This Row],[Planet '#]],tblprogress[Planet '#],tblprogress[Total Time])</f>
        <v>14.9</v>
      </c>
      <c r="Q8" s="14" t="str">
        <f>IF(
   _xlfn.XLOOKUP(CargoROI[[#This Row],[Planet '#]], tblPlanets[Planet '#], tblPlanets[Name])=CargoROI[[#This Row],[Name]],
   "Match",
   "Mismatch"
)</f>
        <v>Match</v>
      </c>
    </row>
    <row r="9" spans="1:17" x14ac:dyDescent="0.3">
      <c r="A9" s="25">
        <v>8</v>
      </c>
      <c r="B9" s="25" t="str">
        <f>_xlfn.XLOOKUP(tblprogress[[#This Row],[Planet '#]],tblPlanets[Planet '#],tblPlanets[Name])</f>
        <v>Acheron</v>
      </c>
      <c r="C9" s="25">
        <f>_xlfn.XLOOKUP(CargoROI[[#This Row],[Cargo Level]]+1,tblUpgradeStats[Level],tblUpgradeStats[Cargo Amount])</f>
        <v>5</v>
      </c>
      <c r="D9" s="41">
        <f>IFERROR(CargoROI[[#This Row],[Current Efficiency]]*(CargoROI[[#This Row],[Cargo Amount]]/CargoROI[[#This Row],[Next Cargo Amount]]),0)</f>
        <v>0</v>
      </c>
      <c r="E9" s="60">
        <f>CargoROI[[#This Row],[Future Deposit]]-CargoROI[[#This Row],[Current Deposit]]</f>
        <v>0</v>
      </c>
      <c r="F9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9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9" s="25">
        <f>_xlfn.XLOOKUP(CargoROI[[#This Row],[Planet '#]],tblprogress[Planet '#],tblprogress[Cargo Level])</f>
        <v>0</v>
      </c>
      <c r="I9" s="25">
        <f>_xlfn.XLOOKUP(CargoROI[[#This Row],[Planet '#]],tblprogress[Planet '#],tblprogress[Cargo])</f>
        <v>0</v>
      </c>
      <c r="J9" s="43">
        <f>_xlfn.XLOOKUP(CargoROI[[#This Row],[Planet '#]],tblprogress[Planet '#],tblprogress[Mining Rate])</f>
        <v>0</v>
      </c>
      <c r="K9" s="41">
        <f>_xlfn.XLOOKUP(CargoROI[[#This Row],[Planet '#]],tblprogress[Planet '#],tblprogress[Efficiency],0)</f>
        <v>0</v>
      </c>
      <c r="L9" s="73">
        <f>IF(CargoROI[[#This Row],[Current Efficiency]]&lt;=1,CargoROI[[#This Row],[Mining Rate]]*60,CargoROI[[#This Row],[Cargo Amount]]/CargoROI[[#This Row],[Total Time]]*60)</f>
        <v>0</v>
      </c>
      <c r="M9" s="73">
        <f>IF(CargoROI[[#This Row],[Future Efficiency]]&lt;=1,CargoROI[[#This Row],[Mining Rate]]*60,CargoROI[[#This Row],[Next Cargo Amount]]/CargoROI[[#This Row],[Total Time]]*60)</f>
        <v>0</v>
      </c>
      <c r="N9" s="34">
        <f>_xlfn.XLOOKUP(CargoROI[[#This Row],[Planet '#]],tblplanetvalue[Planet '#],tblplanetvalue[Total Worth])</f>
        <v>5.2</v>
      </c>
      <c r="O9" s="35" t="str">
        <f>_xlfn.XLOOKUP(CargoROI[[#This Row],[Planet '#]],tblplaneteco[Planet '#],tblplaneteco[Cargo Rate Cost])</f>
        <v/>
      </c>
      <c r="P9" s="63" t="str">
        <f>_xlfn.XLOOKUP(CargoROI[[#This Row],[Planet '#]],tblprogress[Planet '#],tblprogress[Total Time])</f>
        <v/>
      </c>
      <c r="Q9" s="14" t="str">
        <f>IF(
   _xlfn.XLOOKUP(CargoROI[[#This Row],[Planet '#]], tblPlanets[Planet '#], tblPlanets[Name])=CargoROI[[#This Row],[Name]],
   "Match",
   "Mismatch"
)</f>
        <v>Match</v>
      </c>
    </row>
    <row r="10" spans="1:17" x14ac:dyDescent="0.3">
      <c r="A10" s="24">
        <v>9</v>
      </c>
      <c r="B10" s="24" t="str">
        <f>_xlfn.XLOOKUP(tblprogress[[#This Row],[Planet '#]],tblPlanets[Planet '#],tblPlanets[Name])</f>
        <v>Yangtze</v>
      </c>
      <c r="C10" s="25">
        <f>_xlfn.XLOOKUP(CargoROI[[#This Row],[Cargo Level]]+1,tblUpgradeStats[Level],tblUpgradeStats[Cargo Amount])</f>
        <v>5</v>
      </c>
      <c r="D10" s="41">
        <f>IFERROR(CargoROI[[#This Row],[Current Efficiency]]*(CargoROI[[#This Row],[Cargo Amount]]/CargoROI[[#This Row],[Next Cargo Amount]]),0)</f>
        <v>0</v>
      </c>
      <c r="E10" s="60">
        <f>CargoROI[[#This Row],[Future Deposit]]-CargoROI[[#This Row],[Current Deposit]]</f>
        <v>0</v>
      </c>
      <c r="F10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0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0" s="25">
        <f>_xlfn.XLOOKUP(CargoROI[[#This Row],[Planet '#]],tblprogress[Planet '#],tblprogress[Cargo Level])</f>
        <v>0</v>
      </c>
      <c r="I10" s="25">
        <f>_xlfn.XLOOKUP(CargoROI[[#This Row],[Planet '#]],tblprogress[Planet '#],tblprogress[Cargo])</f>
        <v>0</v>
      </c>
      <c r="J10" s="43">
        <f>_xlfn.XLOOKUP(CargoROI[[#This Row],[Planet '#]],tblprogress[Planet '#],tblprogress[Mining Rate])</f>
        <v>0</v>
      </c>
      <c r="K10" s="41">
        <f>_xlfn.XLOOKUP(CargoROI[[#This Row],[Planet '#]],tblprogress[Planet '#],tblprogress[Efficiency],0)</f>
        <v>0</v>
      </c>
      <c r="L10" s="73">
        <f>IF(CargoROI[[#This Row],[Current Efficiency]]&lt;=1,CargoROI[[#This Row],[Mining Rate]]*60,CargoROI[[#This Row],[Cargo Amount]]/CargoROI[[#This Row],[Total Time]]*60)</f>
        <v>0</v>
      </c>
      <c r="M10" s="73">
        <f>IF(CargoROI[[#This Row],[Future Efficiency]]&lt;=1,CargoROI[[#This Row],[Mining Rate]]*60,CargoROI[[#This Row],[Next Cargo Amount]]/CargoROI[[#This Row],[Total Time]]*60)</f>
        <v>0</v>
      </c>
      <c r="N10" s="34">
        <f>_xlfn.XLOOKUP(CargoROI[[#This Row],[Planet '#]],tblplanetvalue[Planet '#],tblplanetvalue[Total Worth])</f>
        <v>9.8000000000000007</v>
      </c>
      <c r="O10" s="35" t="str">
        <f>_xlfn.XLOOKUP(CargoROI[[#This Row],[Planet '#]],tblplaneteco[Planet '#],tblplaneteco[Cargo Rate Cost])</f>
        <v/>
      </c>
      <c r="P10" s="63" t="str">
        <f>_xlfn.XLOOKUP(CargoROI[[#This Row],[Planet '#]],tblprogress[Planet '#],tblprogress[Total Time])</f>
        <v/>
      </c>
      <c r="Q10" s="14" t="str">
        <f>IF(
   _xlfn.XLOOKUP(CargoROI[[#This Row],[Planet '#]], tblPlanets[Planet '#], tblPlanets[Name])=CargoROI[[#This Row],[Name]],
   "Match",
   "Mismatch"
)</f>
        <v>Match</v>
      </c>
    </row>
    <row r="11" spans="1:17" x14ac:dyDescent="0.3">
      <c r="A11" s="25">
        <v>10</v>
      </c>
      <c r="B11" s="25" t="str">
        <f>_xlfn.XLOOKUP(tblprogress[[#This Row],[Planet '#]],tblPlanets[Planet '#],tblPlanets[Name])</f>
        <v>Solveig</v>
      </c>
      <c r="C11" s="25">
        <f>_xlfn.XLOOKUP(CargoROI[[#This Row],[Cargo Level]]+1,tblUpgradeStats[Level],tblUpgradeStats[Cargo Amount])</f>
        <v>5</v>
      </c>
      <c r="D11" s="41">
        <f>IFERROR(CargoROI[[#This Row],[Current Efficiency]]*(CargoROI[[#This Row],[Cargo Amount]]/CargoROI[[#This Row],[Next Cargo Amount]]),0)</f>
        <v>0</v>
      </c>
      <c r="E11" s="60">
        <f>CargoROI[[#This Row],[Future Deposit]]-CargoROI[[#This Row],[Current Deposit]]</f>
        <v>0</v>
      </c>
      <c r="F11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1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1" s="25">
        <f>_xlfn.XLOOKUP(CargoROI[[#This Row],[Planet '#]],tblprogress[Planet '#],tblprogress[Cargo Level])</f>
        <v>0</v>
      </c>
      <c r="I11" s="25">
        <f>_xlfn.XLOOKUP(CargoROI[[#This Row],[Planet '#]],tblprogress[Planet '#],tblprogress[Cargo])</f>
        <v>0</v>
      </c>
      <c r="J11" s="43">
        <f>_xlfn.XLOOKUP(CargoROI[[#This Row],[Planet '#]],tblprogress[Planet '#],tblprogress[Mining Rate])</f>
        <v>0</v>
      </c>
      <c r="K11" s="41">
        <f>_xlfn.XLOOKUP(CargoROI[[#This Row],[Planet '#]],tblprogress[Planet '#],tblprogress[Efficiency],0)</f>
        <v>0</v>
      </c>
      <c r="L11" s="73">
        <f>IF(CargoROI[[#This Row],[Current Efficiency]]&lt;=1,CargoROI[[#This Row],[Mining Rate]]*60,CargoROI[[#This Row],[Cargo Amount]]/CargoROI[[#This Row],[Total Time]]*60)</f>
        <v>0</v>
      </c>
      <c r="M11" s="73">
        <f>IF(CargoROI[[#This Row],[Future Efficiency]]&lt;=1,CargoROI[[#This Row],[Mining Rate]]*60,CargoROI[[#This Row],[Next Cargo Amount]]/CargoROI[[#This Row],[Total Time]]*60)</f>
        <v>0</v>
      </c>
      <c r="N11" s="34">
        <f>_xlfn.XLOOKUP(CargoROI[[#This Row],[Planet '#]],tblplanetvalue[Planet '#],tblplanetvalue[Total Worth])</f>
        <v>11.700000000000001</v>
      </c>
      <c r="O11" s="35" t="str">
        <f>_xlfn.XLOOKUP(CargoROI[[#This Row],[Planet '#]],tblplaneteco[Planet '#],tblplaneteco[Cargo Rate Cost])</f>
        <v/>
      </c>
      <c r="P11" s="63" t="str">
        <f>_xlfn.XLOOKUP(CargoROI[[#This Row],[Planet '#]],tblprogress[Planet '#],tblprogress[Total Time])</f>
        <v/>
      </c>
      <c r="Q11" s="14" t="str">
        <f>IF(
   _xlfn.XLOOKUP(CargoROI[[#This Row],[Planet '#]], tblPlanets[Planet '#], tblPlanets[Name])=CargoROI[[#This Row],[Name]],
   "Match",
   "Mismatch"
)</f>
        <v>Match</v>
      </c>
    </row>
    <row r="12" spans="1:17" x14ac:dyDescent="0.3">
      <c r="A12" s="24">
        <v>11</v>
      </c>
      <c r="B12" s="24" t="str">
        <f>_xlfn.XLOOKUP(tblprogress[[#This Row],[Planet '#]],tblPlanets[Planet '#],tblPlanets[Name])</f>
        <v>Imir</v>
      </c>
      <c r="C12" s="25">
        <f>_xlfn.XLOOKUP(CargoROI[[#This Row],[Cargo Level]]+1,tblUpgradeStats[Level],tblUpgradeStats[Cargo Amount])</f>
        <v>5</v>
      </c>
      <c r="D12" s="41">
        <f>IFERROR(CargoROI[[#This Row],[Current Efficiency]]*(CargoROI[[#This Row],[Cargo Amount]]/CargoROI[[#This Row],[Next Cargo Amount]]),0)</f>
        <v>0</v>
      </c>
      <c r="E12" s="60">
        <f>CargoROI[[#This Row],[Future Deposit]]-CargoROI[[#This Row],[Current Deposit]]</f>
        <v>0</v>
      </c>
      <c r="F1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2" s="25">
        <f>_xlfn.XLOOKUP(CargoROI[[#This Row],[Planet '#]],tblprogress[Planet '#],tblprogress[Cargo Level])</f>
        <v>0</v>
      </c>
      <c r="I12" s="25">
        <f>_xlfn.XLOOKUP(CargoROI[[#This Row],[Planet '#]],tblprogress[Planet '#],tblprogress[Cargo])</f>
        <v>0</v>
      </c>
      <c r="J12" s="43">
        <f>_xlfn.XLOOKUP(CargoROI[[#This Row],[Planet '#]],tblprogress[Planet '#],tblprogress[Mining Rate])</f>
        <v>0</v>
      </c>
      <c r="K12" s="41">
        <f>_xlfn.XLOOKUP(CargoROI[[#This Row],[Planet '#]],tblprogress[Planet '#],tblprogress[Efficiency],0)</f>
        <v>0</v>
      </c>
      <c r="L12" s="73">
        <f>IF(CargoROI[[#This Row],[Current Efficiency]]&lt;=1,CargoROI[[#This Row],[Mining Rate]]*60,CargoROI[[#This Row],[Cargo Amount]]/CargoROI[[#This Row],[Total Time]]*60)</f>
        <v>0</v>
      </c>
      <c r="M12" s="73">
        <f>IF(CargoROI[[#This Row],[Future Efficiency]]&lt;=1,CargoROI[[#This Row],[Mining Rate]]*60,CargoROI[[#This Row],[Next Cargo Amount]]/CargoROI[[#This Row],[Total Time]]*60)</f>
        <v>0</v>
      </c>
      <c r="N12" s="34">
        <f>_xlfn.XLOOKUP(CargoROI[[#This Row],[Planet '#]],tblplanetvalue[Planet '#],tblplanetvalue[Total Worth])</f>
        <v>17</v>
      </c>
      <c r="O12" s="35" t="str">
        <f>_xlfn.XLOOKUP(CargoROI[[#This Row],[Planet '#]],tblplaneteco[Planet '#],tblplaneteco[Cargo Rate Cost])</f>
        <v/>
      </c>
      <c r="P12" s="63" t="str">
        <f>_xlfn.XLOOKUP(CargoROI[[#This Row],[Planet '#]],tblprogress[Planet '#],tblprogress[Total Time])</f>
        <v/>
      </c>
      <c r="Q12" s="14" t="str">
        <f>IF(
   _xlfn.XLOOKUP(CargoROI[[#This Row],[Planet '#]], tblPlanets[Planet '#], tblPlanets[Name])=CargoROI[[#This Row],[Name]],
   "Match",
   "Mismatch"
)</f>
        <v>Match</v>
      </c>
    </row>
    <row r="13" spans="1:17" x14ac:dyDescent="0.3">
      <c r="A13" s="25">
        <v>12</v>
      </c>
      <c r="B13" s="25" t="str">
        <f>_xlfn.XLOOKUP(tblprogress[[#This Row],[Planet '#]],tblPlanets[Planet '#],tblPlanets[Name])</f>
        <v>Relic</v>
      </c>
      <c r="C13" s="25">
        <f>_xlfn.XLOOKUP(CargoROI[[#This Row],[Cargo Level]]+1,tblUpgradeStats[Level],tblUpgradeStats[Cargo Amount])</f>
        <v>5</v>
      </c>
      <c r="D13" s="41">
        <f>IFERROR(CargoROI[[#This Row],[Current Efficiency]]*(CargoROI[[#This Row],[Cargo Amount]]/CargoROI[[#This Row],[Next Cargo Amount]]),0)</f>
        <v>0</v>
      </c>
      <c r="E13" s="60">
        <f>CargoROI[[#This Row],[Future Deposit]]-CargoROI[[#This Row],[Current Deposit]]</f>
        <v>0</v>
      </c>
      <c r="F1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3" s="25">
        <f>_xlfn.XLOOKUP(CargoROI[[#This Row],[Planet '#]],tblprogress[Planet '#],tblprogress[Cargo Level])</f>
        <v>0</v>
      </c>
      <c r="I13" s="25">
        <f>_xlfn.XLOOKUP(CargoROI[[#This Row],[Planet '#]],tblprogress[Planet '#],tblprogress[Cargo])</f>
        <v>0</v>
      </c>
      <c r="J13" s="43">
        <f>_xlfn.XLOOKUP(CargoROI[[#This Row],[Planet '#]],tblprogress[Planet '#],tblprogress[Mining Rate])</f>
        <v>0</v>
      </c>
      <c r="K13" s="41">
        <f>_xlfn.XLOOKUP(CargoROI[[#This Row],[Planet '#]],tblprogress[Planet '#],tblprogress[Efficiency],0)</f>
        <v>0</v>
      </c>
      <c r="L13" s="73">
        <f>IF(CargoROI[[#This Row],[Current Efficiency]]&lt;=1,CargoROI[[#This Row],[Mining Rate]]*60,CargoROI[[#This Row],[Cargo Amount]]/CargoROI[[#This Row],[Total Time]]*60)</f>
        <v>0</v>
      </c>
      <c r="M13" s="73">
        <f>IF(CargoROI[[#This Row],[Future Efficiency]]&lt;=1,CargoROI[[#This Row],[Mining Rate]]*60,CargoROI[[#This Row],[Next Cargo Amount]]/CargoROI[[#This Row],[Total Time]]*60)</f>
        <v>0</v>
      </c>
      <c r="N13" s="34">
        <f>_xlfn.XLOOKUP(CargoROI[[#This Row],[Planet '#]],tblplanetvalue[Planet '#],tblplanetvalue[Total Worth])</f>
        <v>11.8</v>
      </c>
      <c r="O13" s="35" t="str">
        <f>_xlfn.XLOOKUP(CargoROI[[#This Row],[Planet '#]],tblplaneteco[Planet '#],tblplaneteco[Cargo Rate Cost])</f>
        <v/>
      </c>
      <c r="P13" s="63" t="str">
        <f>_xlfn.XLOOKUP(CargoROI[[#This Row],[Planet '#]],tblprogress[Planet '#],tblprogress[Total Time])</f>
        <v/>
      </c>
      <c r="Q13" s="14" t="str">
        <f>IF(
   _xlfn.XLOOKUP(CargoROI[[#This Row],[Planet '#]], tblPlanets[Planet '#], tblPlanets[Name])=CargoROI[[#This Row],[Name]],
   "Match",
   "Mismatch"
)</f>
        <v>Match</v>
      </c>
    </row>
    <row r="14" spans="1:17" x14ac:dyDescent="0.3">
      <c r="A14" s="24">
        <v>13</v>
      </c>
      <c r="B14" s="24" t="str">
        <f>_xlfn.XLOOKUP(tblprogress[[#This Row],[Planet '#]],tblPlanets[Planet '#],tblPlanets[Name])</f>
        <v>Nith</v>
      </c>
      <c r="C14" s="25">
        <f>_xlfn.XLOOKUP(CargoROI[[#This Row],[Cargo Level]]+1,tblUpgradeStats[Level],tblUpgradeStats[Cargo Amount])</f>
        <v>5</v>
      </c>
      <c r="D14" s="41">
        <f>IFERROR(CargoROI[[#This Row],[Current Efficiency]]*(CargoROI[[#This Row],[Cargo Amount]]/CargoROI[[#This Row],[Next Cargo Amount]]),0)</f>
        <v>0</v>
      </c>
      <c r="E14" s="60">
        <f>CargoROI[[#This Row],[Future Deposit]]-CargoROI[[#This Row],[Current Deposit]]</f>
        <v>0</v>
      </c>
      <c r="F1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4" s="25">
        <f>_xlfn.XLOOKUP(CargoROI[[#This Row],[Planet '#]],tblprogress[Planet '#],tblprogress[Cargo Level])</f>
        <v>0</v>
      </c>
      <c r="I14" s="25">
        <f>_xlfn.XLOOKUP(CargoROI[[#This Row],[Planet '#]],tblprogress[Planet '#],tblprogress[Cargo])</f>
        <v>0</v>
      </c>
      <c r="J14" s="43">
        <f>_xlfn.XLOOKUP(CargoROI[[#This Row],[Planet '#]],tblprogress[Planet '#],tblprogress[Mining Rate])</f>
        <v>0</v>
      </c>
      <c r="K14" s="41">
        <f>_xlfn.XLOOKUP(CargoROI[[#This Row],[Planet '#]],tblprogress[Planet '#],tblprogress[Efficiency],0)</f>
        <v>0</v>
      </c>
      <c r="L14" s="73">
        <f>IF(CargoROI[[#This Row],[Current Efficiency]]&lt;=1,CargoROI[[#This Row],[Mining Rate]]*60,CargoROI[[#This Row],[Cargo Amount]]/CargoROI[[#This Row],[Total Time]]*60)</f>
        <v>0</v>
      </c>
      <c r="M14" s="73">
        <f>IF(CargoROI[[#This Row],[Future Efficiency]]&lt;=1,CargoROI[[#This Row],[Mining Rate]]*60,CargoROI[[#This Row],[Next Cargo Amount]]/CargoROI[[#This Row],[Total Time]]*60)</f>
        <v>0</v>
      </c>
      <c r="N14" s="34">
        <f>_xlfn.XLOOKUP(CargoROI[[#This Row],[Planet '#]],tblplanetvalue[Planet '#],tblplanetvalue[Total Worth])</f>
        <v>32.200000000000003</v>
      </c>
      <c r="O14" s="35" t="str">
        <f>_xlfn.XLOOKUP(CargoROI[[#This Row],[Planet '#]],tblplaneteco[Planet '#],tblplaneteco[Cargo Rate Cost])</f>
        <v/>
      </c>
      <c r="P14" s="63" t="str">
        <f>_xlfn.XLOOKUP(CargoROI[[#This Row],[Planet '#]],tblprogress[Planet '#],tblprogress[Total Time])</f>
        <v/>
      </c>
      <c r="Q14" s="14" t="str">
        <f>IF(
   _xlfn.XLOOKUP(CargoROI[[#This Row],[Planet '#]], tblPlanets[Planet '#], tblPlanets[Name])=CargoROI[[#This Row],[Name]],
   "Match",
   "Mismatch"
)</f>
        <v>Match</v>
      </c>
    </row>
    <row r="15" spans="1:17" x14ac:dyDescent="0.3">
      <c r="A15" s="25">
        <v>14</v>
      </c>
      <c r="B15" s="25" t="str">
        <f>_xlfn.XLOOKUP(tblprogress[[#This Row],[Planet '#]],tblPlanets[Planet '#],tblPlanets[Name])</f>
        <v>Batalla</v>
      </c>
      <c r="C15" s="25">
        <f>_xlfn.XLOOKUP(CargoROI[[#This Row],[Cargo Level]]+1,tblUpgradeStats[Level],tblUpgradeStats[Cargo Amount])</f>
        <v>5</v>
      </c>
      <c r="D15" s="41">
        <f>IFERROR(CargoROI[[#This Row],[Current Efficiency]]*(CargoROI[[#This Row],[Cargo Amount]]/CargoROI[[#This Row],[Next Cargo Amount]]),0)</f>
        <v>0</v>
      </c>
      <c r="E15" s="60">
        <f>CargoROI[[#This Row],[Future Deposit]]-CargoROI[[#This Row],[Current Deposit]]</f>
        <v>0</v>
      </c>
      <c r="F1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5" s="25">
        <f>_xlfn.XLOOKUP(CargoROI[[#This Row],[Planet '#]],tblprogress[Planet '#],tblprogress[Cargo Level])</f>
        <v>0</v>
      </c>
      <c r="I15" s="25">
        <f>_xlfn.XLOOKUP(CargoROI[[#This Row],[Planet '#]],tblprogress[Planet '#],tblprogress[Cargo])</f>
        <v>0</v>
      </c>
      <c r="J15" s="43">
        <f>_xlfn.XLOOKUP(CargoROI[[#This Row],[Planet '#]],tblprogress[Planet '#],tblprogress[Mining Rate])</f>
        <v>0</v>
      </c>
      <c r="K15" s="41">
        <f>_xlfn.XLOOKUP(CargoROI[[#This Row],[Planet '#]],tblprogress[Planet '#],tblprogress[Efficiency],0)</f>
        <v>0</v>
      </c>
      <c r="L15" s="73">
        <f>IF(CargoROI[[#This Row],[Current Efficiency]]&lt;=1,CargoROI[[#This Row],[Mining Rate]]*60,CargoROI[[#This Row],[Cargo Amount]]/CargoROI[[#This Row],[Total Time]]*60)</f>
        <v>0</v>
      </c>
      <c r="M15" s="73">
        <f>IF(CargoROI[[#This Row],[Future Efficiency]]&lt;=1,CargoROI[[#This Row],[Mining Rate]]*60,CargoROI[[#This Row],[Next Cargo Amount]]/CargoROI[[#This Row],[Total Time]]*60)</f>
        <v>0</v>
      </c>
      <c r="N15" s="34">
        <f>_xlfn.XLOOKUP(CargoROI[[#This Row],[Planet '#]],tblplanetvalue[Planet '#],tblplanetvalue[Total Worth])</f>
        <v>16.2</v>
      </c>
      <c r="O15" s="35" t="str">
        <f>_xlfn.XLOOKUP(CargoROI[[#This Row],[Planet '#]],tblplaneteco[Planet '#],tblplaneteco[Cargo Rate Cost])</f>
        <v/>
      </c>
      <c r="P15" s="63" t="str">
        <f>_xlfn.XLOOKUP(CargoROI[[#This Row],[Planet '#]],tblprogress[Planet '#],tblprogress[Total Time])</f>
        <v/>
      </c>
      <c r="Q15" s="14" t="str">
        <f>IF(
   _xlfn.XLOOKUP(CargoROI[[#This Row],[Planet '#]], tblPlanets[Planet '#], tblPlanets[Name])=CargoROI[[#This Row],[Name]],
   "Match",
   "Mismatch"
)</f>
        <v>Match</v>
      </c>
    </row>
    <row r="16" spans="1:17" x14ac:dyDescent="0.3">
      <c r="A16" s="24">
        <v>15</v>
      </c>
      <c r="B16" s="24" t="str">
        <f>_xlfn.XLOOKUP(tblprogress[[#This Row],[Planet '#]],tblPlanets[Planet '#],tblPlanets[Name])</f>
        <v>Micah</v>
      </c>
      <c r="C16" s="25">
        <f>_xlfn.XLOOKUP(CargoROI[[#This Row],[Cargo Level]]+1,tblUpgradeStats[Level],tblUpgradeStats[Cargo Amount])</f>
        <v>5</v>
      </c>
      <c r="D16" s="41">
        <f>IFERROR(CargoROI[[#This Row],[Current Efficiency]]*(CargoROI[[#This Row],[Cargo Amount]]/CargoROI[[#This Row],[Next Cargo Amount]]),0)</f>
        <v>0</v>
      </c>
      <c r="E16" s="60">
        <f>CargoROI[[#This Row],[Future Deposit]]-CargoROI[[#This Row],[Current Deposit]]</f>
        <v>0</v>
      </c>
      <c r="F1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6" s="25">
        <f>_xlfn.XLOOKUP(CargoROI[[#This Row],[Planet '#]],tblprogress[Planet '#],tblprogress[Cargo Level])</f>
        <v>0</v>
      </c>
      <c r="I16" s="25">
        <f>_xlfn.XLOOKUP(CargoROI[[#This Row],[Planet '#]],tblprogress[Planet '#],tblprogress[Cargo])</f>
        <v>0</v>
      </c>
      <c r="J16" s="43">
        <f>_xlfn.XLOOKUP(CargoROI[[#This Row],[Planet '#]],tblprogress[Planet '#],tblprogress[Mining Rate])</f>
        <v>0</v>
      </c>
      <c r="K16" s="41">
        <f>_xlfn.XLOOKUP(CargoROI[[#This Row],[Planet '#]],tblprogress[Planet '#],tblprogress[Efficiency],0)</f>
        <v>0</v>
      </c>
      <c r="L16" s="73">
        <f>IF(CargoROI[[#This Row],[Current Efficiency]]&lt;=1,CargoROI[[#This Row],[Mining Rate]]*60,CargoROI[[#This Row],[Cargo Amount]]/CargoROI[[#This Row],[Total Time]]*60)</f>
        <v>0</v>
      </c>
      <c r="M16" s="73">
        <f>IF(CargoROI[[#This Row],[Future Efficiency]]&lt;=1,CargoROI[[#This Row],[Mining Rate]]*60,CargoROI[[#This Row],[Next Cargo Amount]]/CargoROI[[#This Row],[Total Time]]*60)</f>
        <v>0</v>
      </c>
      <c r="N16" s="34">
        <f>_xlfn.XLOOKUP(CargoROI[[#This Row],[Planet '#]],tblplanetvalue[Planet '#],tblplanetvalue[Total Worth])</f>
        <v>55.5</v>
      </c>
      <c r="O16" s="35" t="str">
        <f>_xlfn.XLOOKUP(CargoROI[[#This Row],[Planet '#]],tblplaneteco[Planet '#],tblplaneteco[Cargo Rate Cost])</f>
        <v/>
      </c>
      <c r="P16" s="63" t="str">
        <f>_xlfn.XLOOKUP(CargoROI[[#This Row],[Planet '#]],tblprogress[Planet '#],tblprogress[Total Time])</f>
        <v/>
      </c>
      <c r="Q16" s="14" t="str">
        <f>IF(
   _xlfn.XLOOKUP(CargoROI[[#This Row],[Planet '#]], tblPlanets[Planet '#], tblPlanets[Name])=CargoROI[[#This Row],[Name]],
   "Match",
   "Mismatch"
)</f>
        <v>Match</v>
      </c>
    </row>
    <row r="17" spans="1:17" x14ac:dyDescent="0.3">
      <c r="A17" s="25">
        <v>16</v>
      </c>
      <c r="B17" s="25" t="str">
        <f>_xlfn.XLOOKUP(tblprogress[[#This Row],[Planet '#]],tblPlanets[Planet '#],tblPlanets[Name])</f>
        <v>Pranas</v>
      </c>
      <c r="C17" s="25">
        <f>_xlfn.XLOOKUP(CargoROI[[#This Row],[Cargo Level]]+1,tblUpgradeStats[Level],tblUpgradeStats[Cargo Amount])</f>
        <v>5</v>
      </c>
      <c r="D17" s="41">
        <f>IFERROR(CargoROI[[#This Row],[Current Efficiency]]*(CargoROI[[#This Row],[Cargo Amount]]/CargoROI[[#This Row],[Next Cargo Amount]]),0)</f>
        <v>0</v>
      </c>
      <c r="E17" s="60">
        <f>CargoROI[[#This Row],[Future Deposit]]-CargoROI[[#This Row],[Current Deposit]]</f>
        <v>0</v>
      </c>
      <c r="F1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7" s="25">
        <f>_xlfn.XLOOKUP(CargoROI[[#This Row],[Planet '#]],tblprogress[Planet '#],tblprogress[Cargo Level])</f>
        <v>0</v>
      </c>
      <c r="I17" s="25">
        <f>_xlfn.XLOOKUP(CargoROI[[#This Row],[Planet '#]],tblprogress[Planet '#],tblprogress[Cargo])</f>
        <v>0</v>
      </c>
      <c r="J17" s="43">
        <f>_xlfn.XLOOKUP(CargoROI[[#This Row],[Planet '#]],tblprogress[Planet '#],tblprogress[Mining Rate])</f>
        <v>0</v>
      </c>
      <c r="K17" s="41">
        <f>_xlfn.XLOOKUP(CargoROI[[#This Row],[Planet '#]],tblprogress[Planet '#],tblprogress[Efficiency],0)</f>
        <v>0</v>
      </c>
      <c r="L17" s="73">
        <f>IF(CargoROI[[#This Row],[Current Efficiency]]&lt;=1,CargoROI[[#This Row],[Mining Rate]]*60,CargoROI[[#This Row],[Cargo Amount]]/CargoROI[[#This Row],[Total Time]]*60)</f>
        <v>0</v>
      </c>
      <c r="M17" s="73">
        <f>IF(CargoROI[[#This Row],[Future Efficiency]]&lt;=1,CargoROI[[#This Row],[Mining Rate]]*60,CargoROI[[#This Row],[Next Cargo Amount]]/CargoROI[[#This Row],[Total Time]]*60)</f>
        <v>0</v>
      </c>
      <c r="N17" s="34">
        <f>_xlfn.XLOOKUP(CargoROI[[#This Row],[Planet '#]],tblplanetvalue[Planet '#],tblplanetvalue[Total Worth])</f>
        <v>75</v>
      </c>
      <c r="O17" s="35" t="str">
        <f>_xlfn.XLOOKUP(CargoROI[[#This Row],[Planet '#]],tblplaneteco[Planet '#],tblplaneteco[Cargo Rate Cost])</f>
        <v/>
      </c>
      <c r="P17" s="63" t="str">
        <f>_xlfn.XLOOKUP(CargoROI[[#This Row],[Planet '#]],tblprogress[Planet '#],tblprogress[Total Time])</f>
        <v/>
      </c>
      <c r="Q17" s="14" t="str">
        <f>IF(
   _xlfn.XLOOKUP(CargoROI[[#This Row],[Planet '#]], tblPlanets[Planet '#], tblPlanets[Name])=CargoROI[[#This Row],[Name]],
   "Match",
   "Mismatch"
)</f>
        <v>Match</v>
      </c>
    </row>
    <row r="18" spans="1:17" x14ac:dyDescent="0.3">
      <c r="A18" s="24">
        <v>17</v>
      </c>
      <c r="B18" s="24" t="str">
        <f>_xlfn.XLOOKUP(tblprogress[[#This Row],[Planet '#]],tblPlanets[Planet '#],tblPlanets[Name])</f>
        <v>Castellus</v>
      </c>
      <c r="C18" s="25">
        <f>_xlfn.XLOOKUP(CargoROI[[#This Row],[Cargo Level]]+1,tblUpgradeStats[Level],tblUpgradeStats[Cargo Amount])</f>
        <v>5</v>
      </c>
      <c r="D18" s="41">
        <f>IFERROR(CargoROI[[#This Row],[Current Efficiency]]*(CargoROI[[#This Row],[Cargo Amount]]/CargoROI[[#This Row],[Next Cargo Amount]]),0)</f>
        <v>0</v>
      </c>
      <c r="E18" s="60">
        <f>CargoROI[[#This Row],[Future Deposit]]-CargoROI[[#This Row],[Current Deposit]]</f>
        <v>0</v>
      </c>
      <c r="F18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8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8" s="25">
        <f>_xlfn.XLOOKUP(CargoROI[[#This Row],[Planet '#]],tblprogress[Planet '#],tblprogress[Cargo Level])</f>
        <v>0</v>
      </c>
      <c r="I18" s="25">
        <f>_xlfn.XLOOKUP(CargoROI[[#This Row],[Planet '#]],tblprogress[Planet '#],tblprogress[Cargo])</f>
        <v>0</v>
      </c>
      <c r="J18" s="43">
        <f>_xlfn.XLOOKUP(CargoROI[[#This Row],[Planet '#]],tblprogress[Planet '#],tblprogress[Mining Rate])</f>
        <v>0</v>
      </c>
      <c r="K18" s="41">
        <f>_xlfn.XLOOKUP(CargoROI[[#This Row],[Planet '#]],tblprogress[Planet '#],tblprogress[Efficiency],0)</f>
        <v>0</v>
      </c>
      <c r="L18" s="73">
        <f>IF(CargoROI[[#This Row],[Current Efficiency]]&lt;=1,CargoROI[[#This Row],[Mining Rate]]*60,CargoROI[[#This Row],[Cargo Amount]]/CargoROI[[#This Row],[Total Time]]*60)</f>
        <v>0</v>
      </c>
      <c r="M18" s="73">
        <f>IF(CargoROI[[#This Row],[Future Efficiency]]&lt;=1,CargoROI[[#This Row],[Mining Rate]]*60,CargoROI[[#This Row],[Next Cargo Amount]]/CargoROI[[#This Row],[Total Time]]*60)</f>
        <v>0</v>
      </c>
      <c r="N18" s="34">
        <f>_xlfn.XLOOKUP(CargoROI[[#This Row],[Planet '#]],tblplanetvalue[Planet '#],tblplanetvalue[Total Worth])</f>
        <v>49.6</v>
      </c>
      <c r="O18" s="35" t="str">
        <f>_xlfn.XLOOKUP(CargoROI[[#This Row],[Planet '#]],tblplaneteco[Planet '#],tblplaneteco[Cargo Rate Cost])</f>
        <v/>
      </c>
      <c r="P18" s="63" t="str">
        <f>_xlfn.XLOOKUP(CargoROI[[#This Row],[Planet '#]],tblprogress[Planet '#],tblprogress[Total Time])</f>
        <v/>
      </c>
      <c r="Q18" s="14" t="str">
        <f>IF(
   _xlfn.XLOOKUP(CargoROI[[#This Row],[Planet '#]], tblPlanets[Planet '#], tblPlanets[Name])=CargoROI[[#This Row],[Name]],
   "Match",
   "Mismatch"
)</f>
        <v>Match</v>
      </c>
    </row>
    <row r="19" spans="1:17" x14ac:dyDescent="0.3">
      <c r="A19" s="25">
        <v>18</v>
      </c>
      <c r="B19" s="25" t="str">
        <f>_xlfn.XLOOKUP(tblprogress[[#This Row],[Planet '#]],tblPlanets[Planet '#],tblPlanets[Name])</f>
        <v>Gorgon</v>
      </c>
      <c r="C19" s="25">
        <f>_xlfn.XLOOKUP(CargoROI[[#This Row],[Cargo Level]]+1,tblUpgradeStats[Level],tblUpgradeStats[Cargo Amount])</f>
        <v>5</v>
      </c>
      <c r="D19" s="41">
        <f>IFERROR(CargoROI[[#This Row],[Current Efficiency]]*(CargoROI[[#This Row],[Cargo Amount]]/CargoROI[[#This Row],[Next Cargo Amount]]),0)</f>
        <v>0</v>
      </c>
      <c r="E19" s="60">
        <f>CargoROI[[#This Row],[Future Deposit]]-CargoROI[[#This Row],[Current Deposit]]</f>
        <v>0</v>
      </c>
      <c r="F19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19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19" s="25">
        <f>_xlfn.XLOOKUP(CargoROI[[#This Row],[Planet '#]],tblprogress[Planet '#],tblprogress[Cargo Level])</f>
        <v>0</v>
      </c>
      <c r="I19" s="25">
        <f>_xlfn.XLOOKUP(CargoROI[[#This Row],[Planet '#]],tblprogress[Planet '#],tblprogress[Cargo])</f>
        <v>0</v>
      </c>
      <c r="J19" s="43">
        <f>_xlfn.XLOOKUP(CargoROI[[#This Row],[Planet '#]],tblprogress[Planet '#],tblprogress[Mining Rate])</f>
        <v>0</v>
      </c>
      <c r="K19" s="41">
        <f>_xlfn.XLOOKUP(CargoROI[[#This Row],[Planet '#]],tblprogress[Planet '#],tblprogress[Efficiency],0)</f>
        <v>0</v>
      </c>
      <c r="L19" s="73">
        <f>IF(CargoROI[[#This Row],[Current Efficiency]]&lt;=1,CargoROI[[#This Row],[Mining Rate]]*60,CargoROI[[#This Row],[Cargo Amount]]/CargoROI[[#This Row],[Total Time]]*60)</f>
        <v>0</v>
      </c>
      <c r="M19" s="73">
        <f>IF(CargoROI[[#This Row],[Future Efficiency]]&lt;=1,CargoROI[[#This Row],[Mining Rate]]*60,CargoROI[[#This Row],[Next Cargo Amount]]/CargoROI[[#This Row],[Total Time]]*60)</f>
        <v>0</v>
      </c>
      <c r="N19" s="34">
        <f>_xlfn.XLOOKUP(CargoROI[[#This Row],[Planet '#]],tblplanetvalue[Planet '#],tblplanetvalue[Total Worth])</f>
        <v>128.80000000000001</v>
      </c>
      <c r="O19" s="35" t="str">
        <f>_xlfn.XLOOKUP(CargoROI[[#This Row],[Planet '#]],tblplaneteco[Planet '#],tblplaneteco[Cargo Rate Cost])</f>
        <v/>
      </c>
      <c r="P19" s="63" t="str">
        <f>_xlfn.XLOOKUP(CargoROI[[#This Row],[Planet '#]],tblprogress[Planet '#],tblprogress[Total Time])</f>
        <v/>
      </c>
      <c r="Q19" s="14" t="str">
        <f>IF(
   _xlfn.XLOOKUP(CargoROI[[#This Row],[Planet '#]], tblPlanets[Planet '#], tblPlanets[Name])=CargoROI[[#This Row],[Name]],
   "Match",
   "Mismatch"
)</f>
        <v>Match</v>
      </c>
    </row>
    <row r="20" spans="1:17" x14ac:dyDescent="0.3">
      <c r="A20" s="24">
        <v>19</v>
      </c>
      <c r="B20" s="24" t="str">
        <f>_xlfn.XLOOKUP(tblprogress[[#This Row],[Planet '#]],tblPlanets[Planet '#],tblPlanets[Name])</f>
        <v>Parnitha</v>
      </c>
      <c r="C20" s="25">
        <f>_xlfn.XLOOKUP(CargoROI[[#This Row],[Cargo Level]]+1,tblUpgradeStats[Level],tblUpgradeStats[Cargo Amount])</f>
        <v>5</v>
      </c>
      <c r="D20" s="41">
        <f>IFERROR(CargoROI[[#This Row],[Current Efficiency]]*(CargoROI[[#This Row],[Cargo Amount]]/CargoROI[[#This Row],[Next Cargo Amount]]),0)</f>
        <v>0</v>
      </c>
      <c r="E20" s="60">
        <f>CargoROI[[#This Row],[Future Deposit]]-CargoROI[[#This Row],[Current Deposit]]</f>
        <v>0</v>
      </c>
      <c r="F20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0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0" s="25">
        <f>_xlfn.XLOOKUP(CargoROI[[#This Row],[Planet '#]],tblprogress[Planet '#],tblprogress[Cargo Level])</f>
        <v>0</v>
      </c>
      <c r="I20" s="25">
        <f>_xlfn.XLOOKUP(CargoROI[[#This Row],[Planet '#]],tblprogress[Planet '#],tblprogress[Cargo])</f>
        <v>0</v>
      </c>
      <c r="J20" s="43">
        <f>_xlfn.XLOOKUP(CargoROI[[#This Row],[Planet '#]],tblprogress[Planet '#],tblprogress[Mining Rate])</f>
        <v>0</v>
      </c>
      <c r="K20" s="41">
        <f>_xlfn.XLOOKUP(CargoROI[[#This Row],[Planet '#]],tblprogress[Planet '#],tblprogress[Efficiency],0)</f>
        <v>0</v>
      </c>
      <c r="L20" s="73">
        <f>IF(CargoROI[[#This Row],[Current Efficiency]]&lt;=1,CargoROI[[#This Row],[Mining Rate]]*60,CargoROI[[#This Row],[Cargo Amount]]/CargoROI[[#This Row],[Total Time]]*60)</f>
        <v>0</v>
      </c>
      <c r="M20" s="73">
        <f>IF(CargoROI[[#This Row],[Future Efficiency]]&lt;=1,CargoROI[[#This Row],[Mining Rate]]*60,CargoROI[[#This Row],[Next Cargo Amount]]/CargoROI[[#This Row],[Total Time]]*60)</f>
        <v>0</v>
      </c>
      <c r="N20" s="34">
        <f>_xlfn.XLOOKUP(CargoROI[[#This Row],[Planet '#]],tblplanetvalue[Planet '#],tblplanetvalue[Total Worth])</f>
        <v>154.5</v>
      </c>
      <c r="O20" s="35" t="str">
        <f>_xlfn.XLOOKUP(CargoROI[[#This Row],[Planet '#]],tblplaneteco[Planet '#],tblplaneteco[Cargo Rate Cost])</f>
        <v/>
      </c>
      <c r="P20" s="63" t="str">
        <f>_xlfn.XLOOKUP(CargoROI[[#This Row],[Planet '#]],tblprogress[Planet '#],tblprogress[Total Time])</f>
        <v/>
      </c>
      <c r="Q20" s="14" t="str">
        <f>IF(
   _xlfn.XLOOKUP(CargoROI[[#This Row],[Planet '#]], tblPlanets[Planet '#], tblPlanets[Name])=CargoROI[[#This Row],[Name]],
   "Match",
   "Mismatch"
)</f>
        <v>Match</v>
      </c>
    </row>
    <row r="21" spans="1:17" x14ac:dyDescent="0.3">
      <c r="A21" s="25">
        <v>20</v>
      </c>
      <c r="B21" s="25" t="str">
        <f>_xlfn.XLOOKUP(tblprogress[[#This Row],[Planet '#]],tblPlanets[Planet '#],tblPlanets[Name])</f>
        <v>Orisoni</v>
      </c>
      <c r="C21" s="25">
        <f>_xlfn.XLOOKUP(CargoROI[[#This Row],[Cargo Level]]+1,tblUpgradeStats[Level],tblUpgradeStats[Cargo Amount])</f>
        <v>5</v>
      </c>
      <c r="D21" s="41">
        <f>IFERROR(CargoROI[[#This Row],[Current Efficiency]]*(CargoROI[[#This Row],[Cargo Amount]]/CargoROI[[#This Row],[Next Cargo Amount]]),0)</f>
        <v>0</v>
      </c>
      <c r="E21" s="60">
        <f>CargoROI[[#This Row],[Future Deposit]]-CargoROI[[#This Row],[Current Deposit]]</f>
        <v>0</v>
      </c>
      <c r="F21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1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1" s="25">
        <f>_xlfn.XLOOKUP(CargoROI[[#This Row],[Planet '#]],tblprogress[Planet '#],tblprogress[Cargo Level])</f>
        <v>0</v>
      </c>
      <c r="I21" s="25">
        <f>_xlfn.XLOOKUP(CargoROI[[#This Row],[Planet '#]],tblprogress[Planet '#],tblprogress[Cargo])</f>
        <v>0</v>
      </c>
      <c r="J21" s="43">
        <f>_xlfn.XLOOKUP(CargoROI[[#This Row],[Planet '#]],tblprogress[Planet '#],tblprogress[Mining Rate])</f>
        <v>0</v>
      </c>
      <c r="K21" s="41">
        <f>_xlfn.XLOOKUP(CargoROI[[#This Row],[Planet '#]],tblprogress[Planet '#],tblprogress[Efficiency],0)</f>
        <v>0</v>
      </c>
      <c r="L21" s="73">
        <f>IF(CargoROI[[#This Row],[Current Efficiency]]&lt;=1,CargoROI[[#This Row],[Mining Rate]]*60,CargoROI[[#This Row],[Cargo Amount]]/CargoROI[[#This Row],[Total Time]]*60)</f>
        <v>0</v>
      </c>
      <c r="M21" s="73">
        <f>IF(CargoROI[[#This Row],[Future Efficiency]]&lt;=1,CargoROI[[#This Row],[Mining Rate]]*60,CargoROI[[#This Row],[Next Cargo Amount]]/CargoROI[[#This Row],[Total Time]]*60)</f>
        <v>0</v>
      </c>
      <c r="N21" s="34">
        <f>_xlfn.XLOOKUP(CargoROI[[#This Row],[Planet '#]],tblplanetvalue[Planet '#],tblplanetvalue[Total Worth])</f>
        <v>286</v>
      </c>
      <c r="O21" s="35" t="str">
        <f>_xlfn.XLOOKUP(CargoROI[[#This Row],[Planet '#]],tblplaneteco[Planet '#],tblplaneteco[Cargo Rate Cost])</f>
        <v/>
      </c>
      <c r="P21" s="63" t="str">
        <f>_xlfn.XLOOKUP(CargoROI[[#This Row],[Planet '#]],tblprogress[Planet '#],tblprogress[Total Time])</f>
        <v/>
      </c>
      <c r="Q21" s="14" t="str">
        <f>IF(
   _xlfn.XLOOKUP(CargoROI[[#This Row],[Planet '#]], tblPlanets[Planet '#], tblPlanets[Name])=CargoROI[[#This Row],[Name]],
   "Match",
   "Mismatch"
)</f>
        <v>Match</v>
      </c>
    </row>
    <row r="22" spans="1:17" x14ac:dyDescent="0.3">
      <c r="A22" s="24">
        <v>21</v>
      </c>
      <c r="B22" s="24" t="str">
        <f>_xlfn.XLOOKUP(tblprogress[[#This Row],[Planet '#]],tblPlanets[Planet '#],tblPlanets[Name])</f>
        <v>Theseus</v>
      </c>
      <c r="C22" s="25">
        <f>_xlfn.XLOOKUP(CargoROI[[#This Row],[Cargo Level]]+1,tblUpgradeStats[Level],tblUpgradeStats[Cargo Amount])</f>
        <v>5</v>
      </c>
      <c r="D22" s="41">
        <f>IFERROR(CargoROI[[#This Row],[Current Efficiency]]*(CargoROI[[#This Row],[Cargo Amount]]/CargoROI[[#This Row],[Next Cargo Amount]]),0)</f>
        <v>0</v>
      </c>
      <c r="E22" s="60">
        <f>CargoROI[[#This Row],[Future Deposit]]-CargoROI[[#This Row],[Current Deposit]]</f>
        <v>0</v>
      </c>
      <c r="F2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2" s="25">
        <f>_xlfn.XLOOKUP(CargoROI[[#This Row],[Planet '#]],tblprogress[Planet '#],tblprogress[Cargo Level])</f>
        <v>0</v>
      </c>
      <c r="I22" s="25">
        <f>_xlfn.XLOOKUP(CargoROI[[#This Row],[Planet '#]],tblprogress[Planet '#],tblprogress[Cargo])</f>
        <v>0</v>
      </c>
      <c r="J22" s="43">
        <f>_xlfn.XLOOKUP(CargoROI[[#This Row],[Planet '#]],tblprogress[Planet '#],tblprogress[Mining Rate])</f>
        <v>0</v>
      </c>
      <c r="K22" s="41">
        <f>_xlfn.XLOOKUP(CargoROI[[#This Row],[Planet '#]],tblprogress[Planet '#],tblprogress[Efficiency],0)</f>
        <v>0</v>
      </c>
      <c r="L22" s="73">
        <f>IF(CargoROI[[#This Row],[Current Efficiency]]&lt;=1,CargoROI[[#This Row],[Mining Rate]]*60,CargoROI[[#This Row],[Cargo Amount]]/CargoROI[[#This Row],[Total Time]]*60)</f>
        <v>0</v>
      </c>
      <c r="M22" s="73">
        <f>IF(CargoROI[[#This Row],[Future Efficiency]]&lt;=1,CargoROI[[#This Row],[Mining Rate]]*60,CargoROI[[#This Row],[Next Cargo Amount]]/CargoROI[[#This Row],[Total Time]]*60)</f>
        <v>0</v>
      </c>
      <c r="N22" s="34">
        <f>_xlfn.XLOOKUP(CargoROI[[#This Row],[Planet '#]],tblplanetvalue[Planet '#],tblplanetvalue[Total Worth])</f>
        <v>340</v>
      </c>
      <c r="O22" s="35" t="str">
        <f>_xlfn.XLOOKUP(CargoROI[[#This Row],[Planet '#]],tblplaneteco[Planet '#],tblplaneteco[Cargo Rate Cost])</f>
        <v/>
      </c>
      <c r="P22" s="63" t="str">
        <f>_xlfn.XLOOKUP(CargoROI[[#This Row],[Planet '#]],tblprogress[Planet '#],tblprogress[Total Time])</f>
        <v/>
      </c>
      <c r="Q22" s="14" t="str">
        <f>IF(
   _xlfn.XLOOKUP(CargoROI[[#This Row],[Planet '#]], tblPlanets[Planet '#], tblPlanets[Name])=CargoROI[[#This Row],[Name]],
   "Match",
   "Mismatch"
)</f>
        <v>Match</v>
      </c>
    </row>
    <row r="23" spans="1:17" x14ac:dyDescent="0.3">
      <c r="A23" s="25">
        <v>22</v>
      </c>
      <c r="B23" s="25" t="str">
        <f>_xlfn.XLOOKUP(tblprogress[[#This Row],[Planet '#]],tblPlanets[Planet '#],tblPlanets[Name])</f>
        <v>Zelene</v>
      </c>
      <c r="C23" s="25">
        <f>_xlfn.XLOOKUP(CargoROI[[#This Row],[Cargo Level]]+1,tblUpgradeStats[Level],tblUpgradeStats[Cargo Amount])</f>
        <v>5</v>
      </c>
      <c r="D23" s="41">
        <f>IFERROR(CargoROI[[#This Row],[Current Efficiency]]*(CargoROI[[#This Row],[Cargo Amount]]/CargoROI[[#This Row],[Next Cargo Amount]]),0)</f>
        <v>0</v>
      </c>
      <c r="E23" s="60">
        <f>CargoROI[[#This Row],[Future Deposit]]-CargoROI[[#This Row],[Current Deposit]]</f>
        <v>0</v>
      </c>
      <c r="F2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3" s="25">
        <f>_xlfn.XLOOKUP(CargoROI[[#This Row],[Planet '#]],tblprogress[Planet '#],tblprogress[Cargo Level])</f>
        <v>0</v>
      </c>
      <c r="I23" s="25">
        <f>_xlfn.XLOOKUP(CargoROI[[#This Row],[Planet '#]],tblprogress[Planet '#],tblprogress[Cargo])</f>
        <v>0</v>
      </c>
      <c r="J23" s="43">
        <f>_xlfn.XLOOKUP(CargoROI[[#This Row],[Planet '#]],tblprogress[Planet '#],tblprogress[Mining Rate])</f>
        <v>0</v>
      </c>
      <c r="K23" s="41">
        <f>_xlfn.XLOOKUP(CargoROI[[#This Row],[Planet '#]],tblprogress[Planet '#],tblprogress[Efficiency],0)</f>
        <v>0</v>
      </c>
      <c r="L23" s="73">
        <f>IF(CargoROI[[#This Row],[Current Efficiency]]&lt;=1,CargoROI[[#This Row],[Mining Rate]]*60,CargoROI[[#This Row],[Cargo Amount]]/CargoROI[[#This Row],[Total Time]]*60)</f>
        <v>0</v>
      </c>
      <c r="M23" s="73">
        <f>IF(CargoROI[[#This Row],[Future Efficiency]]&lt;=1,CargoROI[[#This Row],[Mining Rate]]*60,CargoROI[[#This Row],[Next Cargo Amount]]/CargoROI[[#This Row],[Total Time]]*60)</f>
        <v>0</v>
      </c>
      <c r="N23" s="34">
        <f>_xlfn.XLOOKUP(CargoROI[[#This Row],[Planet '#]],tblplanetvalue[Planet '#],tblplanetvalue[Total Worth])</f>
        <v>244.2</v>
      </c>
      <c r="O23" s="35" t="str">
        <f>_xlfn.XLOOKUP(CargoROI[[#This Row],[Planet '#]],tblplaneteco[Planet '#],tblplaneteco[Cargo Rate Cost])</f>
        <v/>
      </c>
      <c r="P23" s="63" t="str">
        <f>_xlfn.XLOOKUP(CargoROI[[#This Row],[Planet '#]],tblprogress[Planet '#],tblprogress[Total Time])</f>
        <v/>
      </c>
      <c r="Q23" s="14" t="str">
        <f>IF(
   _xlfn.XLOOKUP(CargoROI[[#This Row],[Planet '#]], tblPlanets[Planet '#], tblPlanets[Name])=CargoROI[[#This Row],[Name]],
   "Match",
   "Mismatch"
)</f>
        <v>Match</v>
      </c>
    </row>
    <row r="24" spans="1:17" x14ac:dyDescent="0.3">
      <c r="A24" s="24">
        <v>23</v>
      </c>
      <c r="B24" s="24" t="str">
        <f>_xlfn.XLOOKUP(tblprogress[[#This Row],[Planet '#]],tblPlanets[Planet '#],tblPlanets[Name])</f>
        <v>Han</v>
      </c>
      <c r="C24" s="25">
        <f>_xlfn.XLOOKUP(CargoROI[[#This Row],[Cargo Level]]+1,tblUpgradeStats[Level],tblUpgradeStats[Cargo Amount])</f>
        <v>5</v>
      </c>
      <c r="D24" s="41">
        <f>IFERROR(CargoROI[[#This Row],[Current Efficiency]]*(CargoROI[[#This Row],[Cargo Amount]]/CargoROI[[#This Row],[Next Cargo Amount]]),0)</f>
        <v>0</v>
      </c>
      <c r="E24" s="60">
        <f>CargoROI[[#This Row],[Future Deposit]]-CargoROI[[#This Row],[Current Deposit]]</f>
        <v>0</v>
      </c>
      <c r="F2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4" s="25">
        <f>_xlfn.XLOOKUP(CargoROI[[#This Row],[Planet '#]],tblprogress[Planet '#],tblprogress[Cargo Level])</f>
        <v>0</v>
      </c>
      <c r="I24" s="25">
        <f>_xlfn.XLOOKUP(CargoROI[[#This Row],[Planet '#]],tblprogress[Planet '#],tblprogress[Cargo])</f>
        <v>0</v>
      </c>
      <c r="J24" s="43">
        <f>_xlfn.XLOOKUP(CargoROI[[#This Row],[Planet '#]],tblprogress[Planet '#],tblprogress[Mining Rate])</f>
        <v>0</v>
      </c>
      <c r="K24" s="41">
        <f>_xlfn.XLOOKUP(CargoROI[[#This Row],[Planet '#]],tblprogress[Planet '#],tblprogress[Efficiency],0)</f>
        <v>0</v>
      </c>
      <c r="L24" s="73">
        <f>IF(CargoROI[[#This Row],[Current Efficiency]]&lt;=1,CargoROI[[#This Row],[Mining Rate]]*60,CargoROI[[#This Row],[Cargo Amount]]/CargoROI[[#This Row],[Total Time]]*60)</f>
        <v>0</v>
      </c>
      <c r="M24" s="73">
        <f>IF(CargoROI[[#This Row],[Future Efficiency]]&lt;=1,CargoROI[[#This Row],[Mining Rate]]*60,CargoROI[[#This Row],[Next Cargo Amount]]/CargoROI[[#This Row],[Total Time]]*60)</f>
        <v>0</v>
      </c>
      <c r="N24" s="34">
        <f>_xlfn.XLOOKUP(CargoROI[[#This Row],[Planet '#]],tblplanetvalue[Planet '#],tblplanetvalue[Total Worth])</f>
        <v>550.5</v>
      </c>
      <c r="O24" s="35" t="str">
        <f>_xlfn.XLOOKUP(CargoROI[[#This Row],[Planet '#]],tblplaneteco[Planet '#],tblplaneteco[Cargo Rate Cost])</f>
        <v/>
      </c>
      <c r="P24" s="63" t="str">
        <f>_xlfn.XLOOKUP(CargoROI[[#This Row],[Planet '#]],tblprogress[Planet '#],tblprogress[Total Time])</f>
        <v/>
      </c>
      <c r="Q24" s="14" t="str">
        <f>IF(
   _xlfn.XLOOKUP(CargoROI[[#This Row],[Planet '#]], tblPlanets[Planet '#], tblPlanets[Name])=CargoROI[[#This Row],[Name]],
   "Match",
   "Mismatch"
)</f>
        <v>Match</v>
      </c>
    </row>
    <row r="25" spans="1:17" x14ac:dyDescent="0.3">
      <c r="A25" s="25">
        <v>24</v>
      </c>
      <c r="B25" s="25" t="str">
        <f>_xlfn.XLOOKUP(tblprogress[[#This Row],[Planet '#]],tblPlanets[Planet '#],tblPlanets[Name])</f>
        <v>Strennus</v>
      </c>
      <c r="C25" s="25">
        <f>_xlfn.XLOOKUP(CargoROI[[#This Row],[Cargo Level]]+1,tblUpgradeStats[Level],tblUpgradeStats[Cargo Amount])</f>
        <v>5</v>
      </c>
      <c r="D25" s="41">
        <f>IFERROR(CargoROI[[#This Row],[Current Efficiency]]*(CargoROI[[#This Row],[Cargo Amount]]/CargoROI[[#This Row],[Next Cargo Amount]]),0)</f>
        <v>0</v>
      </c>
      <c r="E25" s="60">
        <f>CargoROI[[#This Row],[Future Deposit]]-CargoROI[[#This Row],[Current Deposit]]</f>
        <v>0</v>
      </c>
      <c r="F2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5" s="25">
        <f>_xlfn.XLOOKUP(CargoROI[[#This Row],[Planet '#]],tblprogress[Planet '#],tblprogress[Cargo Level])</f>
        <v>0</v>
      </c>
      <c r="I25" s="25">
        <f>_xlfn.XLOOKUP(CargoROI[[#This Row],[Planet '#]],tblprogress[Planet '#],tblprogress[Cargo])</f>
        <v>0</v>
      </c>
      <c r="J25" s="43">
        <f>_xlfn.XLOOKUP(CargoROI[[#This Row],[Planet '#]],tblprogress[Planet '#],tblprogress[Mining Rate])</f>
        <v>0</v>
      </c>
      <c r="K25" s="41">
        <f>_xlfn.XLOOKUP(CargoROI[[#This Row],[Planet '#]],tblprogress[Planet '#],tblprogress[Efficiency],0)</f>
        <v>0</v>
      </c>
      <c r="L25" s="73">
        <f>IF(CargoROI[[#This Row],[Current Efficiency]]&lt;=1,CargoROI[[#This Row],[Mining Rate]]*60,CargoROI[[#This Row],[Cargo Amount]]/CargoROI[[#This Row],[Total Time]]*60)</f>
        <v>0</v>
      </c>
      <c r="M25" s="73">
        <f>IF(CargoROI[[#This Row],[Future Efficiency]]&lt;=1,CargoROI[[#This Row],[Mining Rate]]*60,CargoROI[[#This Row],[Next Cargo Amount]]/CargoROI[[#This Row],[Total Time]]*60)</f>
        <v>0</v>
      </c>
      <c r="N25" s="34">
        <f>_xlfn.XLOOKUP(CargoROI[[#This Row],[Planet '#]],tblplanetvalue[Planet '#],tblplanetvalue[Total Worth])</f>
        <v>613</v>
      </c>
      <c r="O25" s="35" t="str">
        <f>_xlfn.XLOOKUP(CargoROI[[#This Row],[Planet '#]],tblplaneteco[Planet '#],tblplaneteco[Cargo Rate Cost])</f>
        <v/>
      </c>
      <c r="P25" s="63" t="str">
        <f>_xlfn.XLOOKUP(CargoROI[[#This Row],[Planet '#]],tblprogress[Planet '#],tblprogress[Total Time])</f>
        <v/>
      </c>
      <c r="Q25" s="14" t="str">
        <f>IF(
   _xlfn.XLOOKUP(CargoROI[[#This Row],[Planet '#]], tblPlanets[Planet '#], tblPlanets[Name])=CargoROI[[#This Row],[Name]],
   "Match",
   "Mismatch"
)</f>
        <v>Match</v>
      </c>
    </row>
    <row r="26" spans="1:17" x14ac:dyDescent="0.3">
      <c r="A26" s="24">
        <v>25</v>
      </c>
      <c r="B26" s="24" t="str">
        <f>_xlfn.XLOOKUP(tblprogress[[#This Row],[Planet '#]],tblPlanets[Planet '#],tblPlanets[Name])</f>
        <v>Osun</v>
      </c>
      <c r="C26" s="25">
        <f>_xlfn.XLOOKUP(CargoROI[[#This Row],[Cargo Level]]+1,tblUpgradeStats[Level],tblUpgradeStats[Cargo Amount])</f>
        <v>5</v>
      </c>
      <c r="D26" s="41">
        <f>IFERROR(CargoROI[[#This Row],[Current Efficiency]]*(CargoROI[[#This Row],[Cargo Amount]]/CargoROI[[#This Row],[Next Cargo Amount]]),0)</f>
        <v>0</v>
      </c>
      <c r="E26" s="60">
        <f>CargoROI[[#This Row],[Future Deposit]]-CargoROI[[#This Row],[Current Deposit]]</f>
        <v>0</v>
      </c>
      <c r="F2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6" s="25">
        <f>_xlfn.XLOOKUP(CargoROI[[#This Row],[Planet '#]],tblprogress[Planet '#],tblprogress[Cargo Level])</f>
        <v>0</v>
      </c>
      <c r="I26" s="25">
        <f>_xlfn.XLOOKUP(CargoROI[[#This Row],[Planet '#]],tblprogress[Planet '#],tblprogress[Cargo])</f>
        <v>0</v>
      </c>
      <c r="J26" s="43">
        <f>_xlfn.XLOOKUP(CargoROI[[#This Row],[Planet '#]],tblprogress[Planet '#],tblprogress[Mining Rate])</f>
        <v>0</v>
      </c>
      <c r="K26" s="41">
        <f>_xlfn.XLOOKUP(CargoROI[[#This Row],[Planet '#]],tblprogress[Planet '#],tblprogress[Efficiency],0)</f>
        <v>0</v>
      </c>
      <c r="L26" s="73">
        <f>IF(CargoROI[[#This Row],[Current Efficiency]]&lt;=1,CargoROI[[#This Row],[Mining Rate]]*60,CargoROI[[#This Row],[Cargo Amount]]/CargoROI[[#This Row],[Total Time]]*60)</f>
        <v>0</v>
      </c>
      <c r="M26" s="73">
        <f>IF(CargoROI[[#This Row],[Future Efficiency]]&lt;=1,CargoROI[[#This Row],[Mining Rate]]*60,CargoROI[[#This Row],[Next Cargo Amount]]/CargoROI[[#This Row],[Total Time]]*60)</f>
        <v>0</v>
      </c>
      <c r="N26" s="34">
        <f>_xlfn.XLOOKUP(CargoROI[[#This Row],[Planet '#]],tblplanetvalue[Planet '#],tblplanetvalue[Total Worth])</f>
        <v>650.20000000000005</v>
      </c>
      <c r="O26" s="35" t="str">
        <f>_xlfn.XLOOKUP(CargoROI[[#This Row],[Planet '#]],tblplaneteco[Planet '#],tblplaneteco[Cargo Rate Cost])</f>
        <v/>
      </c>
      <c r="P26" s="63" t="str">
        <f>_xlfn.XLOOKUP(CargoROI[[#This Row],[Planet '#]],tblprogress[Planet '#],tblprogress[Total Time])</f>
        <v/>
      </c>
      <c r="Q26" s="14" t="str">
        <f>IF(
   _xlfn.XLOOKUP(CargoROI[[#This Row],[Planet '#]], tblPlanets[Planet '#], tblPlanets[Name])=CargoROI[[#This Row],[Name]],
   "Match",
   "Mismatch"
)</f>
        <v>Match</v>
      </c>
    </row>
    <row r="27" spans="1:17" x14ac:dyDescent="0.3">
      <c r="A27" s="25">
        <v>26</v>
      </c>
      <c r="B27" s="25" t="str">
        <f>_xlfn.XLOOKUP(tblprogress[[#This Row],[Planet '#]],tblPlanets[Planet '#],tblPlanets[Name])</f>
        <v>Ploitari</v>
      </c>
      <c r="C27" s="25">
        <f>_xlfn.XLOOKUP(CargoROI[[#This Row],[Cargo Level]]+1,tblUpgradeStats[Level],tblUpgradeStats[Cargo Amount])</f>
        <v>5</v>
      </c>
      <c r="D27" s="41">
        <f>IFERROR(CargoROI[[#This Row],[Current Efficiency]]*(CargoROI[[#This Row],[Cargo Amount]]/CargoROI[[#This Row],[Next Cargo Amount]]),0)</f>
        <v>0</v>
      </c>
      <c r="E27" s="60">
        <f>CargoROI[[#This Row],[Future Deposit]]-CargoROI[[#This Row],[Current Deposit]]</f>
        <v>0</v>
      </c>
      <c r="F2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7" s="25">
        <f>_xlfn.XLOOKUP(CargoROI[[#This Row],[Planet '#]],tblprogress[Planet '#],tblprogress[Cargo Level])</f>
        <v>0</v>
      </c>
      <c r="I27" s="25">
        <f>_xlfn.XLOOKUP(CargoROI[[#This Row],[Planet '#]],tblprogress[Planet '#],tblprogress[Cargo])</f>
        <v>0</v>
      </c>
      <c r="J27" s="43">
        <f>_xlfn.XLOOKUP(CargoROI[[#This Row],[Planet '#]],tblprogress[Planet '#],tblprogress[Mining Rate])</f>
        <v>0</v>
      </c>
      <c r="K27" s="41">
        <f>_xlfn.XLOOKUP(CargoROI[[#This Row],[Planet '#]],tblprogress[Planet '#],tblprogress[Efficiency],0)</f>
        <v>0</v>
      </c>
      <c r="L27" s="73">
        <f>IF(CargoROI[[#This Row],[Current Efficiency]]&lt;=1,CargoROI[[#This Row],[Mining Rate]]*60,CargoROI[[#This Row],[Cargo Amount]]/CargoROI[[#This Row],[Total Time]]*60)</f>
        <v>0</v>
      </c>
      <c r="M27" s="73">
        <f>IF(CargoROI[[#This Row],[Future Efficiency]]&lt;=1,CargoROI[[#This Row],[Mining Rate]]*60,CargoROI[[#This Row],[Next Cargo Amount]]/CargoROI[[#This Row],[Total Time]]*60)</f>
        <v>0</v>
      </c>
      <c r="N27" s="34">
        <f>_xlfn.XLOOKUP(CargoROI[[#This Row],[Planet '#]],tblplanetvalue[Planet '#],tblplanetvalue[Total Worth])</f>
        <v>880</v>
      </c>
      <c r="O27" s="35" t="str">
        <f>_xlfn.XLOOKUP(CargoROI[[#This Row],[Planet '#]],tblplaneteco[Planet '#],tblplaneteco[Cargo Rate Cost])</f>
        <v/>
      </c>
      <c r="P27" s="63" t="str">
        <f>_xlfn.XLOOKUP(CargoROI[[#This Row],[Planet '#]],tblprogress[Planet '#],tblprogress[Total Time])</f>
        <v/>
      </c>
      <c r="Q27" s="14" t="str">
        <f>IF(
   _xlfn.XLOOKUP(CargoROI[[#This Row],[Planet '#]], tblPlanets[Planet '#], tblPlanets[Name])=CargoROI[[#This Row],[Name]],
   "Match",
   "Mismatch"
)</f>
        <v>Match</v>
      </c>
    </row>
    <row r="28" spans="1:17" x14ac:dyDescent="0.3">
      <c r="A28" s="24">
        <v>27</v>
      </c>
      <c r="B28" s="24" t="str">
        <f>_xlfn.XLOOKUP(tblprogress[[#This Row],[Planet '#]],tblPlanets[Planet '#],tblPlanets[Name])</f>
        <v>Elysta</v>
      </c>
      <c r="C28" s="25">
        <f>_xlfn.XLOOKUP(CargoROI[[#This Row],[Cargo Level]]+1,tblUpgradeStats[Level],tblUpgradeStats[Cargo Amount])</f>
        <v>5</v>
      </c>
      <c r="D28" s="41">
        <f>IFERROR(CargoROI[[#This Row],[Current Efficiency]]*(CargoROI[[#This Row],[Cargo Amount]]/CargoROI[[#This Row],[Next Cargo Amount]]),0)</f>
        <v>0</v>
      </c>
      <c r="E28" s="60">
        <f>CargoROI[[#This Row],[Future Deposit]]-CargoROI[[#This Row],[Current Deposit]]</f>
        <v>0</v>
      </c>
      <c r="F28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8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8" s="25">
        <f>_xlfn.XLOOKUP(CargoROI[[#This Row],[Planet '#]],tblprogress[Planet '#],tblprogress[Cargo Level])</f>
        <v>0</v>
      </c>
      <c r="I28" s="25">
        <f>_xlfn.XLOOKUP(CargoROI[[#This Row],[Planet '#]],tblprogress[Planet '#],tblprogress[Cargo])</f>
        <v>0</v>
      </c>
      <c r="J28" s="43">
        <f>_xlfn.XLOOKUP(CargoROI[[#This Row],[Planet '#]],tblprogress[Planet '#],tblprogress[Mining Rate])</f>
        <v>0</v>
      </c>
      <c r="K28" s="41">
        <f>_xlfn.XLOOKUP(CargoROI[[#This Row],[Planet '#]],tblprogress[Planet '#],tblprogress[Efficiency],0)</f>
        <v>0</v>
      </c>
      <c r="L28" s="73">
        <f>IF(CargoROI[[#This Row],[Current Efficiency]]&lt;=1,CargoROI[[#This Row],[Mining Rate]]*60,CargoROI[[#This Row],[Cargo Amount]]/CargoROI[[#This Row],[Total Time]]*60)</f>
        <v>0</v>
      </c>
      <c r="M28" s="73">
        <f>IF(CargoROI[[#This Row],[Future Efficiency]]&lt;=1,CargoROI[[#This Row],[Mining Rate]]*60,CargoROI[[#This Row],[Next Cargo Amount]]/CargoROI[[#This Row],[Total Time]]*60)</f>
        <v>0</v>
      </c>
      <c r="N28" s="34">
        <f>_xlfn.XLOOKUP(CargoROI[[#This Row],[Planet '#]],tblplanetvalue[Planet '#],tblplanetvalue[Total Worth])</f>
        <v>1600</v>
      </c>
      <c r="O28" s="35" t="str">
        <f>_xlfn.XLOOKUP(CargoROI[[#This Row],[Planet '#]],tblplaneteco[Planet '#],tblplaneteco[Cargo Rate Cost])</f>
        <v/>
      </c>
      <c r="P28" s="63" t="str">
        <f>_xlfn.XLOOKUP(CargoROI[[#This Row],[Planet '#]],tblprogress[Planet '#],tblprogress[Total Time])</f>
        <v/>
      </c>
      <c r="Q28" s="14" t="str">
        <f>IF(
   _xlfn.XLOOKUP(CargoROI[[#This Row],[Planet '#]], tblPlanets[Planet '#], tblPlanets[Name])=CargoROI[[#This Row],[Name]],
   "Match",
   "Mismatch"
)</f>
        <v>Match</v>
      </c>
    </row>
    <row r="29" spans="1:17" x14ac:dyDescent="0.3">
      <c r="A29" s="25">
        <v>28</v>
      </c>
      <c r="B29" s="25" t="str">
        <f>_xlfn.XLOOKUP(tblprogress[[#This Row],[Planet '#]],tblPlanets[Planet '#],tblPlanets[Name])</f>
        <v>Tikkun</v>
      </c>
      <c r="C29" s="25">
        <f>_xlfn.XLOOKUP(CargoROI[[#This Row],[Cargo Level]]+1,tblUpgradeStats[Level],tblUpgradeStats[Cargo Amount])</f>
        <v>5</v>
      </c>
      <c r="D29" s="41">
        <f>IFERROR(CargoROI[[#This Row],[Current Efficiency]]*(CargoROI[[#This Row],[Cargo Amount]]/CargoROI[[#This Row],[Next Cargo Amount]]),0)</f>
        <v>0</v>
      </c>
      <c r="E29" s="60">
        <f>CargoROI[[#This Row],[Future Deposit]]-CargoROI[[#This Row],[Current Deposit]]</f>
        <v>0</v>
      </c>
      <c r="F29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29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29" s="25">
        <f>_xlfn.XLOOKUP(CargoROI[[#This Row],[Planet '#]],tblprogress[Planet '#],tblprogress[Cargo Level])</f>
        <v>0</v>
      </c>
      <c r="I29" s="25">
        <f>_xlfn.XLOOKUP(CargoROI[[#This Row],[Planet '#]],tblprogress[Planet '#],tblprogress[Cargo])</f>
        <v>0</v>
      </c>
      <c r="J29" s="43">
        <f>_xlfn.XLOOKUP(CargoROI[[#This Row],[Planet '#]],tblprogress[Planet '#],tblprogress[Mining Rate])</f>
        <v>0</v>
      </c>
      <c r="K29" s="41">
        <f>_xlfn.XLOOKUP(CargoROI[[#This Row],[Planet '#]],tblprogress[Planet '#],tblprogress[Efficiency],0)</f>
        <v>0</v>
      </c>
      <c r="L29" s="73">
        <f>IF(CargoROI[[#This Row],[Current Efficiency]]&lt;=1,CargoROI[[#This Row],[Mining Rate]]*60,CargoROI[[#This Row],[Cargo Amount]]/CargoROI[[#This Row],[Total Time]]*60)</f>
        <v>0</v>
      </c>
      <c r="M29" s="73">
        <f>IF(CargoROI[[#This Row],[Future Efficiency]]&lt;=1,CargoROI[[#This Row],[Mining Rate]]*60,CargoROI[[#This Row],[Next Cargo Amount]]/CargoROI[[#This Row],[Total Time]]*60)</f>
        <v>0</v>
      </c>
      <c r="N29" s="34">
        <f>_xlfn.XLOOKUP(CargoROI[[#This Row],[Planet '#]],tblplanetvalue[Planet '#],tblplanetvalue[Total Worth])</f>
        <v>1770.5</v>
      </c>
      <c r="O29" s="35" t="str">
        <f>_xlfn.XLOOKUP(CargoROI[[#This Row],[Planet '#]],tblplaneteco[Planet '#],tblplaneteco[Cargo Rate Cost])</f>
        <v/>
      </c>
      <c r="P29" s="63" t="str">
        <f>_xlfn.XLOOKUP(CargoROI[[#This Row],[Planet '#]],tblprogress[Planet '#],tblprogress[Total Time])</f>
        <v/>
      </c>
      <c r="Q29" s="14" t="str">
        <f>IF(
   _xlfn.XLOOKUP(CargoROI[[#This Row],[Planet '#]], tblPlanets[Planet '#], tblPlanets[Name])=CargoROI[[#This Row],[Name]],
   "Match",
   "Mismatch"
)</f>
        <v>Match</v>
      </c>
    </row>
    <row r="30" spans="1:17" x14ac:dyDescent="0.3">
      <c r="A30" s="24">
        <v>29</v>
      </c>
      <c r="B30" s="24" t="str">
        <f>_xlfn.XLOOKUP(tblprogress[[#This Row],[Planet '#]],tblPlanets[Planet '#],tblPlanets[Name])</f>
        <v>Satent</v>
      </c>
      <c r="C30" s="25">
        <f>_xlfn.XLOOKUP(CargoROI[[#This Row],[Cargo Level]]+1,tblUpgradeStats[Level],tblUpgradeStats[Cargo Amount])</f>
        <v>5</v>
      </c>
      <c r="D30" s="41">
        <f>IFERROR(CargoROI[[#This Row],[Current Efficiency]]*(CargoROI[[#This Row],[Cargo Amount]]/CargoROI[[#This Row],[Next Cargo Amount]]),0)</f>
        <v>0</v>
      </c>
      <c r="E30" s="60">
        <f>CargoROI[[#This Row],[Future Deposit]]-CargoROI[[#This Row],[Current Deposit]]</f>
        <v>0</v>
      </c>
      <c r="F30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0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0" s="25">
        <f>_xlfn.XLOOKUP(CargoROI[[#This Row],[Planet '#]],tblprogress[Planet '#],tblprogress[Cargo Level])</f>
        <v>0</v>
      </c>
      <c r="I30" s="25">
        <f>_xlfn.XLOOKUP(CargoROI[[#This Row],[Planet '#]],tblprogress[Planet '#],tblprogress[Cargo])</f>
        <v>0</v>
      </c>
      <c r="J30" s="43">
        <f>_xlfn.XLOOKUP(CargoROI[[#This Row],[Planet '#]],tblprogress[Planet '#],tblprogress[Mining Rate])</f>
        <v>0</v>
      </c>
      <c r="K30" s="41">
        <f>_xlfn.XLOOKUP(CargoROI[[#This Row],[Planet '#]],tblprogress[Planet '#],tblprogress[Efficiency],0)</f>
        <v>0</v>
      </c>
      <c r="L30" s="73">
        <f>IF(CargoROI[[#This Row],[Current Efficiency]]&lt;=1,CargoROI[[#This Row],[Mining Rate]]*60,CargoROI[[#This Row],[Cargo Amount]]/CargoROI[[#This Row],[Total Time]]*60)</f>
        <v>0</v>
      </c>
      <c r="M30" s="73">
        <f>IF(CargoROI[[#This Row],[Future Efficiency]]&lt;=1,CargoROI[[#This Row],[Mining Rate]]*60,CargoROI[[#This Row],[Next Cargo Amount]]/CargoROI[[#This Row],[Total Time]]*60)</f>
        <v>0</v>
      </c>
      <c r="N30" s="34">
        <f>_xlfn.XLOOKUP(CargoROI[[#This Row],[Planet '#]],tblplanetvalue[Planet '#],tblplanetvalue[Total Worth])</f>
        <v>2392</v>
      </c>
      <c r="O30" s="35" t="str">
        <f>_xlfn.XLOOKUP(CargoROI[[#This Row],[Planet '#]],tblplaneteco[Planet '#],tblplaneteco[Cargo Rate Cost])</f>
        <v/>
      </c>
      <c r="P30" s="63" t="str">
        <f>_xlfn.XLOOKUP(CargoROI[[#This Row],[Planet '#]],tblprogress[Planet '#],tblprogress[Total Time])</f>
        <v/>
      </c>
      <c r="Q30" s="14" t="str">
        <f>IF(
   _xlfn.XLOOKUP(CargoROI[[#This Row],[Planet '#]], tblPlanets[Planet '#], tblPlanets[Name])=CargoROI[[#This Row],[Name]],
   "Match",
   "Mismatch"
)</f>
        <v>Match</v>
      </c>
    </row>
    <row r="31" spans="1:17" x14ac:dyDescent="0.3">
      <c r="A31" s="25">
        <v>30</v>
      </c>
      <c r="B31" s="25" t="str">
        <f>_xlfn.XLOOKUP(tblprogress[[#This Row],[Planet '#]],tblPlanets[Planet '#],tblPlanets[Name])</f>
        <v>Urla Rast</v>
      </c>
      <c r="C31" s="25">
        <f>_xlfn.XLOOKUP(CargoROI[[#This Row],[Cargo Level]]+1,tblUpgradeStats[Level],tblUpgradeStats[Cargo Amount])</f>
        <v>5</v>
      </c>
      <c r="D31" s="41">
        <f>IFERROR(CargoROI[[#This Row],[Current Efficiency]]*(CargoROI[[#This Row],[Cargo Amount]]/CargoROI[[#This Row],[Next Cargo Amount]]),0)</f>
        <v>0</v>
      </c>
      <c r="E31" s="60">
        <f>CargoROI[[#This Row],[Future Deposit]]-CargoROI[[#This Row],[Current Deposit]]</f>
        <v>0</v>
      </c>
      <c r="F31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1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1" s="25">
        <f>_xlfn.XLOOKUP(CargoROI[[#This Row],[Planet '#]],tblprogress[Planet '#],tblprogress[Cargo Level])</f>
        <v>0</v>
      </c>
      <c r="I31" s="25">
        <f>_xlfn.XLOOKUP(CargoROI[[#This Row],[Planet '#]],tblprogress[Planet '#],tblprogress[Cargo])</f>
        <v>0</v>
      </c>
      <c r="J31" s="43">
        <f>_xlfn.XLOOKUP(CargoROI[[#This Row],[Planet '#]],tblprogress[Planet '#],tblprogress[Mining Rate])</f>
        <v>0</v>
      </c>
      <c r="K31" s="41">
        <f>_xlfn.XLOOKUP(CargoROI[[#This Row],[Planet '#]],tblprogress[Planet '#],tblprogress[Efficiency],0)</f>
        <v>0</v>
      </c>
      <c r="L31" s="73">
        <f>IF(CargoROI[[#This Row],[Current Efficiency]]&lt;=1,CargoROI[[#This Row],[Mining Rate]]*60,CargoROI[[#This Row],[Cargo Amount]]/CargoROI[[#This Row],[Total Time]]*60)</f>
        <v>0</v>
      </c>
      <c r="M31" s="73">
        <f>IF(CargoROI[[#This Row],[Future Efficiency]]&lt;=1,CargoROI[[#This Row],[Mining Rate]]*60,CargoROI[[#This Row],[Next Cargo Amount]]/CargoROI[[#This Row],[Total Time]]*60)</f>
        <v>0</v>
      </c>
      <c r="N31" s="34">
        <f>_xlfn.XLOOKUP(CargoROI[[#This Row],[Planet '#]],tblplanetvalue[Planet '#],tblplanetvalue[Total Worth])</f>
        <v>3166</v>
      </c>
      <c r="O31" s="35" t="str">
        <f>_xlfn.XLOOKUP(CargoROI[[#This Row],[Planet '#]],tblplaneteco[Planet '#],tblplaneteco[Cargo Rate Cost])</f>
        <v/>
      </c>
      <c r="P31" s="63" t="str">
        <f>_xlfn.XLOOKUP(CargoROI[[#This Row],[Planet '#]],tblprogress[Planet '#],tblprogress[Total Time])</f>
        <v/>
      </c>
      <c r="Q31" s="14" t="str">
        <f>IF(
   _xlfn.XLOOKUP(CargoROI[[#This Row],[Planet '#]], tblPlanets[Planet '#], tblPlanets[Name])=CargoROI[[#This Row],[Name]],
   "Match",
   "Mismatch"
)</f>
        <v>Match</v>
      </c>
    </row>
    <row r="32" spans="1:17" x14ac:dyDescent="0.3">
      <c r="A32" s="24">
        <v>31</v>
      </c>
      <c r="B32" s="24" t="str">
        <f>_xlfn.XLOOKUP(tblprogress[[#This Row],[Planet '#]],tblPlanets[Planet '#],tblPlanets[Name])</f>
        <v>Vular</v>
      </c>
      <c r="C32" s="25">
        <f>_xlfn.XLOOKUP(CargoROI[[#This Row],[Cargo Level]]+1,tblUpgradeStats[Level],tblUpgradeStats[Cargo Amount])</f>
        <v>5</v>
      </c>
      <c r="D32" s="41">
        <f>IFERROR(CargoROI[[#This Row],[Current Efficiency]]*(CargoROI[[#This Row],[Cargo Amount]]/CargoROI[[#This Row],[Next Cargo Amount]]),0)</f>
        <v>0</v>
      </c>
      <c r="E32" s="60">
        <f>CargoROI[[#This Row],[Future Deposit]]-CargoROI[[#This Row],[Current Deposit]]</f>
        <v>0</v>
      </c>
      <c r="F3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2" s="25">
        <f>_xlfn.XLOOKUP(CargoROI[[#This Row],[Planet '#]],tblprogress[Planet '#],tblprogress[Cargo Level])</f>
        <v>0</v>
      </c>
      <c r="I32" s="25">
        <f>_xlfn.XLOOKUP(CargoROI[[#This Row],[Planet '#]],tblprogress[Planet '#],tblprogress[Cargo])</f>
        <v>0</v>
      </c>
      <c r="J32" s="43">
        <f>_xlfn.XLOOKUP(CargoROI[[#This Row],[Planet '#]],tblprogress[Planet '#],tblprogress[Mining Rate])</f>
        <v>0</v>
      </c>
      <c r="K32" s="41">
        <f>_xlfn.XLOOKUP(CargoROI[[#This Row],[Planet '#]],tblprogress[Planet '#],tblprogress[Efficiency],0)</f>
        <v>0</v>
      </c>
      <c r="L32" s="73">
        <f>IF(CargoROI[[#This Row],[Current Efficiency]]&lt;=1,CargoROI[[#This Row],[Mining Rate]]*60,CargoROI[[#This Row],[Cargo Amount]]/CargoROI[[#This Row],[Total Time]]*60)</f>
        <v>0</v>
      </c>
      <c r="M32" s="73">
        <f>IF(CargoROI[[#This Row],[Future Efficiency]]&lt;=1,CargoROI[[#This Row],[Mining Rate]]*60,CargoROI[[#This Row],[Next Cargo Amount]]/CargoROI[[#This Row],[Total Time]]*60)</f>
        <v>0</v>
      </c>
      <c r="N32" s="34">
        <f>_xlfn.XLOOKUP(CargoROI[[#This Row],[Planet '#]],tblplanetvalue[Planet '#],tblplanetvalue[Total Worth])</f>
        <v>4790</v>
      </c>
      <c r="O32" s="35" t="str">
        <f>_xlfn.XLOOKUP(CargoROI[[#This Row],[Planet '#]],tblplaneteco[Planet '#],tblplaneteco[Cargo Rate Cost])</f>
        <v/>
      </c>
      <c r="P32" s="63" t="str">
        <f>_xlfn.XLOOKUP(CargoROI[[#This Row],[Planet '#]],tblprogress[Planet '#],tblprogress[Total Time])</f>
        <v/>
      </c>
      <c r="Q32" s="14" t="str">
        <f>IF(
   _xlfn.XLOOKUP(CargoROI[[#This Row],[Planet '#]], tblPlanets[Planet '#], tblPlanets[Name])=CargoROI[[#This Row],[Name]],
   "Match",
   "Mismatch"
)</f>
        <v>Match</v>
      </c>
    </row>
    <row r="33" spans="1:17" x14ac:dyDescent="0.3">
      <c r="A33" s="25">
        <v>32</v>
      </c>
      <c r="B33" s="25" t="str">
        <f>_xlfn.XLOOKUP(tblprogress[[#This Row],[Planet '#]],tblPlanets[Planet '#],tblPlanets[Name])</f>
        <v>Nibiru</v>
      </c>
      <c r="C33" s="25">
        <f>_xlfn.XLOOKUP(CargoROI[[#This Row],[Cargo Level]]+1,tblUpgradeStats[Level],tblUpgradeStats[Cargo Amount])</f>
        <v>5</v>
      </c>
      <c r="D33" s="41">
        <f>IFERROR(CargoROI[[#This Row],[Current Efficiency]]*(CargoROI[[#This Row],[Cargo Amount]]/CargoROI[[#This Row],[Next Cargo Amount]]),0)</f>
        <v>0</v>
      </c>
      <c r="E33" s="60">
        <f>CargoROI[[#This Row],[Future Deposit]]-CargoROI[[#This Row],[Current Deposit]]</f>
        <v>0</v>
      </c>
      <c r="F3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3" s="25">
        <f>_xlfn.XLOOKUP(CargoROI[[#This Row],[Planet '#]],tblprogress[Planet '#],tblprogress[Cargo Level])</f>
        <v>0</v>
      </c>
      <c r="I33" s="25">
        <f>_xlfn.XLOOKUP(CargoROI[[#This Row],[Planet '#]],tblprogress[Planet '#],tblprogress[Cargo])</f>
        <v>0</v>
      </c>
      <c r="J33" s="43">
        <f>_xlfn.XLOOKUP(CargoROI[[#This Row],[Planet '#]],tblprogress[Planet '#],tblprogress[Mining Rate])</f>
        <v>0</v>
      </c>
      <c r="K33" s="41">
        <f>_xlfn.XLOOKUP(CargoROI[[#This Row],[Planet '#]],tblprogress[Planet '#],tblprogress[Efficiency],0)</f>
        <v>0</v>
      </c>
      <c r="L33" s="73">
        <f>IF(CargoROI[[#This Row],[Current Efficiency]]&lt;=1,CargoROI[[#This Row],[Mining Rate]]*60,CargoROI[[#This Row],[Cargo Amount]]/CargoROI[[#This Row],[Total Time]]*60)</f>
        <v>0</v>
      </c>
      <c r="M33" s="73">
        <f>IF(CargoROI[[#This Row],[Future Efficiency]]&lt;=1,CargoROI[[#This Row],[Mining Rate]]*60,CargoROI[[#This Row],[Next Cargo Amount]]/CargoROI[[#This Row],[Total Time]]*60)</f>
        <v>0</v>
      </c>
      <c r="N33" s="34">
        <f>_xlfn.XLOOKUP(CargoROI[[#This Row],[Planet '#]],tblplanetvalue[Planet '#],tblplanetvalue[Total Worth])</f>
        <v>5320</v>
      </c>
      <c r="O33" s="35" t="str">
        <f>_xlfn.XLOOKUP(CargoROI[[#This Row],[Planet '#]],tblplaneteco[Planet '#],tblplaneteco[Cargo Rate Cost])</f>
        <v/>
      </c>
      <c r="P33" s="63" t="str">
        <f>_xlfn.XLOOKUP(CargoROI[[#This Row],[Planet '#]],tblprogress[Planet '#],tblprogress[Total Time])</f>
        <v/>
      </c>
      <c r="Q33" s="14" t="str">
        <f>IF(
   _xlfn.XLOOKUP(CargoROI[[#This Row],[Planet '#]], tblPlanets[Planet '#], tblPlanets[Name])=CargoROI[[#This Row],[Name]],
   "Match",
   "Mismatch"
)</f>
        <v>Match</v>
      </c>
    </row>
    <row r="34" spans="1:17" x14ac:dyDescent="0.3">
      <c r="A34" s="24">
        <v>33</v>
      </c>
      <c r="B34" s="24" t="str">
        <f>_xlfn.XLOOKUP(tblprogress[[#This Row],[Planet '#]],tblPlanets[Planet '#],tblPlanets[Name])</f>
        <v>Xena</v>
      </c>
      <c r="C34" s="25">
        <f>_xlfn.XLOOKUP(CargoROI[[#This Row],[Cargo Level]]+1,tblUpgradeStats[Level],tblUpgradeStats[Cargo Amount])</f>
        <v>5</v>
      </c>
      <c r="D34" s="41">
        <f>IFERROR(CargoROI[[#This Row],[Current Efficiency]]*(CargoROI[[#This Row],[Cargo Amount]]/CargoROI[[#This Row],[Next Cargo Amount]]),0)</f>
        <v>0</v>
      </c>
      <c r="E34" s="60">
        <f>CargoROI[[#This Row],[Future Deposit]]-CargoROI[[#This Row],[Current Deposit]]</f>
        <v>0</v>
      </c>
      <c r="F3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4" s="25">
        <f>_xlfn.XLOOKUP(CargoROI[[#This Row],[Planet '#]],tblprogress[Planet '#],tblprogress[Cargo Level])</f>
        <v>0</v>
      </c>
      <c r="I34" s="25">
        <f>_xlfn.XLOOKUP(CargoROI[[#This Row],[Planet '#]],tblprogress[Planet '#],tblprogress[Cargo])</f>
        <v>0</v>
      </c>
      <c r="J34" s="43">
        <f>_xlfn.XLOOKUP(CargoROI[[#This Row],[Planet '#]],tblprogress[Planet '#],tblprogress[Mining Rate])</f>
        <v>0</v>
      </c>
      <c r="K34" s="41">
        <f>_xlfn.XLOOKUP(CargoROI[[#This Row],[Planet '#]],tblprogress[Planet '#],tblprogress[Efficiency],0)</f>
        <v>0</v>
      </c>
      <c r="L34" s="73">
        <f>IF(CargoROI[[#This Row],[Current Efficiency]]&lt;=1,CargoROI[[#This Row],[Mining Rate]]*60,CargoROI[[#This Row],[Cargo Amount]]/CargoROI[[#This Row],[Total Time]]*60)</f>
        <v>0</v>
      </c>
      <c r="M34" s="73">
        <f>IF(CargoROI[[#This Row],[Future Efficiency]]&lt;=1,CargoROI[[#This Row],[Mining Rate]]*60,CargoROI[[#This Row],[Next Cargo Amount]]/CargoROI[[#This Row],[Total Time]]*60)</f>
        <v>0</v>
      </c>
      <c r="N34" s="34">
        <f>_xlfn.XLOOKUP(CargoROI[[#This Row],[Planet '#]],tblplanetvalue[Planet '#],tblplanetvalue[Total Worth])</f>
        <v>7800</v>
      </c>
      <c r="O34" s="35" t="str">
        <f>_xlfn.XLOOKUP(CargoROI[[#This Row],[Planet '#]],tblplaneteco[Planet '#],tblplaneteco[Cargo Rate Cost])</f>
        <v/>
      </c>
      <c r="P34" s="63" t="str">
        <f>_xlfn.XLOOKUP(CargoROI[[#This Row],[Planet '#]],tblprogress[Planet '#],tblprogress[Total Time])</f>
        <v/>
      </c>
      <c r="Q34" s="14" t="str">
        <f>IF(
   _xlfn.XLOOKUP(CargoROI[[#This Row],[Planet '#]], tblPlanets[Planet '#], tblPlanets[Name])=CargoROI[[#This Row],[Name]],
   "Match",
   "Mismatch"
)</f>
        <v>Match</v>
      </c>
    </row>
    <row r="35" spans="1:17" x14ac:dyDescent="0.3">
      <c r="A35" s="25">
        <v>34</v>
      </c>
      <c r="B35" s="25" t="str">
        <f>_xlfn.XLOOKUP(tblprogress[[#This Row],[Planet '#]],tblPlanets[Planet '#],tblPlanets[Name])</f>
        <v>Rupert</v>
      </c>
      <c r="C35" s="25">
        <f>_xlfn.XLOOKUP(CargoROI[[#This Row],[Cargo Level]]+1,tblUpgradeStats[Level],tblUpgradeStats[Cargo Amount])</f>
        <v>5</v>
      </c>
      <c r="D35" s="41">
        <f>IFERROR(CargoROI[[#This Row],[Current Efficiency]]*(CargoROI[[#This Row],[Cargo Amount]]/CargoROI[[#This Row],[Next Cargo Amount]]),0)</f>
        <v>0</v>
      </c>
      <c r="E35" s="60">
        <f>CargoROI[[#This Row],[Future Deposit]]-CargoROI[[#This Row],[Current Deposit]]</f>
        <v>0</v>
      </c>
      <c r="F3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5" s="25">
        <f>_xlfn.XLOOKUP(CargoROI[[#This Row],[Planet '#]],tblprogress[Planet '#],tblprogress[Cargo Level])</f>
        <v>0</v>
      </c>
      <c r="I35" s="25">
        <f>_xlfn.XLOOKUP(CargoROI[[#This Row],[Planet '#]],tblprogress[Planet '#],tblprogress[Cargo])</f>
        <v>0</v>
      </c>
      <c r="J35" s="43">
        <f>_xlfn.XLOOKUP(CargoROI[[#This Row],[Planet '#]],tblprogress[Planet '#],tblprogress[Mining Rate])</f>
        <v>0</v>
      </c>
      <c r="K35" s="41">
        <f>_xlfn.XLOOKUP(CargoROI[[#This Row],[Planet '#]],tblprogress[Planet '#],tblprogress[Efficiency],0)</f>
        <v>0</v>
      </c>
      <c r="L35" s="73">
        <f>IF(CargoROI[[#This Row],[Current Efficiency]]&lt;=1,CargoROI[[#This Row],[Mining Rate]]*60,CargoROI[[#This Row],[Cargo Amount]]/CargoROI[[#This Row],[Total Time]]*60)</f>
        <v>0</v>
      </c>
      <c r="M35" s="73">
        <f>IF(CargoROI[[#This Row],[Future Efficiency]]&lt;=1,CargoROI[[#This Row],[Mining Rate]]*60,CargoROI[[#This Row],[Next Cargo Amount]]/CargoROI[[#This Row],[Total Time]]*60)</f>
        <v>0</v>
      </c>
      <c r="N35" s="34">
        <f>_xlfn.XLOOKUP(CargoROI[[#This Row],[Planet '#]],tblplanetvalue[Planet '#],tblplanetvalue[Total Worth])</f>
        <v>6890</v>
      </c>
      <c r="O35" s="35" t="str">
        <f>_xlfn.XLOOKUP(CargoROI[[#This Row],[Planet '#]],tblplaneteco[Planet '#],tblplaneteco[Cargo Rate Cost])</f>
        <v/>
      </c>
      <c r="P35" s="63" t="str">
        <f>_xlfn.XLOOKUP(CargoROI[[#This Row],[Planet '#]],tblprogress[Planet '#],tblprogress[Total Time])</f>
        <v/>
      </c>
      <c r="Q35" s="14" t="str">
        <f>IF(
   _xlfn.XLOOKUP(CargoROI[[#This Row],[Planet '#]], tblPlanets[Planet '#], tblPlanets[Name])=CargoROI[[#This Row],[Name]],
   "Match",
   "Mismatch"
)</f>
        <v>Match</v>
      </c>
    </row>
    <row r="36" spans="1:17" x14ac:dyDescent="0.3">
      <c r="A36" s="24">
        <v>35</v>
      </c>
      <c r="B36" s="24" t="str">
        <f>_xlfn.XLOOKUP(tblprogress[[#This Row],[Planet '#]],tblPlanets[Planet '#],tblPlanets[Name])</f>
        <v>Pax</v>
      </c>
      <c r="C36" s="25">
        <f>_xlfn.XLOOKUP(CargoROI[[#This Row],[Cargo Level]]+1,tblUpgradeStats[Level],tblUpgradeStats[Cargo Amount])</f>
        <v>5</v>
      </c>
      <c r="D36" s="41">
        <f>IFERROR(CargoROI[[#This Row],[Current Efficiency]]*(CargoROI[[#This Row],[Cargo Amount]]/CargoROI[[#This Row],[Next Cargo Amount]]),0)</f>
        <v>0</v>
      </c>
      <c r="E36" s="60">
        <f>CargoROI[[#This Row],[Future Deposit]]-CargoROI[[#This Row],[Current Deposit]]</f>
        <v>0</v>
      </c>
      <c r="F3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6" s="25">
        <f>_xlfn.XLOOKUP(CargoROI[[#This Row],[Planet '#]],tblprogress[Planet '#],tblprogress[Cargo Level])</f>
        <v>0</v>
      </c>
      <c r="I36" s="25">
        <f>_xlfn.XLOOKUP(CargoROI[[#This Row],[Planet '#]],tblprogress[Planet '#],tblprogress[Cargo])</f>
        <v>0</v>
      </c>
      <c r="J36" s="43">
        <f>_xlfn.XLOOKUP(CargoROI[[#This Row],[Planet '#]],tblprogress[Planet '#],tblprogress[Mining Rate])</f>
        <v>0</v>
      </c>
      <c r="K36" s="41">
        <f>_xlfn.XLOOKUP(CargoROI[[#This Row],[Planet '#]],tblprogress[Planet '#],tblprogress[Efficiency],0)</f>
        <v>0</v>
      </c>
      <c r="L36" s="73">
        <f>IF(CargoROI[[#This Row],[Current Efficiency]]&lt;=1,CargoROI[[#This Row],[Mining Rate]]*60,CargoROI[[#This Row],[Cargo Amount]]/CargoROI[[#This Row],[Total Time]]*60)</f>
        <v>0</v>
      </c>
      <c r="M36" s="73">
        <f>IF(CargoROI[[#This Row],[Future Efficiency]]&lt;=1,CargoROI[[#This Row],[Mining Rate]]*60,CargoROI[[#This Row],[Next Cargo Amount]]/CargoROI[[#This Row],[Total Time]]*60)</f>
        <v>0</v>
      </c>
      <c r="N36" s="34">
        <f>_xlfn.XLOOKUP(CargoROI[[#This Row],[Planet '#]],tblplanetvalue[Planet '#],tblplanetvalue[Total Worth])</f>
        <v>8920</v>
      </c>
      <c r="O36" s="35" t="str">
        <f>_xlfn.XLOOKUP(CargoROI[[#This Row],[Planet '#]],tblplaneteco[Planet '#],tblplaneteco[Cargo Rate Cost])</f>
        <v/>
      </c>
      <c r="P36" s="63" t="str">
        <f>_xlfn.XLOOKUP(CargoROI[[#This Row],[Planet '#]],tblprogress[Planet '#],tblprogress[Total Time])</f>
        <v/>
      </c>
      <c r="Q36" s="14" t="str">
        <f>IF(
   _xlfn.XLOOKUP(CargoROI[[#This Row],[Planet '#]], tblPlanets[Planet '#], tblPlanets[Name])=CargoROI[[#This Row],[Name]],
   "Match",
   "Mismatch"
)</f>
        <v>Match</v>
      </c>
    </row>
    <row r="37" spans="1:17" x14ac:dyDescent="0.3">
      <c r="A37" s="25">
        <v>36</v>
      </c>
      <c r="B37" s="25" t="str">
        <f>_xlfn.XLOOKUP(tblprogress[[#This Row],[Planet '#]],tblPlanets[Planet '#],tblPlanets[Name])</f>
        <v>Ivyra</v>
      </c>
      <c r="C37" s="25">
        <f>_xlfn.XLOOKUP(CargoROI[[#This Row],[Cargo Level]]+1,tblUpgradeStats[Level],tblUpgradeStats[Cargo Amount])</f>
        <v>5</v>
      </c>
      <c r="D37" s="41">
        <f>IFERROR(CargoROI[[#This Row],[Current Efficiency]]*(CargoROI[[#This Row],[Cargo Amount]]/CargoROI[[#This Row],[Next Cargo Amount]]),0)</f>
        <v>0</v>
      </c>
      <c r="E37" s="60">
        <f>CargoROI[[#This Row],[Future Deposit]]-CargoROI[[#This Row],[Current Deposit]]</f>
        <v>0</v>
      </c>
      <c r="F3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7" s="25">
        <f>_xlfn.XLOOKUP(CargoROI[[#This Row],[Planet '#]],tblprogress[Planet '#],tblprogress[Cargo Level])</f>
        <v>0</v>
      </c>
      <c r="I37" s="25">
        <f>_xlfn.XLOOKUP(CargoROI[[#This Row],[Planet '#]],tblprogress[Planet '#],tblprogress[Cargo])</f>
        <v>0</v>
      </c>
      <c r="J37" s="43">
        <f>_xlfn.XLOOKUP(CargoROI[[#This Row],[Planet '#]],tblprogress[Planet '#],tblprogress[Mining Rate])</f>
        <v>0</v>
      </c>
      <c r="K37" s="41">
        <f>_xlfn.XLOOKUP(CargoROI[[#This Row],[Planet '#]],tblprogress[Planet '#],tblprogress[Efficiency],0)</f>
        <v>0</v>
      </c>
      <c r="L37" s="73">
        <f>IF(CargoROI[[#This Row],[Current Efficiency]]&lt;=1,CargoROI[[#This Row],[Mining Rate]]*60,CargoROI[[#This Row],[Cargo Amount]]/CargoROI[[#This Row],[Total Time]]*60)</f>
        <v>0</v>
      </c>
      <c r="M37" s="73">
        <f>IF(CargoROI[[#This Row],[Future Efficiency]]&lt;=1,CargoROI[[#This Row],[Mining Rate]]*60,CargoROI[[#This Row],[Next Cargo Amount]]/CargoROI[[#This Row],[Total Time]]*60)</f>
        <v>0</v>
      </c>
      <c r="N37" s="34">
        <f>_xlfn.XLOOKUP(CargoROI[[#This Row],[Planet '#]],tblplanetvalue[Planet '#],tblplanetvalue[Total Worth])</f>
        <v>17500</v>
      </c>
      <c r="O37" s="35" t="str">
        <f>_xlfn.XLOOKUP(CargoROI[[#This Row],[Planet '#]],tblplaneteco[Planet '#],tblplaneteco[Cargo Rate Cost])</f>
        <v/>
      </c>
      <c r="P37" s="63" t="str">
        <f>_xlfn.XLOOKUP(CargoROI[[#This Row],[Planet '#]],tblprogress[Planet '#],tblprogress[Total Time])</f>
        <v/>
      </c>
      <c r="Q37" s="14" t="str">
        <f>IF(
   _xlfn.XLOOKUP(CargoROI[[#This Row],[Planet '#]], tblPlanets[Planet '#], tblPlanets[Name])=CargoROI[[#This Row],[Name]],
   "Match",
   "Mismatch"
)</f>
        <v>Match</v>
      </c>
    </row>
    <row r="38" spans="1:17" x14ac:dyDescent="0.3">
      <c r="A38" s="24">
        <v>37</v>
      </c>
      <c r="B38" s="24" t="str">
        <f>_xlfn.XLOOKUP(tblprogress[[#This Row],[Planet '#]],tblPlanets[Planet '#],tblPlanets[Name])</f>
        <v>Utritis</v>
      </c>
      <c r="C38" s="25">
        <f>_xlfn.XLOOKUP(CargoROI[[#This Row],[Cargo Level]]+1,tblUpgradeStats[Level],tblUpgradeStats[Cargo Amount])</f>
        <v>5</v>
      </c>
      <c r="D38" s="41">
        <f>IFERROR(CargoROI[[#This Row],[Current Efficiency]]*(CargoROI[[#This Row],[Cargo Amount]]/CargoROI[[#This Row],[Next Cargo Amount]]),0)</f>
        <v>0</v>
      </c>
      <c r="E38" s="60">
        <f>CargoROI[[#This Row],[Future Deposit]]-CargoROI[[#This Row],[Current Deposit]]</f>
        <v>0</v>
      </c>
      <c r="F38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8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8" s="25">
        <f>_xlfn.XLOOKUP(CargoROI[[#This Row],[Planet '#]],tblprogress[Planet '#],tblprogress[Cargo Level])</f>
        <v>0</v>
      </c>
      <c r="I38" s="25">
        <f>_xlfn.XLOOKUP(CargoROI[[#This Row],[Planet '#]],tblprogress[Planet '#],tblprogress[Cargo])</f>
        <v>0</v>
      </c>
      <c r="J38" s="43">
        <f>_xlfn.XLOOKUP(CargoROI[[#This Row],[Planet '#]],tblprogress[Planet '#],tblprogress[Mining Rate])</f>
        <v>0</v>
      </c>
      <c r="K38" s="41">
        <f>_xlfn.XLOOKUP(CargoROI[[#This Row],[Planet '#]],tblprogress[Planet '#],tblprogress[Efficiency],0)</f>
        <v>0</v>
      </c>
      <c r="L38" s="73">
        <f>IF(CargoROI[[#This Row],[Current Efficiency]]&lt;=1,CargoROI[[#This Row],[Mining Rate]]*60,CargoROI[[#This Row],[Cargo Amount]]/CargoROI[[#This Row],[Total Time]]*60)</f>
        <v>0</v>
      </c>
      <c r="M38" s="73">
        <f>IF(CargoROI[[#This Row],[Future Efficiency]]&lt;=1,CargoROI[[#This Row],[Mining Rate]]*60,CargoROI[[#This Row],[Next Cargo Amount]]/CargoROI[[#This Row],[Total Time]]*60)</f>
        <v>0</v>
      </c>
      <c r="N38" s="34">
        <f>_xlfn.XLOOKUP(CargoROI[[#This Row],[Planet '#]],tblplanetvalue[Planet '#],tblplanetvalue[Total Worth])</f>
        <v>22000</v>
      </c>
      <c r="O38" s="35" t="str">
        <f>_xlfn.XLOOKUP(CargoROI[[#This Row],[Planet '#]],tblplaneteco[Planet '#],tblplaneteco[Cargo Rate Cost])</f>
        <v/>
      </c>
      <c r="P38" s="63" t="str">
        <f>_xlfn.XLOOKUP(CargoROI[[#This Row],[Planet '#]],tblprogress[Planet '#],tblprogress[Total Time])</f>
        <v/>
      </c>
      <c r="Q38" s="14" t="str">
        <f>IF(
   _xlfn.XLOOKUP(CargoROI[[#This Row],[Planet '#]], tblPlanets[Planet '#], tblPlanets[Name])=CargoROI[[#This Row],[Name]],
   "Match",
   "Mismatch"
)</f>
        <v>Match</v>
      </c>
    </row>
    <row r="39" spans="1:17" x14ac:dyDescent="0.3">
      <c r="A39" s="25">
        <v>38</v>
      </c>
      <c r="B39" s="25" t="str">
        <f>_xlfn.XLOOKUP(tblprogress[[#This Row],[Planet '#]],tblPlanets[Planet '#],tblPlanets[Name])</f>
        <v>Dosie</v>
      </c>
      <c r="C39" s="25">
        <f>_xlfn.XLOOKUP(CargoROI[[#This Row],[Cargo Level]]+1,tblUpgradeStats[Level],tblUpgradeStats[Cargo Amount])</f>
        <v>5</v>
      </c>
      <c r="D39" s="41">
        <f>IFERROR(CargoROI[[#This Row],[Current Efficiency]]*(CargoROI[[#This Row],[Cargo Amount]]/CargoROI[[#This Row],[Next Cargo Amount]]),0)</f>
        <v>0</v>
      </c>
      <c r="E39" s="60">
        <f>CargoROI[[#This Row],[Future Deposit]]-CargoROI[[#This Row],[Current Deposit]]</f>
        <v>0</v>
      </c>
      <c r="F39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39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39" s="25">
        <f>_xlfn.XLOOKUP(CargoROI[[#This Row],[Planet '#]],tblprogress[Planet '#],tblprogress[Cargo Level])</f>
        <v>0</v>
      </c>
      <c r="I39" s="25">
        <f>_xlfn.XLOOKUP(CargoROI[[#This Row],[Planet '#]],tblprogress[Planet '#],tblprogress[Cargo])</f>
        <v>0</v>
      </c>
      <c r="J39" s="43">
        <f>_xlfn.XLOOKUP(CargoROI[[#This Row],[Planet '#]],tblprogress[Planet '#],tblprogress[Mining Rate])</f>
        <v>0</v>
      </c>
      <c r="K39" s="41">
        <f>_xlfn.XLOOKUP(CargoROI[[#This Row],[Planet '#]],tblprogress[Planet '#],tblprogress[Efficiency],0)</f>
        <v>0</v>
      </c>
      <c r="L39" s="73">
        <f>IF(CargoROI[[#This Row],[Current Efficiency]]&lt;=1,CargoROI[[#This Row],[Mining Rate]]*60,CargoROI[[#This Row],[Cargo Amount]]/CargoROI[[#This Row],[Total Time]]*60)</f>
        <v>0</v>
      </c>
      <c r="M39" s="73">
        <f>IF(CargoROI[[#This Row],[Future Efficiency]]&lt;=1,CargoROI[[#This Row],[Mining Rate]]*60,CargoROI[[#This Row],[Next Cargo Amount]]/CargoROI[[#This Row],[Total Time]]*60)</f>
        <v>0</v>
      </c>
      <c r="N39" s="34">
        <f>_xlfn.XLOOKUP(CargoROI[[#This Row],[Planet '#]],tblplanetvalue[Planet '#],tblplanetvalue[Total Worth])</f>
        <v>23900</v>
      </c>
      <c r="O39" s="35" t="str">
        <f>_xlfn.XLOOKUP(CargoROI[[#This Row],[Planet '#]],tblplaneteco[Planet '#],tblplaneteco[Cargo Rate Cost])</f>
        <v/>
      </c>
      <c r="P39" s="63" t="str">
        <f>_xlfn.XLOOKUP(CargoROI[[#This Row],[Planet '#]],tblprogress[Planet '#],tblprogress[Total Time])</f>
        <v/>
      </c>
      <c r="Q39" s="14" t="str">
        <f>IF(
   _xlfn.XLOOKUP(CargoROI[[#This Row],[Planet '#]], tblPlanets[Planet '#], tblPlanets[Name])=CargoROI[[#This Row],[Name]],
   "Match",
   "Mismatch"
)</f>
        <v>Match</v>
      </c>
    </row>
    <row r="40" spans="1:17" x14ac:dyDescent="0.3">
      <c r="A40" s="24">
        <v>39</v>
      </c>
      <c r="B40" s="24" t="str">
        <f>_xlfn.XLOOKUP(tblprogress[[#This Row],[Planet '#]],tblPlanets[Planet '#],tblPlanets[Name])</f>
        <v>Zulu</v>
      </c>
      <c r="C40" s="25">
        <f>_xlfn.XLOOKUP(CargoROI[[#This Row],[Cargo Level]]+1,tblUpgradeStats[Level],tblUpgradeStats[Cargo Amount])</f>
        <v>5</v>
      </c>
      <c r="D40" s="41">
        <f>IFERROR(CargoROI[[#This Row],[Current Efficiency]]*(CargoROI[[#This Row],[Cargo Amount]]/CargoROI[[#This Row],[Next Cargo Amount]]),0)</f>
        <v>0</v>
      </c>
      <c r="E40" s="60">
        <f>CargoROI[[#This Row],[Future Deposit]]-CargoROI[[#This Row],[Current Deposit]]</f>
        <v>0</v>
      </c>
      <c r="F40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0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0" s="25">
        <f>_xlfn.XLOOKUP(CargoROI[[#This Row],[Planet '#]],tblprogress[Planet '#],tblprogress[Cargo Level])</f>
        <v>0</v>
      </c>
      <c r="I40" s="25">
        <f>_xlfn.XLOOKUP(CargoROI[[#This Row],[Planet '#]],tblprogress[Planet '#],tblprogress[Cargo])</f>
        <v>0</v>
      </c>
      <c r="J40" s="43">
        <f>_xlfn.XLOOKUP(CargoROI[[#This Row],[Planet '#]],tblprogress[Planet '#],tblprogress[Mining Rate])</f>
        <v>0</v>
      </c>
      <c r="K40" s="41">
        <f>_xlfn.XLOOKUP(CargoROI[[#This Row],[Planet '#]],tblprogress[Planet '#],tblprogress[Efficiency],0)</f>
        <v>0</v>
      </c>
      <c r="L40" s="73">
        <f>IF(CargoROI[[#This Row],[Current Efficiency]]&lt;=1,CargoROI[[#This Row],[Mining Rate]]*60,CargoROI[[#This Row],[Cargo Amount]]/CargoROI[[#This Row],[Total Time]]*60)</f>
        <v>0</v>
      </c>
      <c r="M40" s="73">
        <f>IF(CargoROI[[#This Row],[Future Efficiency]]&lt;=1,CargoROI[[#This Row],[Mining Rate]]*60,CargoROI[[#This Row],[Next Cargo Amount]]/CargoROI[[#This Row],[Total Time]]*60)</f>
        <v>0</v>
      </c>
      <c r="N40" s="34">
        <f>_xlfn.XLOOKUP(CargoROI[[#This Row],[Planet '#]],tblplanetvalue[Planet '#],tblplanetvalue[Total Worth])</f>
        <v>40000</v>
      </c>
      <c r="O40" s="35" t="str">
        <f>_xlfn.XLOOKUP(CargoROI[[#This Row],[Planet '#]],tblplaneteco[Planet '#],tblplaneteco[Cargo Rate Cost])</f>
        <v/>
      </c>
      <c r="P40" s="63" t="str">
        <f>_xlfn.XLOOKUP(CargoROI[[#This Row],[Planet '#]],tblprogress[Planet '#],tblprogress[Total Time])</f>
        <v/>
      </c>
      <c r="Q40" s="14" t="str">
        <f>IF(
   _xlfn.XLOOKUP(CargoROI[[#This Row],[Planet '#]], tblPlanets[Planet '#], tblPlanets[Name])=CargoROI[[#This Row],[Name]],
   "Match",
   "Mismatch"
)</f>
        <v>Match</v>
      </c>
    </row>
    <row r="41" spans="1:17" x14ac:dyDescent="0.3">
      <c r="A41" s="25">
        <v>40</v>
      </c>
      <c r="B41" s="25" t="str">
        <f>_xlfn.XLOOKUP(tblprogress[[#This Row],[Planet '#]],tblPlanets[Planet '#],tblPlanets[Name])</f>
        <v>Unicae</v>
      </c>
      <c r="C41" s="25">
        <f>_xlfn.XLOOKUP(CargoROI[[#This Row],[Cargo Level]]+1,tblUpgradeStats[Level],tblUpgradeStats[Cargo Amount])</f>
        <v>5</v>
      </c>
      <c r="D41" s="41">
        <f>IFERROR(CargoROI[[#This Row],[Current Efficiency]]*(CargoROI[[#This Row],[Cargo Amount]]/CargoROI[[#This Row],[Next Cargo Amount]]),0)</f>
        <v>0</v>
      </c>
      <c r="E41" s="60">
        <f>CargoROI[[#This Row],[Future Deposit]]-CargoROI[[#This Row],[Current Deposit]]</f>
        <v>0</v>
      </c>
      <c r="F41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1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1" s="25">
        <f>_xlfn.XLOOKUP(CargoROI[[#This Row],[Planet '#]],tblprogress[Planet '#],tblprogress[Cargo Level])</f>
        <v>0</v>
      </c>
      <c r="I41" s="25">
        <f>_xlfn.XLOOKUP(CargoROI[[#This Row],[Planet '#]],tblprogress[Planet '#],tblprogress[Cargo])</f>
        <v>0</v>
      </c>
      <c r="J41" s="43">
        <f>_xlfn.XLOOKUP(CargoROI[[#This Row],[Planet '#]],tblprogress[Planet '#],tblprogress[Mining Rate])</f>
        <v>0</v>
      </c>
      <c r="K41" s="41">
        <f>_xlfn.XLOOKUP(CargoROI[[#This Row],[Planet '#]],tblprogress[Planet '#],tblprogress[Efficiency],0)</f>
        <v>0</v>
      </c>
      <c r="L41" s="73">
        <f>IF(CargoROI[[#This Row],[Current Efficiency]]&lt;=1,CargoROI[[#This Row],[Mining Rate]]*60,CargoROI[[#This Row],[Cargo Amount]]/CargoROI[[#This Row],[Total Time]]*60)</f>
        <v>0</v>
      </c>
      <c r="M41" s="73">
        <f>IF(CargoROI[[#This Row],[Future Efficiency]]&lt;=1,CargoROI[[#This Row],[Mining Rate]]*60,CargoROI[[#This Row],[Next Cargo Amount]]/CargoROI[[#This Row],[Total Time]]*60)</f>
        <v>0</v>
      </c>
      <c r="N41" s="34">
        <f>_xlfn.XLOOKUP(CargoROI[[#This Row],[Planet '#]],tblplanetvalue[Planet '#],tblplanetvalue[Total Worth])</f>
        <v>50400</v>
      </c>
      <c r="O41" s="35" t="str">
        <f>_xlfn.XLOOKUP(CargoROI[[#This Row],[Planet '#]],tblplaneteco[Planet '#],tblplaneteco[Cargo Rate Cost])</f>
        <v/>
      </c>
      <c r="P41" s="63" t="str">
        <f>_xlfn.XLOOKUP(CargoROI[[#This Row],[Planet '#]],tblprogress[Planet '#],tblprogress[Total Time])</f>
        <v/>
      </c>
      <c r="Q41" s="14" t="str">
        <f>IF(
   _xlfn.XLOOKUP(CargoROI[[#This Row],[Planet '#]], tblPlanets[Planet '#], tblPlanets[Name])=CargoROI[[#This Row],[Name]],
   "Match",
   "Mismatch"
)</f>
        <v>Match</v>
      </c>
    </row>
    <row r="42" spans="1:17" x14ac:dyDescent="0.3">
      <c r="A42" s="24">
        <v>41</v>
      </c>
      <c r="B42" s="24" t="str">
        <f>_xlfn.XLOOKUP(tblprogress[[#This Row],[Planet '#]],tblPlanets[Planet '#],tblPlanets[Name])</f>
        <v>Dune</v>
      </c>
      <c r="C42" s="25">
        <f>_xlfn.XLOOKUP(CargoROI[[#This Row],[Cargo Level]]+1,tblUpgradeStats[Level],tblUpgradeStats[Cargo Amount])</f>
        <v>5</v>
      </c>
      <c r="D42" s="41">
        <f>IFERROR(CargoROI[[#This Row],[Current Efficiency]]*(CargoROI[[#This Row],[Cargo Amount]]/CargoROI[[#This Row],[Next Cargo Amount]]),0)</f>
        <v>0</v>
      </c>
      <c r="E42" s="60">
        <f>CargoROI[[#This Row],[Future Deposit]]-CargoROI[[#This Row],[Current Deposit]]</f>
        <v>0</v>
      </c>
      <c r="F4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2" s="25">
        <f>_xlfn.XLOOKUP(CargoROI[[#This Row],[Planet '#]],tblprogress[Planet '#],tblprogress[Cargo Level])</f>
        <v>0</v>
      </c>
      <c r="I42" s="25">
        <f>_xlfn.XLOOKUP(CargoROI[[#This Row],[Planet '#]],tblprogress[Planet '#],tblprogress[Cargo])</f>
        <v>0</v>
      </c>
      <c r="J42" s="43">
        <f>_xlfn.XLOOKUP(CargoROI[[#This Row],[Planet '#]],tblprogress[Planet '#],tblprogress[Mining Rate])</f>
        <v>0</v>
      </c>
      <c r="K42" s="41">
        <f>_xlfn.XLOOKUP(CargoROI[[#This Row],[Planet '#]],tblprogress[Planet '#],tblprogress[Efficiency],0)</f>
        <v>0</v>
      </c>
      <c r="L42" s="73">
        <f>IF(CargoROI[[#This Row],[Current Efficiency]]&lt;=1,CargoROI[[#This Row],[Mining Rate]]*60,CargoROI[[#This Row],[Cargo Amount]]/CargoROI[[#This Row],[Total Time]]*60)</f>
        <v>0</v>
      </c>
      <c r="M42" s="73">
        <f>IF(CargoROI[[#This Row],[Future Efficiency]]&lt;=1,CargoROI[[#This Row],[Mining Rate]]*60,CargoROI[[#This Row],[Next Cargo Amount]]/CargoROI[[#This Row],[Total Time]]*60)</f>
        <v>0</v>
      </c>
      <c r="N42" s="34">
        <f>_xlfn.XLOOKUP(CargoROI[[#This Row],[Planet '#]],tblplanetvalue[Planet '#],tblplanetvalue[Total Worth])</f>
        <v>41480</v>
      </c>
      <c r="O42" s="35" t="str">
        <f>_xlfn.XLOOKUP(CargoROI[[#This Row],[Planet '#]],tblplaneteco[Planet '#],tblplaneteco[Cargo Rate Cost])</f>
        <v/>
      </c>
      <c r="P42" s="63" t="str">
        <f>_xlfn.XLOOKUP(CargoROI[[#This Row],[Planet '#]],tblprogress[Planet '#],tblprogress[Total Time])</f>
        <v/>
      </c>
      <c r="Q42" s="14" t="str">
        <f>IF(
   _xlfn.XLOOKUP(CargoROI[[#This Row],[Planet '#]], tblPlanets[Planet '#], tblPlanets[Name])=CargoROI[[#This Row],[Name]],
   "Match",
   "Mismatch"
)</f>
        <v>Match</v>
      </c>
    </row>
    <row r="43" spans="1:17" x14ac:dyDescent="0.3">
      <c r="A43" s="25">
        <v>42</v>
      </c>
      <c r="B43" s="25" t="str">
        <f>_xlfn.XLOOKUP(tblprogress[[#This Row],[Planet '#]],tblPlanets[Planet '#],tblPlanets[Name])</f>
        <v>Naraka</v>
      </c>
      <c r="C43" s="25">
        <f>_xlfn.XLOOKUP(CargoROI[[#This Row],[Cargo Level]]+1,tblUpgradeStats[Level],tblUpgradeStats[Cargo Amount])</f>
        <v>5</v>
      </c>
      <c r="D43" s="41">
        <f>IFERROR(CargoROI[[#This Row],[Current Efficiency]]*(CargoROI[[#This Row],[Cargo Amount]]/CargoROI[[#This Row],[Next Cargo Amount]]),0)</f>
        <v>0</v>
      </c>
      <c r="E43" s="60">
        <f>CargoROI[[#This Row],[Future Deposit]]-CargoROI[[#This Row],[Current Deposit]]</f>
        <v>0</v>
      </c>
      <c r="F4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3" s="25">
        <f>_xlfn.XLOOKUP(CargoROI[[#This Row],[Planet '#]],tblprogress[Planet '#],tblprogress[Cargo Level])</f>
        <v>0</v>
      </c>
      <c r="I43" s="25">
        <f>_xlfn.XLOOKUP(CargoROI[[#This Row],[Planet '#]],tblprogress[Planet '#],tblprogress[Cargo])</f>
        <v>0</v>
      </c>
      <c r="J43" s="43">
        <f>_xlfn.XLOOKUP(CargoROI[[#This Row],[Planet '#]],tblprogress[Planet '#],tblprogress[Mining Rate])</f>
        <v>0</v>
      </c>
      <c r="K43" s="41">
        <f>_xlfn.XLOOKUP(CargoROI[[#This Row],[Planet '#]],tblprogress[Planet '#],tblprogress[Efficiency],0)</f>
        <v>0</v>
      </c>
      <c r="L43" s="73">
        <f>IF(CargoROI[[#This Row],[Current Efficiency]]&lt;=1,CargoROI[[#This Row],[Mining Rate]]*60,CargoROI[[#This Row],[Cargo Amount]]/CargoROI[[#This Row],[Total Time]]*60)</f>
        <v>0</v>
      </c>
      <c r="M43" s="73">
        <f>IF(CargoROI[[#This Row],[Future Efficiency]]&lt;=1,CargoROI[[#This Row],[Mining Rate]]*60,CargoROI[[#This Row],[Next Cargo Amount]]/CargoROI[[#This Row],[Total Time]]*60)</f>
        <v>0</v>
      </c>
      <c r="N43" s="34">
        <f>_xlfn.XLOOKUP(CargoROI[[#This Row],[Planet '#]],tblplanetvalue[Planet '#],tblplanetvalue[Total Worth])</f>
        <v>92000</v>
      </c>
      <c r="O43" s="35" t="str">
        <f>_xlfn.XLOOKUP(CargoROI[[#This Row],[Planet '#]],tblplaneteco[Planet '#],tblplaneteco[Cargo Rate Cost])</f>
        <v/>
      </c>
      <c r="P43" s="63" t="str">
        <f>_xlfn.XLOOKUP(CargoROI[[#This Row],[Planet '#]],tblprogress[Planet '#],tblprogress[Total Time])</f>
        <v/>
      </c>
      <c r="Q43" s="14" t="str">
        <f>IF(
   _xlfn.XLOOKUP(CargoROI[[#This Row],[Planet '#]], tblPlanets[Planet '#], tblPlanets[Name])=CargoROI[[#This Row],[Name]],
   "Match",
   "Mismatch"
)</f>
        <v>Match</v>
      </c>
    </row>
    <row r="44" spans="1:17" x14ac:dyDescent="0.3">
      <c r="A44" s="24">
        <v>43</v>
      </c>
      <c r="B44" s="24" t="str">
        <f>_xlfn.XLOOKUP(tblprogress[[#This Row],[Planet '#]],tblPlanets[Planet '#],tblPlanets[Name])</f>
        <v>Daedalus</v>
      </c>
      <c r="C44" s="25">
        <f>_xlfn.XLOOKUP(CargoROI[[#This Row],[Cargo Level]]+1,tblUpgradeStats[Level],tblUpgradeStats[Cargo Amount])</f>
        <v>5</v>
      </c>
      <c r="D44" s="41">
        <f>IFERROR(CargoROI[[#This Row],[Current Efficiency]]*(CargoROI[[#This Row],[Cargo Amount]]/CargoROI[[#This Row],[Next Cargo Amount]]),0)</f>
        <v>0</v>
      </c>
      <c r="E44" s="60">
        <f>CargoROI[[#This Row],[Future Deposit]]-CargoROI[[#This Row],[Current Deposit]]</f>
        <v>0</v>
      </c>
      <c r="F4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4" s="25">
        <f>_xlfn.XLOOKUP(CargoROI[[#This Row],[Planet '#]],tblprogress[Planet '#],tblprogress[Cargo Level])</f>
        <v>0</v>
      </c>
      <c r="I44" s="25">
        <f>_xlfn.XLOOKUP(CargoROI[[#This Row],[Planet '#]],tblprogress[Planet '#],tblprogress[Cargo])</f>
        <v>0</v>
      </c>
      <c r="J44" s="43">
        <f>_xlfn.XLOOKUP(CargoROI[[#This Row],[Planet '#]],tblprogress[Planet '#],tblprogress[Mining Rate])</f>
        <v>0</v>
      </c>
      <c r="K44" s="41">
        <f>_xlfn.XLOOKUP(CargoROI[[#This Row],[Planet '#]],tblprogress[Planet '#],tblprogress[Efficiency],0)</f>
        <v>0</v>
      </c>
      <c r="L44" s="73">
        <f>IF(CargoROI[[#This Row],[Current Efficiency]]&lt;=1,CargoROI[[#This Row],[Mining Rate]]*60,CargoROI[[#This Row],[Cargo Amount]]/CargoROI[[#This Row],[Total Time]]*60)</f>
        <v>0</v>
      </c>
      <c r="M44" s="73">
        <f>IF(CargoROI[[#This Row],[Future Efficiency]]&lt;=1,CargoROI[[#This Row],[Mining Rate]]*60,CargoROI[[#This Row],[Next Cargo Amount]]/CargoROI[[#This Row],[Total Time]]*60)</f>
        <v>0</v>
      </c>
      <c r="N44" s="34">
        <f>_xlfn.XLOOKUP(CargoROI[[#This Row],[Planet '#]],tblplanetvalue[Planet '#],tblplanetvalue[Total Worth])</f>
        <v>97450</v>
      </c>
      <c r="O44" s="35" t="str">
        <f>_xlfn.XLOOKUP(CargoROI[[#This Row],[Planet '#]],tblplaneteco[Planet '#],tblplaneteco[Cargo Rate Cost])</f>
        <v/>
      </c>
      <c r="P44" s="63" t="str">
        <f>_xlfn.XLOOKUP(CargoROI[[#This Row],[Planet '#]],tblprogress[Planet '#],tblprogress[Total Time])</f>
        <v/>
      </c>
      <c r="Q44" s="14" t="str">
        <f>IF(
   _xlfn.XLOOKUP(CargoROI[[#This Row],[Planet '#]], tblPlanets[Planet '#], tblPlanets[Name])=CargoROI[[#This Row],[Name]],
   "Match",
   "Mismatch"
)</f>
        <v>Match</v>
      </c>
    </row>
    <row r="45" spans="1:17" x14ac:dyDescent="0.3">
      <c r="A45" s="25">
        <v>44</v>
      </c>
      <c r="B45" s="25" t="str">
        <f>_xlfn.XLOOKUP(tblprogress[[#This Row],[Planet '#]],tblPlanets[Planet '#],tblPlanets[Name])</f>
        <v>Clovis</v>
      </c>
      <c r="C45" s="25">
        <f>_xlfn.XLOOKUP(CargoROI[[#This Row],[Cargo Level]]+1,tblUpgradeStats[Level],tblUpgradeStats[Cargo Amount])</f>
        <v>5</v>
      </c>
      <c r="D45" s="41">
        <f>IFERROR(CargoROI[[#This Row],[Current Efficiency]]*(CargoROI[[#This Row],[Cargo Amount]]/CargoROI[[#This Row],[Next Cargo Amount]]),0)</f>
        <v>0</v>
      </c>
      <c r="E45" s="60">
        <f>CargoROI[[#This Row],[Future Deposit]]-CargoROI[[#This Row],[Current Deposit]]</f>
        <v>0</v>
      </c>
      <c r="F4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5" s="25">
        <f>_xlfn.XLOOKUP(CargoROI[[#This Row],[Planet '#]],tblprogress[Planet '#],tblprogress[Cargo Level])</f>
        <v>0</v>
      </c>
      <c r="I45" s="25">
        <f>_xlfn.XLOOKUP(CargoROI[[#This Row],[Planet '#]],tblprogress[Planet '#],tblprogress[Cargo])</f>
        <v>0</v>
      </c>
      <c r="J45" s="43">
        <f>_xlfn.XLOOKUP(CargoROI[[#This Row],[Planet '#]],tblprogress[Planet '#],tblprogress[Mining Rate])</f>
        <v>0</v>
      </c>
      <c r="K45" s="41">
        <f>_xlfn.XLOOKUP(CargoROI[[#This Row],[Planet '#]],tblprogress[Planet '#],tblprogress[Efficiency],0)</f>
        <v>0</v>
      </c>
      <c r="L45" s="73">
        <f>IF(CargoROI[[#This Row],[Current Efficiency]]&lt;=1,CargoROI[[#This Row],[Mining Rate]]*60,CargoROI[[#This Row],[Cargo Amount]]/CargoROI[[#This Row],[Total Time]]*60)</f>
        <v>0</v>
      </c>
      <c r="M45" s="73">
        <f>IF(CargoROI[[#This Row],[Future Efficiency]]&lt;=1,CargoROI[[#This Row],[Mining Rate]]*60,CargoROI[[#This Row],[Next Cargo Amount]]/CargoROI[[#This Row],[Total Time]]*60)</f>
        <v>0</v>
      </c>
      <c r="N45" s="34">
        <f>_xlfn.XLOOKUP(CargoROI[[#This Row],[Planet '#]],tblplanetvalue[Planet '#],tblplanetvalue[Total Worth])</f>
        <v>153500</v>
      </c>
      <c r="O45" s="35" t="str">
        <f>_xlfn.XLOOKUP(CargoROI[[#This Row],[Planet '#]],tblplaneteco[Planet '#],tblplaneteco[Cargo Rate Cost])</f>
        <v/>
      </c>
      <c r="P45" s="63" t="str">
        <f>_xlfn.XLOOKUP(CargoROI[[#This Row],[Planet '#]],tblprogress[Planet '#],tblprogress[Total Time])</f>
        <v/>
      </c>
      <c r="Q45" s="14" t="str">
        <f>IF(
   _xlfn.XLOOKUP(CargoROI[[#This Row],[Planet '#]], tblPlanets[Planet '#], tblPlanets[Name])=CargoROI[[#This Row],[Name]],
   "Match",
   "Mismatch"
)</f>
        <v>Match</v>
      </c>
    </row>
    <row r="46" spans="1:17" x14ac:dyDescent="0.3">
      <c r="A46" s="24">
        <v>45</v>
      </c>
      <c r="B46" s="24" t="str">
        <f>_xlfn.XLOOKUP(tblprogress[[#This Row],[Planet '#]],tblPlanets[Planet '#],tblPlanets[Name])</f>
        <v>Zero</v>
      </c>
      <c r="C46" s="25">
        <f>_xlfn.XLOOKUP(CargoROI[[#This Row],[Cargo Level]]+1,tblUpgradeStats[Level],tblUpgradeStats[Cargo Amount])</f>
        <v>5</v>
      </c>
      <c r="D46" s="41">
        <f>IFERROR(CargoROI[[#This Row],[Current Efficiency]]*(CargoROI[[#This Row],[Cargo Amount]]/CargoROI[[#This Row],[Next Cargo Amount]]),0)</f>
        <v>0</v>
      </c>
      <c r="E46" s="60">
        <f>CargoROI[[#This Row],[Future Deposit]]-CargoROI[[#This Row],[Current Deposit]]</f>
        <v>0</v>
      </c>
      <c r="F4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6" s="25">
        <f>_xlfn.XLOOKUP(CargoROI[[#This Row],[Planet '#]],tblprogress[Planet '#],tblprogress[Cargo Level])</f>
        <v>0</v>
      </c>
      <c r="I46" s="25">
        <f>_xlfn.XLOOKUP(CargoROI[[#This Row],[Planet '#]],tblprogress[Planet '#],tblprogress[Cargo])</f>
        <v>0</v>
      </c>
      <c r="J46" s="43">
        <f>_xlfn.XLOOKUP(CargoROI[[#This Row],[Planet '#]],tblprogress[Planet '#],tblprogress[Mining Rate])</f>
        <v>0</v>
      </c>
      <c r="K46" s="41">
        <f>_xlfn.XLOOKUP(CargoROI[[#This Row],[Planet '#]],tblprogress[Planet '#],tblprogress[Efficiency],0)</f>
        <v>0</v>
      </c>
      <c r="L46" s="73">
        <f>IF(CargoROI[[#This Row],[Current Efficiency]]&lt;=1,CargoROI[[#This Row],[Mining Rate]]*60,CargoROI[[#This Row],[Cargo Amount]]/CargoROI[[#This Row],[Total Time]]*60)</f>
        <v>0</v>
      </c>
      <c r="M46" s="73">
        <f>IF(CargoROI[[#This Row],[Future Efficiency]]&lt;=1,CargoROI[[#This Row],[Mining Rate]]*60,CargoROI[[#This Row],[Next Cargo Amount]]/CargoROI[[#This Row],[Total Time]]*60)</f>
        <v>0</v>
      </c>
      <c r="N46" s="34">
        <f>_xlfn.XLOOKUP(CargoROI[[#This Row],[Planet '#]],tblplanetvalue[Planet '#],tblplanetvalue[Total Worth])</f>
        <v>215000</v>
      </c>
      <c r="O46" s="35" t="str">
        <f>_xlfn.XLOOKUP(CargoROI[[#This Row],[Planet '#]],tblplaneteco[Planet '#],tblplaneteco[Cargo Rate Cost])</f>
        <v/>
      </c>
      <c r="P46" s="63" t="str">
        <f>_xlfn.XLOOKUP(CargoROI[[#This Row],[Planet '#]],tblprogress[Planet '#],tblprogress[Total Time])</f>
        <v/>
      </c>
      <c r="Q46" s="14" t="str">
        <f>IF(
   _xlfn.XLOOKUP(CargoROI[[#This Row],[Planet '#]], tblPlanets[Planet '#], tblPlanets[Name])=CargoROI[[#This Row],[Name]],
   "Match",
   "Mismatch"
)</f>
        <v>Match</v>
      </c>
    </row>
    <row r="47" spans="1:17" x14ac:dyDescent="0.3">
      <c r="A47" s="25">
        <v>46</v>
      </c>
      <c r="B47" s="25" t="str">
        <f>_xlfn.XLOOKUP(tblprogress[[#This Row],[Planet '#]],tblPlanets[Planet '#],tblPlanets[Name])</f>
        <v>Sotomi</v>
      </c>
      <c r="C47" s="25">
        <f>_xlfn.XLOOKUP(CargoROI[[#This Row],[Cargo Level]]+1,tblUpgradeStats[Level],tblUpgradeStats[Cargo Amount])</f>
        <v>5</v>
      </c>
      <c r="D47" s="41">
        <f>IFERROR(CargoROI[[#This Row],[Current Efficiency]]*(CargoROI[[#This Row],[Cargo Amount]]/CargoROI[[#This Row],[Next Cargo Amount]]),0)</f>
        <v>0</v>
      </c>
      <c r="E47" s="60">
        <f>CargoROI[[#This Row],[Future Deposit]]-CargoROI[[#This Row],[Current Deposit]]</f>
        <v>0</v>
      </c>
      <c r="F4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7" s="25">
        <f>_xlfn.XLOOKUP(CargoROI[[#This Row],[Planet '#]],tblprogress[Planet '#],tblprogress[Cargo Level])</f>
        <v>0</v>
      </c>
      <c r="I47" s="25">
        <f>_xlfn.XLOOKUP(CargoROI[[#This Row],[Planet '#]],tblprogress[Planet '#],tblprogress[Cargo])</f>
        <v>0</v>
      </c>
      <c r="J47" s="43">
        <f>_xlfn.XLOOKUP(CargoROI[[#This Row],[Planet '#]],tblprogress[Planet '#],tblprogress[Mining Rate])</f>
        <v>0</v>
      </c>
      <c r="K47" s="41">
        <f>_xlfn.XLOOKUP(CargoROI[[#This Row],[Planet '#]],tblprogress[Planet '#],tblprogress[Efficiency],0)</f>
        <v>0</v>
      </c>
      <c r="L47" s="73">
        <f>IF(CargoROI[[#This Row],[Current Efficiency]]&lt;=1,CargoROI[[#This Row],[Mining Rate]]*60,CargoROI[[#This Row],[Cargo Amount]]/CargoROI[[#This Row],[Total Time]]*60)</f>
        <v>0</v>
      </c>
      <c r="M47" s="73">
        <f>IF(CargoROI[[#This Row],[Future Efficiency]]&lt;=1,CargoROI[[#This Row],[Mining Rate]]*60,CargoROI[[#This Row],[Next Cargo Amount]]/CargoROI[[#This Row],[Total Time]]*60)</f>
        <v>0</v>
      </c>
      <c r="N47" s="34">
        <f>_xlfn.XLOOKUP(CargoROI[[#This Row],[Planet '#]],tblplanetvalue[Planet '#],tblplanetvalue[Total Worth])</f>
        <v>288750</v>
      </c>
      <c r="O47" s="35" t="str">
        <f>_xlfn.XLOOKUP(CargoROI[[#This Row],[Planet '#]],tblplaneteco[Planet '#],tblplaneteco[Cargo Rate Cost])</f>
        <v/>
      </c>
      <c r="P47" s="63" t="str">
        <f>_xlfn.XLOOKUP(CargoROI[[#This Row],[Planet '#]],tblprogress[Planet '#],tblprogress[Total Time])</f>
        <v/>
      </c>
      <c r="Q47" s="14" t="str">
        <f>IF(
   _xlfn.XLOOKUP(CargoROI[[#This Row],[Planet '#]], tblPlanets[Planet '#], tblPlanets[Name])=CargoROI[[#This Row],[Name]],
   "Match",
   "Mismatch"
)</f>
        <v>Match</v>
      </c>
    </row>
    <row r="48" spans="1:17" x14ac:dyDescent="0.3">
      <c r="A48" s="24">
        <v>47</v>
      </c>
      <c r="B48" s="24" t="str">
        <f>_xlfn.XLOOKUP(tblprogress[[#This Row],[Planet '#]],tblPlanets[Planet '#],tblPlanets[Name])</f>
        <v>Remidian</v>
      </c>
      <c r="C48" s="25">
        <f>_xlfn.XLOOKUP(CargoROI[[#This Row],[Cargo Level]]+1,tblUpgradeStats[Level],tblUpgradeStats[Cargo Amount])</f>
        <v>5</v>
      </c>
      <c r="D48" s="41">
        <f>IFERROR(CargoROI[[#This Row],[Current Efficiency]]*(CargoROI[[#This Row],[Cargo Amount]]/CargoROI[[#This Row],[Next Cargo Amount]]),0)</f>
        <v>0</v>
      </c>
      <c r="E48" s="60">
        <f>CargoROI[[#This Row],[Future Deposit]]-CargoROI[[#This Row],[Current Deposit]]</f>
        <v>0</v>
      </c>
      <c r="F48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8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8" s="25">
        <f>_xlfn.XLOOKUP(CargoROI[[#This Row],[Planet '#]],tblprogress[Planet '#],tblprogress[Cargo Level])</f>
        <v>0</v>
      </c>
      <c r="I48" s="25">
        <f>_xlfn.XLOOKUP(CargoROI[[#This Row],[Planet '#]],tblprogress[Planet '#],tblprogress[Cargo])</f>
        <v>0</v>
      </c>
      <c r="J48" s="43">
        <f>_xlfn.XLOOKUP(CargoROI[[#This Row],[Planet '#]],tblprogress[Planet '#],tblprogress[Mining Rate])</f>
        <v>0</v>
      </c>
      <c r="K48" s="41">
        <f>_xlfn.XLOOKUP(CargoROI[[#This Row],[Planet '#]],tblprogress[Planet '#],tblprogress[Efficiency],0)</f>
        <v>0</v>
      </c>
      <c r="L48" s="73">
        <f>IF(CargoROI[[#This Row],[Current Efficiency]]&lt;=1,CargoROI[[#This Row],[Mining Rate]]*60,CargoROI[[#This Row],[Cargo Amount]]/CargoROI[[#This Row],[Total Time]]*60)</f>
        <v>0</v>
      </c>
      <c r="M48" s="73">
        <f>IF(CargoROI[[#This Row],[Future Efficiency]]&lt;=1,CargoROI[[#This Row],[Mining Rate]]*60,CargoROI[[#This Row],[Next Cargo Amount]]/CargoROI[[#This Row],[Total Time]]*60)</f>
        <v>0</v>
      </c>
      <c r="N48" s="34">
        <f>_xlfn.XLOOKUP(CargoROI[[#This Row],[Planet '#]],tblplanetvalue[Planet '#],tblplanetvalue[Total Worth])</f>
        <v>342800</v>
      </c>
      <c r="O48" s="35" t="str">
        <f>_xlfn.XLOOKUP(CargoROI[[#This Row],[Planet '#]],tblplaneteco[Planet '#],tblplaneteco[Cargo Rate Cost])</f>
        <v/>
      </c>
      <c r="P48" s="63" t="str">
        <f>_xlfn.XLOOKUP(CargoROI[[#This Row],[Planet '#]],tblprogress[Planet '#],tblprogress[Total Time])</f>
        <v/>
      </c>
      <c r="Q48" s="14" t="str">
        <f>IF(
   _xlfn.XLOOKUP(CargoROI[[#This Row],[Planet '#]], tblPlanets[Planet '#], tblPlanets[Name])=CargoROI[[#This Row],[Name]],
   "Match",
   "Mismatch"
)</f>
        <v>Match</v>
      </c>
    </row>
    <row r="49" spans="1:17" x14ac:dyDescent="0.3">
      <c r="A49" s="25">
        <v>48</v>
      </c>
      <c r="B49" s="25" t="str">
        <f>_xlfn.XLOOKUP(tblprogress[[#This Row],[Planet '#]],tblPlanets[Planet '#],tblPlanets[Name])</f>
        <v>Muse</v>
      </c>
      <c r="C49" s="25">
        <f>_xlfn.XLOOKUP(CargoROI[[#This Row],[Cargo Level]]+1,tblUpgradeStats[Level],tblUpgradeStats[Cargo Amount])</f>
        <v>5</v>
      </c>
      <c r="D49" s="41">
        <f>IFERROR(CargoROI[[#This Row],[Current Efficiency]]*(CargoROI[[#This Row],[Cargo Amount]]/CargoROI[[#This Row],[Next Cargo Amount]]),0)</f>
        <v>0</v>
      </c>
      <c r="E49" s="60">
        <f>CargoROI[[#This Row],[Future Deposit]]-CargoROI[[#This Row],[Current Deposit]]</f>
        <v>0</v>
      </c>
      <c r="F49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49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49" s="25">
        <f>_xlfn.XLOOKUP(CargoROI[[#This Row],[Planet '#]],tblprogress[Planet '#],tblprogress[Cargo Level])</f>
        <v>0</v>
      </c>
      <c r="I49" s="25">
        <f>_xlfn.XLOOKUP(CargoROI[[#This Row],[Planet '#]],tblprogress[Planet '#],tblprogress[Cargo])</f>
        <v>0</v>
      </c>
      <c r="J49" s="43">
        <f>_xlfn.XLOOKUP(CargoROI[[#This Row],[Planet '#]],tblprogress[Planet '#],tblprogress[Mining Rate])</f>
        <v>0</v>
      </c>
      <c r="K49" s="41">
        <f>_xlfn.XLOOKUP(CargoROI[[#This Row],[Planet '#]],tblprogress[Planet '#],tblprogress[Efficiency],0)</f>
        <v>0</v>
      </c>
      <c r="L49" s="73">
        <f>IF(CargoROI[[#This Row],[Current Efficiency]]&lt;=1,CargoROI[[#This Row],[Mining Rate]]*60,CargoROI[[#This Row],[Cargo Amount]]/CargoROI[[#This Row],[Total Time]]*60)</f>
        <v>0</v>
      </c>
      <c r="M49" s="73">
        <f>IF(CargoROI[[#This Row],[Future Efficiency]]&lt;=1,CargoROI[[#This Row],[Mining Rate]]*60,CargoROI[[#This Row],[Next Cargo Amount]]/CargoROI[[#This Row],[Total Time]]*60)</f>
        <v>0</v>
      </c>
      <c r="N49" s="34">
        <f>_xlfn.XLOOKUP(CargoROI[[#This Row],[Planet '#]],tblplanetvalue[Planet '#],tblplanetvalue[Total Worth])</f>
        <v>510000</v>
      </c>
      <c r="O49" s="35" t="str">
        <f>_xlfn.XLOOKUP(CargoROI[[#This Row],[Planet '#]],tblplaneteco[Planet '#],tblplaneteco[Cargo Rate Cost])</f>
        <v/>
      </c>
      <c r="P49" s="63" t="str">
        <f>_xlfn.XLOOKUP(CargoROI[[#This Row],[Planet '#]],tblprogress[Planet '#],tblprogress[Total Time])</f>
        <v/>
      </c>
      <c r="Q49" s="14" t="str">
        <f>IF(
   _xlfn.XLOOKUP(CargoROI[[#This Row],[Planet '#]], tblPlanets[Planet '#], tblPlanets[Name])=CargoROI[[#This Row],[Name]],
   "Match",
   "Mismatch"
)</f>
        <v>Match</v>
      </c>
    </row>
    <row r="50" spans="1:17" x14ac:dyDescent="0.3">
      <c r="A50" s="24">
        <v>49</v>
      </c>
      <c r="B50" s="24" t="str">
        <f>_xlfn.XLOOKUP(tblprogress[[#This Row],[Planet '#]],tblPlanets[Planet '#],tblPlanets[Name])</f>
        <v>Arabis</v>
      </c>
      <c r="C50" s="25">
        <f>_xlfn.XLOOKUP(CargoROI[[#This Row],[Cargo Level]]+1,tblUpgradeStats[Level],tblUpgradeStats[Cargo Amount])</f>
        <v>5</v>
      </c>
      <c r="D50" s="41">
        <f>IFERROR(CargoROI[[#This Row],[Current Efficiency]]*(CargoROI[[#This Row],[Cargo Amount]]/CargoROI[[#This Row],[Next Cargo Amount]]),0)</f>
        <v>0</v>
      </c>
      <c r="E50" s="60">
        <f>CargoROI[[#This Row],[Future Deposit]]-CargoROI[[#This Row],[Current Deposit]]</f>
        <v>0</v>
      </c>
      <c r="F50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0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0" s="25">
        <f>_xlfn.XLOOKUP(CargoROI[[#This Row],[Planet '#]],tblprogress[Planet '#],tblprogress[Cargo Level])</f>
        <v>0</v>
      </c>
      <c r="I50" s="25">
        <f>_xlfn.XLOOKUP(CargoROI[[#This Row],[Planet '#]],tblprogress[Planet '#],tblprogress[Cargo])</f>
        <v>0</v>
      </c>
      <c r="J50" s="43">
        <f>_xlfn.XLOOKUP(CargoROI[[#This Row],[Planet '#]],tblprogress[Planet '#],tblprogress[Mining Rate])</f>
        <v>0</v>
      </c>
      <c r="K50" s="41">
        <f>_xlfn.XLOOKUP(CargoROI[[#This Row],[Planet '#]],tblprogress[Planet '#],tblprogress[Efficiency],0)</f>
        <v>0</v>
      </c>
      <c r="L50" s="73">
        <f>IF(CargoROI[[#This Row],[Current Efficiency]]&lt;=1,CargoROI[[#This Row],[Mining Rate]]*60,CargoROI[[#This Row],[Cargo Amount]]/CargoROI[[#This Row],[Total Time]]*60)</f>
        <v>0</v>
      </c>
      <c r="M50" s="73">
        <f>IF(CargoROI[[#This Row],[Future Efficiency]]&lt;=1,CargoROI[[#This Row],[Mining Rate]]*60,CargoROI[[#This Row],[Next Cargo Amount]]/CargoROI[[#This Row],[Total Time]]*60)</f>
        <v>0</v>
      </c>
      <c r="N50" s="34">
        <f>_xlfn.XLOOKUP(CargoROI[[#This Row],[Planet '#]],tblplanetvalue[Planet '#],tblplanetvalue[Total Worth])</f>
        <v>880000</v>
      </c>
      <c r="O50" s="35" t="str">
        <f>_xlfn.XLOOKUP(CargoROI[[#This Row],[Planet '#]],tblplaneteco[Planet '#],tblplaneteco[Cargo Rate Cost])</f>
        <v/>
      </c>
      <c r="P50" s="63" t="str">
        <f>_xlfn.XLOOKUP(CargoROI[[#This Row],[Planet '#]],tblprogress[Planet '#],tblprogress[Total Time])</f>
        <v/>
      </c>
      <c r="Q50" s="14" t="str">
        <f>IF(
   _xlfn.XLOOKUP(CargoROI[[#This Row],[Planet '#]], tblPlanets[Planet '#], tblPlanets[Name])=CargoROI[[#This Row],[Name]],
   "Match",
   "Mismatch"
)</f>
        <v>Match</v>
      </c>
    </row>
    <row r="51" spans="1:17" x14ac:dyDescent="0.3">
      <c r="A51" s="25">
        <v>50</v>
      </c>
      <c r="B51" s="25" t="str">
        <f>_xlfn.XLOOKUP(tblprogress[[#This Row],[Planet '#]],tblPlanets[Planet '#],tblPlanets[Name])</f>
        <v>Vesna</v>
      </c>
      <c r="C51" s="25">
        <f>_xlfn.XLOOKUP(CargoROI[[#This Row],[Cargo Level]]+1,tblUpgradeStats[Level],tblUpgradeStats[Cargo Amount])</f>
        <v>5</v>
      </c>
      <c r="D51" s="41">
        <f>IFERROR(CargoROI[[#This Row],[Current Efficiency]]*(CargoROI[[#This Row],[Cargo Amount]]/CargoROI[[#This Row],[Next Cargo Amount]]),0)</f>
        <v>0</v>
      </c>
      <c r="E51" s="60">
        <f>CargoROI[[#This Row],[Future Deposit]]-CargoROI[[#This Row],[Current Deposit]]</f>
        <v>0</v>
      </c>
      <c r="F51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1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1" s="25">
        <f>_xlfn.XLOOKUP(CargoROI[[#This Row],[Planet '#]],tblprogress[Planet '#],tblprogress[Cargo Level])</f>
        <v>0</v>
      </c>
      <c r="I51" s="25">
        <f>_xlfn.XLOOKUP(CargoROI[[#This Row],[Planet '#]],tblprogress[Planet '#],tblprogress[Cargo])</f>
        <v>0</v>
      </c>
      <c r="J51" s="43">
        <f>_xlfn.XLOOKUP(CargoROI[[#This Row],[Planet '#]],tblprogress[Planet '#],tblprogress[Mining Rate])</f>
        <v>0</v>
      </c>
      <c r="K51" s="41">
        <f>_xlfn.XLOOKUP(CargoROI[[#This Row],[Planet '#]],tblprogress[Planet '#],tblprogress[Efficiency],0)</f>
        <v>0</v>
      </c>
      <c r="L51" s="73">
        <f>IF(CargoROI[[#This Row],[Current Efficiency]]&lt;=1,CargoROI[[#This Row],[Mining Rate]]*60,CargoROI[[#This Row],[Cargo Amount]]/CargoROI[[#This Row],[Total Time]]*60)</f>
        <v>0</v>
      </c>
      <c r="M51" s="73">
        <f>IF(CargoROI[[#This Row],[Future Efficiency]]&lt;=1,CargoROI[[#This Row],[Mining Rate]]*60,CargoROI[[#This Row],[Next Cargo Amount]]/CargoROI[[#This Row],[Total Time]]*60)</f>
        <v>0</v>
      </c>
      <c r="N51" s="34">
        <f>_xlfn.XLOOKUP(CargoROI[[#This Row],[Planet '#]],tblplanetvalue[Planet '#],tblplanetvalue[Total Worth])</f>
        <v>836000</v>
      </c>
      <c r="O51" s="35" t="str">
        <f>_xlfn.XLOOKUP(CargoROI[[#This Row],[Planet '#]],tblplaneteco[Planet '#],tblplaneteco[Cargo Rate Cost])</f>
        <v/>
      </c>
      <c r="P51" s="63" t="str">
        <f>_xlfn.XLOOKUP(CargoROI[[#This Row],[Planet '#]],tblprogress[Planet '#],tblprogress[Total Time])</f>
        <v/>
      </c>
      <c r="Q51" s="14" t="str">
        <f>IF(
   _xlfn.XLOOKUP(CargoROI[[#This Row],[Planet '#]], tblPlanets[Planet '#], tblPlanets[Name])=CargoROI[[#This Row],[Name]],
   "Match",
   "Mismatch"
)</f>
        <v>Match</v>
      </c>
    </row>
    <row r="52" spans="1:17" x14ac:dyDescent="0.3">
      <c r="A52" s="24">
        <v>51</v>
      </c>
      <c r="B52" s="24" t="str">
        <f>_xlfn.XLOOKUP(tblprogress[[#This Row],[Planet '#]],tblPlanets[Planet '#],tblPlanets[Name])</f>
        <v>Chandra</v>
      </c>
      <c r="C52" s="25">
        <f>_xlfn.XLOOKUP(CargoROI[[#This Row],[Cargo Level]]+1,tblUpgradeStats[Level],tblUpgradeStats[Cargo Amount])</f>
        <v>5</v>
      </c>
      <c r="D52" s="41">
        <f>IFERROR(CargoROI[[#This Row],[Current Efficiency]]*(CargoROI[[#This Row],[Cargo Amount]]/CargoROI[[#This Row],[Next Cargo Amount]]),0)</f>
        <v>0</v>
      </c>
      <c r="E52" s="60">
        <f>CargoROI[[#This Row],[Future Deposit]]-CargoROI[[#This Row],[Current Deposit]]</f>
        <v>0</v>
      </c>
      <c r="F5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2" s="25">
        <f>_xlfn.XLOOKUP(CargoROI[[#This Row],[Planet '#]],tblprogress[Planet '#],tblprogress[Cargo Level])</f>
        <v>0</v>
      </c>
      <c r="I52" s="25">
        <f>_xlfn.XLOOKUP(CargoROI[[#This Row],[Planet '#]],tblprogress[Planet '#],tblprogress[Cargo])</f>
        <v>0</v>
      </c>
      <c r="J52" s="43">
        <f>_xlfn.XLOOKUP(CargoROI[[#This Row],[Planet '#]],tblprogress[Planet '#],tblprogress[Mining Rate])</f>
        <v>0</v>
      </c>
      <c r="K52" s="41">
        <f>_xlfn.XLOOKUP(CargoROI[[#This Row],[Planet '#]],tblprogress[Planet '#],tblprogress[Efficiency],0)</f>
        <v>0</v>
      </c>
      <c r="L52" s="73">
        <f>IF(CargoROI[[#This Row],[Current Efficiency]]&lt;=1,CargoROI[[#This Row],[Mining Rate]]*60,CargoROI[[#This Row],[Cargo Amount]]/CargoROI[[#This Row],[Total Time]]*60)</f>
        <v>0</v>
      </c>
      <c r="M52" s="73">
        <f>IF(CargoROI[[#This Row],[Future Efficiency]]&lt;=1,CargoROI[[#This Row],[Mining Rate]]*60,CargoROI[[#This Row],[Next Cargo Amount]]/CargoROI[[#This Row],[Total Time]]*60)</f>
        <v>0</v>
      </c>
      <c r="N52" s="34">
        <f>_xlfn.XLOOKUP(CargoROI[[#This Row],[Planet '#]],tblplanetvalue[Planet '#],tblplanetvalue[Total Worth])</f>
        <v>1250000</v>
      </c>
      <c r="O52" s="35" t="str">
        <f>_xlfn.XLOOKUP(CargoROI[[#This Row],[Planet '#]],tblplaneteco[Planet '#],tblplaneteco[Cargo Rate Cost])</f>
        <v/>
      </c>
      <c r="P52" s="63" t="str">
        <f>_xlfn.XLOOKUP(CargoROI[[#This Row],[Planet '#]],tblprogress[Planet '#],tblprogress[Total Time])</f>
        <v/>
      </c>
      <c r="Q52" s="14" t="str">
        <f>IF(
   _xlfn.XLOOKUP(CargoROI[[#This Row],[Planet '#]], tblPlanets[Planet '#], tblPlanets[Name])=CargoROI[[#This Row],[Name]],
   "Match",
   "Mismatch"
)</f>
        <v>Match</v>
      </c>
    </row>
    <row r="53" spans="1:17" x14ac:dyDescent="0.3">
      <c r="A53" s="25">
        <v>52</v>
      </c>
      <c r="B53" s="25" t="str">
        <f>_xlfn.XLOOKUP(tblprogress[[#This Row],[Planet '#]],tblPlanets[Planet '#],tblPlanets[Name])</f>
        <v>Vega</v>
      </c>
      <c r="C53" s="25">
        <f>_xlfn.XLOOKUP(CargoROI[[#This Row],[Cargo Level]]+1,tblUpgradeStats[Level],tblUpgradeStats[Cargo Amount])</f>
        <v>5</v>
      </c>
      <c r="D53" s="41">
        <f>IFERROR(CargoROI[[#This Row],[Current Efficiency]]*(CargoROI[[#This Row],[Cargo Amount]]/CargoROI[[#This Row],[Next Cargo Amount]]),0)</f>
        <v>0</v>
      </c>
      <c r="E53" s="60">
        <f>CargoROI[[#This Row],[Future Deposit]]-CargoROI[[#This Row],[Current Deposit]]</f>
        <v>0</v>
      </c>
      <c r="F5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3" s="25">
        <f>_xlfn.XLOOKUP(CargoROI[[#This Row],[Planet '#]],tblprogress[Planet '#],tblprogress[Cargo Level])</f>
        <v>0</v>
      </c>
      <c r="I53" s="25">
        <f>_xlfn.XLOOKUP(CargoROI[[#This Row],[Planet '#]],tblprogress[Planet '#],tblprogress[Cargo])</f>
        <v>0</v>
      </c>
      <c r="J53" s="43">
        <f>_xlfn.XLOOKUP(CargoROI[[#This Row],[Planet '#]],tblprogress[Planet '#],tblprogress[Mining Rate])</f>
        <v>0</v>
      </c>
      <c r="K53" s="41">
        <f>_xlfn.XLOOKUP(CargoROI[[#This Row],[Planet '#]],tblprogress[Planet '#],tblprogress[Efficiency],0)</f>
        <v>0</v>
      </c>
      <c r="L53" s="73">
        <f>IF(CargoROI[[#This Row],[Current Efficiency]]&lt;=1,CargoROI[[#This Row],[Mining Rate]]*60,CargoROI[[#This Row],[Cargo Amount]]/CargoROI[[#This Row],[Total Time]]*60)</f>
        <v>0</v>
      </c>
      <c r="M53" s="73">
        <f>IF(CargoROI[[#This Row],[Future Efficiency]]&lt;=1,CargoROI[[#This Row],[Mining Rate]]*60,CargoROI[[#This Row],[Next Cargo Amount]]/CargoROI[[#This Row],[Total Time]]*60)</f>
        <v>0</v>
      </c>
      <c r="N53" s="34">
        <f>_xlfn.XLOOKUP(CargoROI[[#This Row],[Planet '#]],tblplanetvalue[Planet '#],tblplanetvalue[Total Worth])</f>
        <v>1516750</v>
      </c>
      <c r="O53" s="35" t="str">
        <f>_xlfn.XLOOKUP(CargoROI[[#This Row],[Planet '#]],tblplaneteco[Planet '#],tblplaneteco[Cargo Rate Cost])</f>
        <v/>
      </c>
      <c r="P53" s="63" t="str">
        <f>_xlfn.XLOOKUP(CargoROI[[#This Row],[Planet '#]],tblprogress[Planet '#],tblprogress[Total Time])</f>
        <v/>
      </c>
      <c r="Q53" s="14" t="str">
        <f>IF(
   _xlfn.XLOOKUP(CargoROI[[#This Row],[Planet '#]], tblPlanets[Planet '#], tblPlanets[Name])=CargoROI[[#This Row],[Name]],
   "Match",
   "Mismatch"
)</f>
        <v>Match</v>
      </c>
    </row>
    <row r="54" spans="1:17" x14ac:dyDescent="0.3">
      <c r="A54" s="24">
        <v>53</v>
      </c>
      <c r="B54" s="24" t="str">
        <f>_xlfn.XLOOKUP(tblprogress[[#This Row],[Planet '#]],tblPlanets[Planet '#],tblPlanets[Name])</f>
        <v>Crius</v>
      </c>
      <c r="C54" s="25">
        <f>_xlfn.XLOOKUP(CargoROI[[#This Row],[Cargo Level]]+1,tblUpgradeStats[Level],tblUpgradeStats[Cargo Amount])</f>
        <v>5</v>
      </c>
      <c r="D54" s="41">
        <f>IFERROR(CargoROI[[#This Row],[Current Efficiency]]*(CargoROI[[#This Row],[Cargo Amount]]/CargoROI[[#This Row],[Next Cargo Amount]]),0)</f>
        <v>0</v>
      </c>
      <c r="E54" s="60">
        <f>CargoROI[[#This Row],[Future Deposit]]-CargoROI[[#This Row],[Current Deposit]]</f>
        <v>0</v>
      </c>
      <c r="F5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4" s="25">
        <f>_xlfn.XLOOKUP(CargoROI[[#This Row],[Planet '#]],tblprogress[Planet '#],tblprogress[Cargo Level])</f>
        <v>0</v>
      </c>
      <c r="I54" s="25">
        <f>_xlfn.XLOOKUP(CargoROI[[#This Row],[Planet '#]],tblprogress[Planet '#],tblprogress[Cargo])</f>
        <v>0</v>
      </c>
      <c r="J54" s="43">
        <f>_xlfn.XLOOKUP(CargoROI[[#This Row],[Planet '#]],tblprogress[Planet '#],tblprogress[Mining Rate])</f>
        <v>0</v>
      </c>
      <c r="K54" s="41">
        <f>_xlfn.XLOOKUP(CargoROI[[#This Row],[Planet '#]],tblprogress[Planet '#],tblprogress[Efficiency],0)</f>
        <v>0</v>
      </c>
      <c r="L54" s="73">
        <f>IF(CargoROI[[#This Row],[Current Efficiency]]&lt;=1,CargoROI[[#This Row],[Mining Rate]]*60,CargoROI[[#This Row],[Cargo Amount]]/CargoROI[[#This Row],[Total Time]]*60)</f>
        <v>0</v>
      </c>
      <c r="M54" s="73">
        <f>IF(CargoROI[[#This Row],[Future Efficiency]]&lt;=1,CargoROI[[#This Row],[Mining Rate]]*60,CargoROI[[#This Row],[Next Cargo Amount]]/CargoROI[[#This Row],[Total Time]]*60)</f>
        <v>0</v>
      </c>
      <c r="N54" s="34">
        <f>_xlfn.XLOOKUP(CargoROI[[#This Row],[Planet '#]],tblplanetvalue[Planet '#],tblplanetvalue[Total Worth])</f>
        <v>1707500</v>
      </c>
      <c r="O54" s="35" t="str">
        <f>_xlfn.XLOOKUP(CargoROI[[#This Row],[Planet '#]],tblplaneteco[Planet '#],tblplaneteco[Cargo Rate Cost])</f>
        <v/>
      </c>
      <c r="P54" s="63" t="str">
        <f>_xlfn.XLOOKUP(CargoROI[[#This Row],[Planet '#]],tblprogress[Planet '#],tblprogress[Total Time])</f>
        <v/>
      </c>
      <c r="Q54" s="14" t="str">
        <f>IF(
   _xlfn.XLOOKUP(CargoROI[[#This Row],[Planet '#]], tblPlanets[Planet '#], tblPlanets[Name])=CargoROI[[#This Row],[Name]],
   "Match",
   "Mismatch"
)</f>
        <v>Match</v>
      </c>
    </row>
    <row r="55" spans="1:17" x14ac:dyDescent="0.3">
      <c r="A55" s="25">
        <v>54</v>
      </c>
      <c r="B55" s="25" t="str">
        <f>_xlfn.XLOOKUP(tblprogress[[#This Row],[Planet '#]],tblPlanets[Planet '#],tblPlanets[Name])</f>
        <v>Singhana</v>
      </c>
      <c r="C55" s="25">
        <f>_xlfn.XLOOKUP(CargoROI[[#This Row],[Cargo Level]]+1,tblUpgradeStats[Level],tblUpgradeStats[Cargo Amount])</f>
        <v>5</v>
      </c>
      <c r="D55" s="41">
        <f>IFERROR(CargoROI[[#This Row],[Current Efficiency]]*(CargoROI[[#This Row],[Cargo Amount]]/CargoROI[[#This Row],[Next Cargo Amount]]),0)</f>
        <v>0</v>
      </c>
      <c r="E55" s="60">
        <f>CargoROI[[#This Row],[Future Deposit]]-CargoROI[[#This Row],[Current Deposit]]</f>
        <v>0</v>
      </c>
      <c r="F5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5" s="25">
        <f>_xlfn.XLOOKUP(CargoROI[[#This Row],[Planet '#]],tblprogress[Planet '#],tblprogress[Cargo Level])</f>
        <v>0</v>
      </c>
      <c r="I55" s="25">
        <f>_xlfn.XLOOKUP(CargoROI[[#This Row],[Planet '#]],tblprogress[Planet '#],tblprogress[Cargo])</f>
        <v>0</v>
      </c>
      <c r="J55" s="43">
        <f>_xlfn.XLOOKUP(CargoROI[[#This Row],[Planet '#]],tblprogress[Planet '#],tblprogress[Mining Rate])</f>
        <v>0</v>
      </c>
      <c r="K55" s="41">
        <f>_xlfn.XLOOKUP(CargoROI[[#This Row],[Planet '#]],tblprogress[Planet '#],tblprogress[Efficiency],0)</f>
        <v>0</v>
      </c>
      <c r="L55" s="73">
        <f>IF(CargoROI[[#This Row],[Current Efficiency]]&lt;=1,CargoROI[[#This Row],[Mining Rate]]*60,CargoROI[[#This Row],[Cargo Amount]]/CargoROI[[#This Row],[Total Time]]*60)</f>
        <v>0</v>
      </c>
      <c r="M55" s="73">
        <f>IF(CargoROI[[#This Row],[Future Efficiency]]&lt;=1,CargoROI[[#This Row],[Mining Rate]]*60,CargoROI[[#This Row],[Next Cargo Amount]]/CargoROI[[#This Row],[Total Time]]*60)</f>
        <v>0</v>
      </c>
      <c r="N55" s="34">
        <f>_xlfn.XLOOKUP(CargoROI[[#This Row],[Planet '#]],tblplanetvalue[Planet '#],tblplanetvalue[Total Worth])</f>
        <v>3200000</v>
      </c>
      <c r="O55" s="35" t="str">
        <f>_xlfn.XLOOKUP(CargoROI[[#This Row],[Planet '#]],tblplaneteco[Planet '#],tblplaneteco[Cargo Rate Cost])</f>
        <v/>
      </c>
      <c r="P55" s="63" t="str">
        <f>_xlfn.XLOOKUP(CargoROI[[#This Row],[Planet '#]],tblprogress[Planet '#],tblprogress[Total Time])</f>
        <v/>
      </c>
      <c r="Q55" s="14" t="str">
        <f>IF(
   _xlfn.XLOOKUP(CargoROI[[#This Row],[Planet '#]], tblPlanets[Planet '#], tblPlanets[Name])=CargoROI[[#This Row],[Name]],
   "Match",
   "Mismatch"
)</f>
        <v>Match</v>
      </c>
    </row>
    <row r="56" spans="1:17" x14ac:dyDescent="0.3">
      <c r="A56" s="24">
        <v>55</v>
      </c>
      <c r="B56" s="24" t="str">
        <f>_xlfn.XLOOKUP(tblprogress[[#This Row],[Planet '#]],tblPlanets[Planet '#],tblPlanets[Name])</f>
        <v>Zumbia</v>
      </c>
      <c r="C56" s="25">
        <f>_xlfn.XLOOKUP(CargoROI[[#This Row],[Cargo Level]]+1,tblUpgradeStats[Level],tblUpgradeStats[Cargo Amount])</f>
        <v>5</v>
      </c>
      <c r="D56" s="41">
        <f>IFERROR(CargoROI[[#This Row],[Current Efficiency]]*(CargoROI[[#This Row],[Cargo Amount]]/CargoROI[[#This Row],[Next Cargo Amount]]),0)</f>
        <v>0</v>
      </c>
      <c r="E56" s="60">
        <f>CargoROI[[#This Row],[Future Deposit]]-CargoROI[[#This Row],[Current Deposit]]</f>
        <v>0</v>
      </c>
      <c r="F5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6" s="25">
        <f>_xlfn.XLOOKUP(CargoROI[[#This Row],[Planet '#]],tblprogress[Planet '#],tblprogress[Cargo Level])</f>
        <v>0</v>
      </c>
      <c r="I56" s="25">
        <f>_xlfn.XLOOKUP(CargoROI[[#This Row],[Planet '#]],tblprogress[Planet '#],tblprogress[Cargo])</f>
        <v>0</v>
      </c>
      <c r="J56" s="43">
        <f>_xlfn.XLOOKUP(CargoROI[[#This Row],[Planet '#]],tblprogress[Planet '#],tblprogress[Mining Rate])</f>
        <v>0</v>
      </c>
      <c r="K56" s="41">
        <f>_xlfn.XLOOKUP(CargoROI[[#This Row],[Planet '#]],tblprogress[Planet '#],tblprogress[Efficiency],0)</f>
        <v>0</v>
      </c>
      <c r="L56" s="73">
        <f>IF(CargoROI[[#This Row],[Current Efficiency]]&lt;=1,CargoROI[[#This Row],[Mining Rate]]*60,CargoROI[[#This Row],[Cargo Amount]]/CargoROI[[#This Row],[Total Time]]*60)</f>
        <v>0</v>
      </c>
      <c r="M56" s="73">
        <f>IF(CargoROI[[#This Row],[Future Efficiency]]&lt;=1,CargoROI[[#This Row],[Mining Rate]]*60,CargoROI[[#This Row],[Next Cargo Amount]]/CargoROI[[#This Row],[Total Time]]*60)</f>
        <v>0</v>
      </c>
      <c r="N56" s="34">
        <f>_xlfn.XLOOKUP(CargoROI[[#This Row],[Planet '#]],tblplanetvalue[Planet '#],tblplanetvalue[Total Worth])</f>
        <v>3390000</v>
      </c>
      <c r="O56" s="35" t="str">
        <f>_xlfn.XLOOKUP(CargoROI[[#This Row],[Planet '#]],tblplaneteco[Planet '#],tblplaneteco[Cargo Rate Cost])</f>
        <v/>
      </c>
      <c r="P56" s="63" t="str">
        <f>_xlfn.XLOOKUP(CargoROI[[#This Row],[Planet '#]],tblprogress[Planet '#],tblprogress[Total Time])</f>
        <v/>
      </c>
      <c r="Q56" s="14" t="str">
        <f>IF(
   _xlfn.XLOOKUP(CargoROI[[#This Row],[Planet '#]], tblPlanets[Planet '#], tblPlanets[Name])=CargoROI[[#This Row],[Name]],
   "Match",
   "Mismatch"
)</f>
        <v>Match</v>
      </c>
    </row>
    <row r="57" spans="1:17" x14ac:dyDescent="0.3">
      <c r="A57" s="25">
        <v>56</v>
      </c>
      <c r="B57" s="25" t="str">
        <f>_xlfn.XLOOKUP(tblprogress[[#This Row],[Planet '#]],tblPlanets[Planet '#],tblPlanets[Name])</f>
        <v>Elysium</v>
      </c>
      <c r="C57" s="25">
        <f>_xlfn.XLOOKUP(CargoROI[[#This Row],[Cargo Level]]+1,tblUpgradeStats[Level],tblUpgradeStats[Cargo Amount])</f>
        <v>5</v>
      </c>
      <c r="D57" s="41">
        <f>IFERROR(CargoROI[[#This Row],[Current Efficiency]]*(CargoROI[[#This Row],[Cargo Amount]]/CargoROI[[#This Row],[Next Cargo Amount]]),0)</f>
        <v>0</v>
      </c>
      <c r="E57" s="60">
        <f>CargoROI[[#This Row],[Future Deposit]]-CargoROI[[#This Row],[Current Deposit]]</f>
        <v>0</v>
      </c>
      <c r="F5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7" s="25">
        <f>_xlfn.XLOOKUP(CargoROI[[#This Row],[Planet '#]],tblprogress[Planet '#],tblprogress[Cargo Level])</f>
        <v>0</v>
      </c>
      <c r="I57" s="25">
        <f>_xlfn.XLOOKUP(CargoROI[[#This Row],[Planet '#]],tblprogress[Planet '#],tblprogress[Cargo])</f>
        <v>0</v>
      </c>
      <c r="J57" s="43">
        <f>_xlfn.XLOOKUP(CargoROI[[#This Row],[Planet '#]],tblprogress[Planet '#],tblprogress[Mining Rate])</f>
        <v>0</v>
      </c>
      <c r="K57" s="41">
        <f>_xlfn.XLOOKUP(CargoROI[[#This Row],[Planet '#]],tblprogress[Planet '#],tblprogress[Efficiency],0)</f>
        <v>0</v>
      </c>
      <c r="L57" s="73">
        <f>IF(CargoROI[[#This Row],[Current Efficiency]]&lt;=1,CargoROI[[#This Row],[Mining Rate]]*60,CargoROI[[#This Row],[Cargo Amount]]/CargoROI[[#This Row],[Total Time]]*60)</f>
        <v>0</v>
      </c>
      <c r="M57" s="73">
        <f>IF(CargoROI[[#This Row],[Future Efficiency]]&lt;=1,CargoROI[[#This Row],[Mining Rate]]*60,CargoROI[[#This Row],[Next Cargo Amount]]/CargoROI[[#This Row],[Total Time]]*60)</f>
        <v>0</v>
      </c>
      <c r="N57" s="34">
        <f>_xlfn.XLOOKUP(CargoROI[[#This Row],[Planet '#]],tblplanetvalue[Planet '#],tblplanetvalue[Total Worth])</f>
        <v>5604000</v>
      </c>
      <c r="O57" s="35" t="str">
        <f>_xlfn.XLOOKUP(CargoROI[[#This Row],[Planet '#]],tblplaneteco[Planet '#],tblplaneteco[Cargo Rate Cost])</f>
        <v/>
      </c>
      <c r="P57" s="63" t="str">
        <f>_xlfn.XLOOKUP(CargoROI[[#This Row],[Planet '#]],tblprogress[Planet '#],tblprogress[Total Time])</f>
        <v/>
      </c>
      <c r="Q57" s="14" t="str">
        <f>IF(
   _xlfn.XLOOKUP(CargoROI[[#This Row],[Planet '#]], tblPlanets[Planet '#], tblPlanets[Name])=CargoROI[[#This Row],[Name]],
   "Match",
   "Mismatch"
)</f>
        <v>Match</v>
      </c>
    </row>
    <row r="58" spans="1:17" x14ac:dyDescent="0.3">
      <c r="A58" s="24">
        <v>57</v>
      </c>
      <c r="B58" s="24" t="str">
        <f>_xlfn.XLOOKUP(tblprogress[[#This Row],[Planet '#]],tblPlanets[Planet '#],tblPlanets[Name])</f>
        <v>Nyota</v>
      </c>
      <c r="C58" s="25">
        <f>_xlfn.XLOOKUP(CargoROI[[#This Row],[Cargo Level]]+1,tblUpgradeStats[Level],tblUpgradeStats[Cargo Amount])</f>
        <v>5</v>
      </c>
      <c r="D58" s="41">
        <f>IFERROR(CargoROI[[#This Row],[Current Efficiency]]*(CargoROI[[#This Row],[Cargo Amount]]/CargoROI[[#This Row],[Next Cargo Amount]]),0)</f>
        <v>0</v>
      </c>
      <c r="E58" s="60">
        <f>CargoROI[[#This Row],[Future Deposit]]-CargoROI[[#This Row],[Current Deposit]]</f>
        <v>0</v>
      </c>
      <c r="F58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8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8" s="25">
        <f>_xlfn.XLOOKUP(CargoROI[[#This Row],[Planet '#]],tblprogress[Planet '#],tblprogress[Cargo Level])</f>
        <v>0</v>
      </c>
      <c r="I58" s="25">
        <f>_xlfn.XLOOKUP(CargoROI[[#This Row],[Planet '#]],tblprogress[Planet '#],tblprogress[Cargo])</f>
        <v>0</v>
      </c>
      <c r="J58" s="43">
        <f>_xlfn.XLOOKUP(CargoROI[[#This Row],[Planet '#]],tblprogress[Planet '#],tblprogress[Mining Rate])</f>
        <v>0</v>
      </c>
      <c r="K58" s="41">
        <f>_xlfn.XLOOKUP(CargoROI[[#This Row],[Planet '#]],tblprogress[Planet '#],tblprogress[Efficiency],0)</f>
        <v>0</v>
      </c>
      <c r="L58" s="73">
        <f>IF(CargoROI[[#This Row],[Current Efficiency]]&lt;=1,CargoROI[[#This Row],[Mining Rate]]*60,CargoROI[[#This Row],[Cargo Amount]]/CargoROI[[#This Row],[Total Time]]*60)</f>
        <v>0</v>
      </c>
      <c r="M58" s="73">
        <f>IF(CargoROI[[#This Row],[Future Efficiency]]&lt;=1,CargoROI[[#This Row],[Mining Rate]]*60,CargoROI[[#This Row],[Next Cargo Amount]]/CargoROI[[#This Row],[Total Time]]*60)</f>
        <v>0</v>
      </c>
      <c r="N58" s="34">
        <f>_xlfn.XLOOKUP(CargoROI[[#This Row],[Planet '#]],tblplanetvalue[Planet '#],tblplanetvalue[Total Worth])</f>
        <v>9000000</v>
      </c>
      <c r="O58" s="35" t="str">
        <f>_xlfn.XLOOKUP(CargoROI[[#This Row],[Planet '#]],tblplaneteco[Planet '#],tblplaneteco[Cargo Rate Cost])</f>
        <v/>
      </c>
      <c r="P58" s="63" t="str">
        <f>_xlfn.XLOOKUP(CargoROI[[#This Row],[Planet '#]],tblprogress[Planet '#],tblprogress[Total Time])</f>
        <v/>
      </c>
      <c r="Q58" s="14" t="str">
        <f>IF(
   _xlfn.XLOOKUP(CargoROI[[#This Row],[Planet '#]], tblPlanets[Planet '#], tblPlanets[Name])=CargoROI[[#This Row],[Name]],
   "Match",
   "Mismatch"
)</f>
        <v>Match</v>
      </c>
    </row>
    <row r="59" spans="1:17" x14ac:dyDescent="0.3">
      <c r="A59" s="25">
        <v>58</v>
      </c>
      <c r="B59" s="25" t="str">
        <f>_xlfn.XLOOKUP(tblprogress[[#This Row],[Planet '#]],tblPlanets[Planet '#],tblPlanets[Name])</f>
        <v>Doral</v>
      </c>
      <c r="C59" s="25">
        <f>_xlfn.XLOOKUP(CargoROI[[#This Row],[Cargo Level]]+1,tblUpgradeStats[Level],tblUpgradeStats[Cargo Amount])</f>
        <v>5</v>
      </c>
      <c r="D59" s="41">
        <f>IFERROR(CargoROI[[#This Row],[Current Efficiency]]*(CargoROI[[#This Row],[Cargo Amount]]/CargoROI[[#This Row],[Next Cargo Amount]]),0)</f>
        <v>0</v>
      </c>
      <c r="E59" s="60">
        <f>CargoROI[[#This Row],[Future Deposit]]-CargoROI[[#This Row],[Current Deposit]]</f>
        <v>0</v>
      </c>
      <c r="F59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59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59" s="25">
        <f>_xlfn.XLOOKUP(CargoROI[[#This Row],[Planet '#]],tblprogress[Planet '#],tblprogress[Cargo Level])</f>
        <v>0</v>
      </c>
      <c r="I59" s="25">
        <f>_xlfn.XLOOKUP(CargoROI[[#This Row],[Planet '#]],tblprogress[Planet '#],tblprogress[Cargo])</f>
        <v>0</v>
      </c>
      <c r="J59" s="43">
        <f>_xlfn.XLOOKUP(CargoROI[[#This Row],[Planet '#]],tblprogress[Planet '#],tblprogress[Mining Rate])</f>
        <v>0</v>
      </c>
      <c r="K59" s="41">
        <f>_xlfn.XLOOKUP(CargoROI[[#This Row],[Planet '#]],tblprogress[Planet '#],tblprogress[Efficiency],0)</f>
        <v>0</v>
      </c>
      <c r="L59" s="73">
        <f>IF(CargoROI[[#This Row],[Current Efficiency]]&lt;=1,CargoROI[[#This Row],[Mining Rate]]*60,CargoROI[[#This Row],[Cargo Amount]]/CargoROI[[#This Row],[Total Time]]*60)</f>
        <v>0</v>
      </c>
      <c r="M59" s="73">
        <f>IF(CargoROI[[#This Row],[Future Efficiency]]&lt;=1,CargoROI[[#This Row],[Mining Rate]]*60,CargoROI[[#This Row],[Next Cargo Amount]]/CargoROI[[#This Row],[Total Time]]*60)</f>
        <v>0</v>
      </c>
      <c r="N59" s="34">
        <f>_xlfn.XLOOKUP(CargoROI[[#This Row],[Planet '#]],tblplanetvalue[Planet '#],tblplanetvalue[Total Worth])</f>
        <v>10480000</v>
      </c>
      <c r="O59" s="35" t="str">
        <f>_xlfn.XLOOKUP(CargoROI[[#This Row],[Planet '#]],tblplaneteco[Planet '#],tblplaneteco[Cargo Rate Cost])</f>
        <v/>
      </c>
      <c r="P59" s="63" t="str">
        <f>_xlfn.XLOOKUP(CargoROI[[#This Row],[Planet '#]],tblprogress[Planet '#],tblprogress[Total Time])</f>
        <v/>
      </c>
      <c r="Q59" s="14" t="str">
        <f>IF(
   _xlfn.XLOOKUP(CargoROI[[#This Row],[Planet '#]], tblPlanets[Planet '#], tblPlanets[Name])=CargoROI[[#This Row],[Name]],
   "Match",
   "Mismatch"
)</f>
        <v>Match</v>
      </c>
    </row>
    <row r="60" spans="1:17" x14ac:dyDescent="0.3">
      <c r="A60" s="24">
        <v>59</v>
      </c>
      <c r="B60" s="24" t="str">
        <f>_xlfn.XLOOKUP(tblprogress[[#This Row],[Planet '#]],tblPlanets[Planet '#],tblPlanets[Name])</f>
        <v>Nikara</v>
      </c>
      <c r="C60" s="25">
        <f>_xlfn.XLOOKUP(CargoROI[[#This Row],[Cargo Level]]+1,tblUpgradeStats[Level],tblUpgradeStats[Cargo Amount])</f>
        <v>5</v>
      </c>
      <c r="D60" s="41">
        <f>IFERROR(CargoROI[[#This Row],[Current Efficiency]]*(CargoROI[[#This Row],[Cargo Amount]]/CargoROI[[#This Row],[Next Cargo Amount]]),0)</f>
        <v>0</v>
      </c>
      <c r="E60" s="60">
        <f>CargoROI[[#This Row],[Future Deposit]]-CargoROI[[#This Row],[Current Deposit]]</f>
        <v>0</v>
      </c>
      <c r="F60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0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0" s="25">
        <f>_xlfn.XLOOKUP(CargoROI[[#This Row],[Planet '#]],tblprogress[Planet '#],tblprogress[Cargo Level])</f>
        <v>0</v>
      </c>
      <c r="I60" s="25">
        <f>_xlfn.XLOOKUP(CargoROI[[#This Row],[Planet '#]],tblprogress[Planet '#],tblprogress[Cargo])</f>
        <v>0</v>
      </c>
      <c r="J60" s="43">
        <f>_xlfn.XLOOKUP(CargoROI[[#This Row],[Planet '#]],tblprogress[Planet '#],tblprogress[Mining Rate])</f>
        <v>0</v>
      </c>
      <c r="K60" s="41">
        <f>_xlfn.XLOOKUP(CargoROI[[#This Row],[Planet '#]],tblprogress[Planet '#],tblprogress[Efficiency],0)</f>
        <v>0</v>
      </c>
      <c r="L60" s="73">
        <f>IF(CargoROI[[#This Row],[Current Efficiency]]&lt;=1,CargoROI[[#This Row],[Mining Rate]]*60,CargoROI[[#This Row],[Cargo Amount]]/CargoROI[[#This Row],[Total Time]]*60)</f>
        <v>0</v>
      </c>
      <c r="M60" s="73">
        <f>IF(CargoROI[[#This Row],[Future Efficiency]]&lt;=1,CargoROI[[#This Row],[Mining Rate]]*60,CargoROI[[#This Row],[Next Cargo Amount]]/CargoROI[[#This Row],[Total Time]]*60)</f>
        <v>0</v>
      </c>
      <c r="N60" s="34">
        <f>_xlfn.XLOOKUP(CargoROI[[#This Row],[Planet '#]],tblplanetvalue[Planet '#],tblplanetvalue[Total Worth])</f>
        <v>19975000</v>
      </c>
      <c r="O60" s="35" t="str">
        <f>_xlfn.XLOOKUP(CargoROI[[#This Row],[Planet '#]],tblplaneteco[Planet '#],tblplaneteco[Cargo Rate Cost])</f>
        <v/>
      </c>
      <c r="P60" s="63" t="str">
        <f>_xlfn.XLOOKUP(CargoROI[[#This Row],[Planet '#]],tblprogress[Planet '#],tblprogress[Total Time])</f>
        <v/>
      </c>
      <c r="Q60" s="14" t="str">
        <f>IF(
   _xlfn.XLOOKUP(CargoROI[[#This Row],[Planet '#]], tblPlanets[Planet '#], tblPlanets[Name])=CargoROI[[#This Row],[Name]],
   "Match",
   "Mismatch"
)</f>
        <v>Match</v>
      </c>
    </row>
    <row r="61" spans="1:17" x14ac:dyDescent="0.3">
      <c r="A61" s="25">
        <v>60</v>
      </c>
      <c r="B61" s="25" t="str">
        <f>_xlfn.XLOOKUP(tblprogress[[#This Row],[Planet '#]],tblPlanets[Planet '#],tblPlanets[Name])</f>
        <v>Limbo</v>
      </c>
      <c r="C61" s="25">
        <f>_xlfn.XLOOKUP(CargoROI[[#This Row],[Cargo Level]]+1,tblUpgradeStats[Level],tblUpgradeStats[Cargo Amount])</f>
        <v>5</v>
      </c>
      <c r="D61" s="41">
        <f>IFERROR(CargoROI[[#This Row],[Current Efficiency]]*(CargoROI[[#This Row],[Cargo Amount]]/CargoROI[[#This Row],[Next Cargo Amount]]),0)</f>
        <v>0</v>
      </c>
      <c r="E61" s="60">
        <f>CargoROI[[#This Row],[Future Deposit]]-CargoROI[[#This Row],[Current Deposit]]</f>
        <v>0</v>
      </c>
      <c r="F61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1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1" s="25">
        <f>_xlfn.XLOOKUP(CargoROI[[#This Row],[Planet '#]],tblprogress[Planet '#],tblprogress[Cargo Level])</f>
        <v>0</v>
      </c>
      <c r="I61" s="25">
        <f>_xlfn.XLOOKUP(CargoROI[[#This Row],[Planet '#]],tblprogress[Planet '#],tblprogress[Cargo])</f>
        <v>0</v>
      </c>
      <c r="J61" s="43">
        <f>_xlfn.XLOOKUP(CargoROI[[#This Row],[Planet '#]],tblprogress[Planet '#],tblprogress[Mining Rate])</f>
        <v>0</v>
      </c>
      <c r="K61" s="41">
        <f>_xlfn.XLOOKUP(CargoROI[[#This Row],[Planet '#]],tblprogress[Planet '#],tblprogress[Efficiency],0)</f>
        <v>0</v>
      </c>
      <c r="L61" s="73">
        <f>IF(CargoROI[[#This Row],[Current Efficiency]]&lt;=1,CargoROI[[#This Row],[Mining Rate]]*60,CargoROI[[#This Row],[Cargo Amount]]/CargoROI[[#This Row],[Total Time]]*60)</f>
        <v>0</v>
      </c>
      <c r="M61" s="73">
        <f>IF(CargoROI[[#This Row],[Future Efficiency]]&lt;=1,CargoROI[[#This Row],[Mining Rate]]*60,CargoROI[[#This Row],[Next Cargo Amount]]/CargoROI[[#This Row],[Total Time]]*60)</f>
        <v>0</v>
      </c>
      <c r="N61" s="34">
        <f>_xlfn.XLOOKUP(CargoROI[[#This Row],[Planet '#]],tblplanetvalue[Planet '#],tblplanetvalue[Total Worth])</f>
        <v>28000000</v>
      </c>
      <c r="O61" s="35" t="str">
        <f>_xlfn.XLOOKUP(CargoROI[[#This Row],[Planet '#]],tblplaneteco[Planet '#],tblplaneteco[Cargo Rate Cost])</f>
        <v/>
      </c>
      <c r="P61" s="63" t="str">
        <f>_xlfn.XLOOKUP(CargoROI[[#This Row],[Planet '#]],tblprogress[Planet '#],tblprogress[Total Time])</f>
        <v/>
      </c>
      <c r="Q61" s="14" t="str">
        <f>IF(
   _xlfn.XLOOKUP(CargoROI[[#This Row],[Planet '#]], tblPlanets[Planet '#], tblPlanets[Name])=CargoROI[[#This Row],[Name]],
   "Match",
   "Mismatch"
)</f>
        <v>Match</v>
      </c>
    </row>
    <row r="62" spans="1:17" x14ac:dyDescent="0.3">
      <c r="A62" s="24">
        <v>61</v>
      </c>
      <c r="B62" s="24" t="str">
        <f>_xlfn.XLOOKUP(tblprogress[[#This Row],[Planet '#]],tblPlanets[Planet '#],tblPlanets[Name])</f>
        <v>Bob</v>
      </c>
      <c r="C62" s="25">
        <f>_xlfn.XLOOKUP(CargoROI[[#This Row],[Cargo Level]]+1,tblUpgradeStats[Level],tblUpgradeStats[Cargo Amount])</f>
        <v>5</v>
      </c>
      <c r="D62" s="41">
        <f>IFERROR(CargoROI[[#This Row],[Current Efficiency]]*(CargoROI[[#This Row],[Cargo Amount]]/CargoROI[[#This Row],[Next Cargo Amount]]),0)</f>
        <v>0</v>
      </c>
      <c r="E62" s="60">
        <f>CargoROI[[#This Row],[Future Deposit]]-CargoROI[[#This Row],[Current Deposit]]</f>
        <v>0</v>
      </c>
      <c r="F6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2" s="25">
        <f>_xlfn.XLOOKUP(CargoROI[[#This Row],[Planet '#]],tblprogress[Planet '#],tblprogress[Cargo Level])</f>
        <v>0</v>
      </c>
      <c r="I62" s="25">
        <f>_xlfn.XLOOKUP(CargoROI[[#This Row],[Planet '#]],tblprogress[Planet '#],tblprogress[Cargo])</f>
        <v>0</v>
      </c>
      <c r="J62" s="43">
        <f>_xlfn.XLOOKUP(CargoROI[[#This Row],[Planet '#]],tblprogress[Planet '#],tblprogress[Mining Rate])</f>
        <v>0</v>
      </c>
      <c r="K62" s="41">
        <f>_xlfn.XLOOKUP(CargoROI[[#This Row],[Planet '#]],tblprogress[Planet '#],tblprogress[Efficiency],0)</f>
        <v>0</v>
      </c>
      <c r="L62" s="73">
        <f>IF(CargoROI[[#This Row],[Current Efficiency]]&lt;=1,CargoROI[[#This Row],[Mining Rate]]*60,CargoROI[[#This Row],[Cargo Amount]]/CargoROI[[#This Row],[Total Time]]*60)</f>
        <v>0</v>
      </c>
      <c r="M62" s="73">
        <f>IF(CargoROI[[#This Row],[Future Efficiency]]&lt;=1,CargoROI[[#This Row],[Mining Rate]]*60,CargoROI[[#This Row],[Next Cargo Amount]]/CargoROI[[#This Row],[Total Time]]*60)</f>
        <v>0</v>
      </c>
      <c r="N62" s="34">
        <f>_xlfn.XLOOKUP(CargoROI[[#This Row],[Planet '#]],tblplanetvalue[Planet '#],tblplanetvalue[Total Worth])</f>
        <v>46600000</v>
      </c>
      <c r="O62" s="35" t="str">
        <f>_xlfn.XLOOKUP(CargoROI[[#This Row],[Planet '#]],tblplaneteco[Planet '#],tblplaneteco[Cargo Rate Cost])</f>
        <v/>
      </c>
      <c r="P62" s="63" t="str">
        <f>_xlfn.XLOOKUP(CargoROI[[#This Row],[Planet '#]],tblprogress[Planet '#],tblprogress[Total Time])</f>
        <v/>
      </c>
      <c r="Q62" s="14" t="str">
        <f>IF(
   _xlfn.XLOOKUP(CargoROI[[#This Row],[Planet '#]], tblPlanets[Planet '#], tblPlanets[Name])=CargoROI[[#This Row],[Name]],
   "Match",
   "Mismatch"
)</f>
        <v>Match</v>
      </c>
    </row>
    <row r="63" spans="1:17" x14ac:dyDescent="0.3">
      <c r="A63" s="25">
        <v>62</v>
      </c>
      <c r="B63" s="25" t="str">
        <f>_xlfn.XLOOKUP(tblprogress[[#This Row],[Planet '#]],tblPlanets[Planet '#],tblPlanets[Name])</f>
        <v>Midas</v>
      </c>
      <c r="C63" s="25">
        <f>_xlfn.XLOOKUP(CargoROI[[#This Row],[Cargo Level]]+1,tblUpgradeStats[Level],tblUpgradeStats[Cargo Amount])</f>
        <v>5</v>
      </c>
      <c r="D63" s="41">
        <f>IFERROR(CargoROI[[#This Row],[Current Efficiency]]*(CargoROI[[#This Row],[Cargo Amount]]/CargoROI[[#This Row],[Next Cargo Amount]]),0)</f>
        <v>0</v>
      </c>
      <c r="E63" s="60">
        <f>CargoROI[[#This Row],[Future Deposit]]-CargoROI[[#This Row],[Current Deposit]]</f>
        <v>0</v>
      </c>
      <c r="F6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3" s="25">
        <f>_xlfn.XLOOKUP(CargoROI[[#This Row],[Planet '#]],tblprogress[Planet '#],tblprogress[Cargo Level])</f>
        <v>0</v>
      </c>
      <c r="I63" s="25">
        <f>_xlfn.XLOOKUP(CargoROI[[#This Row],[Planet '#]],tblprogress[Planet '#],tblprogress[Cargo])</f>
        <v>0</v>
      </c>
      <c r="J63" s="43">
        <f>_xlfn.XLOOKUP(CargoROI[[#This Row],[Planet '#]],tblprogress[Planet '#],tblprogress[Mining Rate])</f>
        <v>0</v>
      </c>
      <c r="K63" s="41">
        <f>_xlfn.XLOOKUP(CargoROI[[#This Row],[Planet '#]],tblprogress[Planet '#],tblprogress[Efficiency],0)</f>
        <v>0</v>
      </c>
      <c r="L63" s="73">
        <f>IF(CargoROI[[#This Row],[Current Efficiency]]&lt;=1,CargoROI[[#This Row],[Mining Rate]]*60,CargoROI[[#This Row],[Cargo Amount]]/CargoROI[[#This Row],[Total Time]]*60)</f>
        <v>0</v>
      </c>
      <c r="M63" s="73">
        <f>IF(CargoROI[[#This Row],[Future Efficiency]]&lt;=1,CargoROI[[#This Row],[Mining Rate]]*60,CargoROI[[#This Row],[Next Cargo Amount]]/CargoROI[[#This Row],[Total Time]]*60)</f>
        <v>0</v>
      </c>
      <c r="N63" s="34">
        <f>_xlfn.XLOOKUP(CargoROI[[#This Row],[Planet '#]],tblplanetvalue[Planet '#],tblplanetvalue[Total Worth])</f>
        <v>50940000.000000007</v>
      </c>
      <c r="O63" s="35" t="str">
        <f>_xlfn.XLOOKUP(CargoROI[[#This Row],[Planet '#]],tblplaneteco[Planet '#],tblplaneteco[Cargo Rate Cost])</f>
        <v/>
      </c>
      <c r="P63" s="63" t="str">
        <f>_xlfn.XLOOKUP(CargoROI[[#This Row],[Planet '#]],tblprogress[Planet '#],tblprogress[Total Time])</f>
        <v/>
      </c>
      <c r="Q63" s="14" t="str">
        <f>IF(
   _xlfn.XLOOKUP(CargoROI[[#This Row],[Planet '#]], tblPlanets[Planet '#], tblPlanets[Name])=CargoROI[[#This Row],[Name]],
   "Match",
   "Mismatch"
)</f>
        <v>Match</v>
      </c>
    </row>
    <row r="64" spans="1:17" x14ac:dyDescent="0.3">
      <c r="A64" s="24">
        <v>63</v>
      </c>
      <c r="B64" s="24" t="str">
        <f>_xlfn.XLOOKUP(tblprogress[[#This Row],[Planet '#]],tblPlanets[Planet '#],tblPlanets[Name])</f>
        <v>Antigone</v>
      </c>
      <c r="C64" s="25">
        <f>_xlfn.XLOOKUP(CargoROI[[#This Row],[Cargo Level]]+1,tblUpgradeStats[Level],tblUpgradeStats[Cargo Amount])</f>
        <v>5</v>
      </c>
      <c r="D64" s="41">
        <f>IFERROR(CargoROI[[#This Row],[Current Efficiency]]*(CargoROI[[#This Row],[Cargo Amount]]/CargoROI[[#This Row],[Next Cargo Amount]]),0)</f>
        <v>0</v>
      </c>
      <c r="E64" s="60">
        <f>CargoROI[[#This Row],[Future Deposit]]-CargoROI[[#This Row],[Current Deposit]]</f>
        <v>0</v>
      </c>
      <c r="F6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4" s="25">
        <f>_xlfn.XLOOKUP(CargoROI[[#This Row],[Planet '#]],tblprogress[Planet '#],tblprogress[Cargo Level])</f>
        <v>0</v>
      </c>
      <c r="I64" s="25">
        <f>_xlfn.XLOOKUP(CargoROI[[#This Row],[Planet '#]],tblprogress[Planet '#],tblprogress[Cargo])</f>
        <v>0</v>
      </c>
      <c r="J64" s="43">
        <f>_xlfn.XLOOKUP(CargoROI[[#This Row],[Planet '#]],tblprogress[Planet '#],tblprogress[Mining Rate])</f>
        <v>0</v>
      </c>
      <c r="K64" s="41">
        <f>_xlfn.XLOOKUP(CargoROI[[#This Row],[Planet '#]],tblprogress[Planet '#],tblprogress[Efficiency],0)</f>
        <v>0</v>
      </c>
      <c r="L64" s="73">
        <f>IF(CargoROI[[#This Row],[Current Efficiency]]&lt;=1,CargoROI[[#This Row],[Mining Rate]]*60,CargoROI[[#This Row],[Cargo Amount]]/CargoROI[[#This Row],[Total Time]]*60)</f>
        <v>0</v>
      </c>
      <c r="M64" s="73">
        <f>IF(CargoROI[[#This Row],[Future Efficiency]]&lt;=1,CargoROI[[#This Row],[Mining Rate]]*60,CargoROI[[#This Row],[Next Cargo Amount]]/CargoROI[[#This Row],[Total Time]]*60)</f>
        <v>0</v>
      </c>
      <c r="N64" s="34">
        <f>_xlfn.XLOOKUP(CargoROI[[#This Row],[Planet '#]],tblplanetvalue[Planet '#],tblplanetvalue[Total Worth])</f>
        <v>90000000</v>
      </c>
      <c r="O64" s="35" t="str">
        <f>_xlfn.XLOOKUP(CargoROI[[#This Row],[Planet '#]],tblplaneteco[Planet '#],tblplaneteco[Cargo Rate Cost])</f>
        <v/>
      </c>
      <c r="P64" s="63" t="str">
        <f>_xlfn.XLOOKUP(CargoROI[[#This Row],[Planet '#]],tblprogress[Planet '#],tblprogress[Total Time])</f>
        <v/>
      </c>
      <c r="Q64" s="14" t="str">
        <f>IF(
   _xlfn.XLOOKUP(CargoROI[[#This Row],[Planet '#]], tblPlanets[Planet '#], tblPlanets[Name])=CargoROI[[#This Row],[Name]],
   "Match",
   "Mismatch"
)</f>
        <v>Match</v>
      </c>
    </row>
    <row r="65" spans="1:17" x14ac:dyDescent="0.3">
      <c r="A65" s="25">
        <v>64</v>
      </c>
      <c r="B65" s="25" t="str">
        <f>_xlfn.XLOOKUP(tblprogress[[#This Row],[Planet '#]],tblPlanets[Planet '#],tblPlanets[Name])</f>
        <v>Hecate</v>
      </c>
      <c r="C65" s="25">
        <f>_xlfn.XLOOKUP(CargoROI[[#This Row],[Cargo Level]]+1,tblUpgradeStats[Level],tblUpgradeStats[Cargo Amount])</f>
        <v>5</v>
      </c>
      <c r="D65" s="41">
        <f>IFERROR(CargoROI[[#This Row],[Current Efficiency]]*(CargoROI[[#This Row],[Cargo Amount]]/CargoROI[[#This Row],[Next Cargo Amount]]),0)</f>
        <v>0</v>
      </c>
      <c r="E65" s="60">
        <f>CargoROI[[#This Row],[Future Deposit]]-CargoROI[[#This Row],[Current Deposit]]</f>
        <v>0</v>
      </c>
      <c r="F6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5" s="25">
        <f>_xlfn.XLOOKUP(CargoROI[[#This Row],[Planet '#]],tblprogress[Planet '#],tblprogress[Cargo Level])</f>
        <v>0</v>
      </c>
      <c r="I65" s="25">
        <f>_xlfn.XLOOKUP(CargoROI[[#This Row],[Planet '#]],tblprogress[Planet '#],tblprogress[Cargo])</f>
        <v>0</v>
      </c>
      <c r="J65" s="43">
        <f>_xlfn.XLOOKUP(CargoROI[[#This Row],[Planet '#]],tblprogress[Planet '#],tblprogress[Mining Rate])</f>
        <v>0</v>
      </c>
      <c r="K65" s="41">
        <f>_xlfn.XLOOKUP(CargoROI[[#This Row],[Planet '#]],tblprogress[Planet '#],tblprogress[Efficiency],0)</f>
        <v>0</v>
      </c>
      <c r="L65" s="73">
        <f>IF(CargoROI[[#This Row],[Current Efficiency]]&lt;=1,CargoROI[[#This Row],[Mining Rate]]*60,CargoROI[[#This Row],[Cargo Amount]]/CargoROI[[#This Row],[Total Time]]*60)</f>
        <v>0</v>
      </c>
      <c r="M65" s="73">
        <f>IF(CargoROI[[#This Row],[Future Efficiency]]&lt;=1,CargoROI[[#This Row],[Mining Rate]]*60,CargoROI[[#This Row],[Next Cargo Amount]]/CargoROI[[#This Row],[Total Time]]*60)</f>
        <v>0</v>
      </c>
      <c r="N65" s="34">
        <f>_xlfn.XLOOKUP(CargoROI[[#This Row],[Planet '#]],tblplanetvalue[Planet '#],tblplanetvalue[Total Worth])</f>
        <v>127000000</v>
      </c>
      <c r="O65" s="35" t="str">
        <f>_xlfn.XLOOKUP(CargoROI[[#This Row],[Planet '#]],tblplaneteco[Planet '#],tblplaneteco[Cargo Rate Cost])</f>
        <v/>
      </c>
      <c r="P65" s="63" t="str">
        <f>_xlfn.XLOOKUP(CargoROI[[#This Row],[Planet '#]],tblprogress[Planet '#],tblprogress[Total Time])</f>
        <v/>
      </c>
      <c r="Q65" s="14" t="str">
        <f>IF(
   _xlfn.XLOOKUP(CargoROI[[#This Row],[Planet '#]], tblPlanets[Planet '#], tblPlanets[Name])=CargoROI[[#This Row],[Name]],
   "Match",
   "Mismatch"
)</f>
        <v>Match</v>
      </c>
    </row>
    <row r="66" spans="1:17" x14ac:dyDescent="0.3">
      <c r="A66" s="24">
        <v>65</v>
      </c>
      <c r="B66" s="24" t="str">
        <f>_xlfn.XLOOKUP(tblprogress[[#This Row],[Planet '#]],tblPlanets[Planet '#],tblPlanets[Name])</f>
        <v>Sterop</v>
      </c>
      <c r="C66" s="25">
        <f>_xlfn.XLOOKUP(CargoROI[[#This Row],[Cargo Level]]+1,tblUpgradeStats[Level],tblUpgradeStats[Cargo Amount])</f>
        <v>5</v>
      </c>
      <c r="D66" s="41">
        <f>IFERROR(CargoROI[[#This Row],[Current Efficiency]]*(CargoROI[[#This Row],[Cargo Amount]]/CargoROI[[#This Row],[Next Cargo Amount]]),0)</f>
        <v>0</v>
      </c>
      <c r="E66" s="60">
        <f>CargoROI[[#This Row],[Future Deposit]]-CargoROI[[#This Row],[Current Deposit]]</f>
        <v>0</v>
      </c>
      <c r="F6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6" s="25">
        <f>_xlfn.XLOOKUP(CargoROI[[#This Row],[Planet '#]],tblprogress[Planet '#],tblprogress[Cargo Level])</f>
        <v>0</v>
      </c>
      <c r="I66" s="25">
        <f>_xlfn.XLOOKUP(CargoROI[[#This Row],[Planet '#]],tblprogress[Planet '#],tblprogress[Cargo])</f>
        <v>0</v>
      </c>
      <c r="J66" s="43">
        <f>_xlfn.XLOOKUP(CargoROI[[#This Row],[Planet '#]],tblprogress[Planet '#],tblprogress[Mining Rate])</f>
        <v>0</v>
      </c>
      <c r="K66" s="41">
        <f>_xlfn.XLOOKUP(CargoROI[[#This Row],[Planet '#]],tblprogress[Planet '#],tblprogress[Efficiency],0)</f>
        <v>0</v>
      </c>
      <c r="L66" s="73">
        <f>IF(CargoROI[[#This Row],[Current Efficiency]]&lt;=1,CargoROI[[#This Row],[Mining Rate]]*60,CargoROI[[#This Row],[Cargo Amount]]/CargoROI[[#This Row],[Total Time]]*60)</f>
        <v>0</v>
      </c>
      <c r="M66" s="73">
        <f>IF(CargoROI[[#This Row],[Future Efficiency]]&lt;=1,CargoROI[[#This Row],[Mining Rate]]*60,CargoROI[[#This Row],[Next Cargo Amount]]/CargoROI[[#This Row],[Total Time]]*60)</f>
        <v>0</v>
      </c>
      <c r="N66" s="34">
        <f>_xlfn.XLOOKUP(CargoROI[[#This Row],[Planet '#]],tblplanetvalue[Planet '#],tblplanetvalue[Total Worth])</f>
        <v>199800000</v>
      </c>
      <c r="O66" s="35" t="str">
        <f>_xlfn.XLOOKUP(CargoROI[[#This Row],[Planet '#]],tblplaneteco[Planet '#],tblplaneteco[Cargo Rate Cost])</f>
        <v/>
      </c>
      <c r="P66" s="63" t="str">
        <f>_xlfn.XLOOKUP(CargoROI[[#This Row],[Planet '#]],tblprogress[Planet '#],tblprogress[Total Time])</f>
        <v/>
      </c>
      <c r="Q66" s="14" t="str">
        <f>IF(
   _xlfn.XLOOKUP(CargoROI[[#This Row],[Planet '#]], tblPlanets[Planet '#], tblPlanets[Name])=CargoROI[[#This Row],[Name]],
   "Match",
   "Mismatch"
)</f>
        <v>Match</v>
      </c>
    </row>
    <row r="67" spans="1:17" x14ac:dyDescent="0.3">
      <c r="A67" s="25">
        <v>66</v>
      </c>
      <c r="B67" s="25" t="str">
        <f>_xlfn.XLOOKUP(tblprogress[[#This Row],[Planet '#]],tblPlanets[Planet '#],tblPlanets[Name])</f>
        <v>Lavinia</v>
      </c>
      <c r="C67" s="25">
        <f>_xlfn.XLOOKUP(CargoROI[[#This Row],[Cargo Level]]+1,tblUpgradeStats[Level],tblUpgradeStats[Cargo Amount])</f>
        <v>5</v>
      </c>
      <c r="D67" s="41">
        <f>IFERROR(CargoROI[[#This Row],[Current Efficiency]]*(CargoROI[[#This Row],[Cargo Amount]]/CargoROI[[#This Row],[Next Cargo Amount]]),0)</f>
        <v>0</v>
      </c>
      <c r="E67" s="60">
        <f>CargoROI[[#This Row],[Future Deposit]]-CargoROI[[#This Row],[Current Deposit]]</f>
        <v>0</v>
      </c>
      <c r="F6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7" s="25">
        <f>_xlfn.XLOOKUP(CargoROI[[#This Row],[Planet '#]],tblprogress[Planet '#],tblprogress[Cargo Level])</f>
        <v>0</v>
      </c>
      <c r="I67" s="25">
        <f>_xlfn.XLOOKUP(CargoROI[[#This Row],[Planet '#]],tblprogress[Planet '#],tblprogress[Cargo])</f>
        <v>0</v>
      </c>
      <c r="J67" s="43">
        <f>_xlfn.XLOOKUP(CargoROI[[#This Row],[Planet '#]],tblprogress[Planet '#],tblprogress[Mining Rate])</f>
        <v>0</v>
      </c>
      <c r="K67" s="41">
        <f>_xlfn.XLOOKUP(CargoROI[[#This Row],[Planet '#]],tblprogress[Planet '#],tblprogress[Efficiency],0)</f>
        <v>0</v>
      </c>
      <c r="L67" s="73">
        <f>IF(CargoROI[[#This Row],[Current Efficiency]]&lt;=1,CargoROI[[#This Row],[Mining Rate]]*60,CargoROI[[#This Row],[Cargo Amount]]/CargoROI[[#This Row],[Total Time]]*60)</f>
        <v>0</v>
      </c>
      <c r="M67" s="73">
        <f>IF(CargoROI[[#This Row],[Future Efficiency]]&lt;=1,CargoROI[[#This Row],[Mining Rate]]*60,CargoROI[[#This Row],[Next Cargo Amount]]/CargoROI[[#This Row],[Total Time]]*60)</f>
        <v>0</v>
      </c>
      <c r="N67" s="34">
        <f>_xlfn.XLOOKUP(CargoROI[[#This Row],[Planet '#]],tblplanetvalue[Planet '#],tblplanetvalue[Total Worth])</f>
        <v>300000000</v>
      </c>
      <c r="O67" s="35" t="str">
        <f>_xlfn.XLOOKUP(CargoROI[[#This Row],[Planet '#]],tblplaneteco[Planet '#],tblplaneteco[Cargo Rate Cost])</f>
        <v/>
      </c>
      <c r="P67" s="63" t="str">
        <f>_xlfn.XLOOKUP(CargoROI[[#This Row],[Planet '#]],tblprogress[Planet '#],tblprogress[Total Time])</f>
        <v/>
      </c>
      <c r="Q67" s="14" t="str">
        <f>IF(
   _xlfn.XLOOKUP(CargoROI[[#This Row],[Planet '#]], tblPlanets[Planet '#], tblPlanets[Name])=CargoROI[[#This Row],[Name]],
   "Match",
   "Mismatch"
)</f>
        <v>Match</v>
      </c>
    </row>
    <row r="68" spans="1:17" x14ac:dyDescent="0.3">
      <c r="A68" s="24">
        <v>67</v>
      </c>
      <c r="B68" s="24" t="str">
        <f>_xlfn.XLOOKUP(tblprogress[[#This Row],[Planet '#]],tblPlanets[Planet '#],tblPlanets[Name])</f>
        <v>Ren</v>
      </c>
      <c r="C68" s="25">
        <f>_xlfn.XLOOKUP(CargoROI[[#This Row],[Cargo Level]]+1,tblUpgradeStats[Level],tblUpgradeStats[Cargo Amount])</f>
        <v>5</v>
      </c>
      <c r="D68" s="41">
        <f>IFERROR(CargoROI[[#This Row],[Current Efficiency]]*(CargoROI[[#This Row],[Cargo Amount]]/CargoROI[[#This Row],[Next Cargo Amount]]),0)</f>
        <v>0</v>
      </c>
      <c r="E68" s="60">
        <f>CargoROI[[#This Row],[Future Deposit]]-CargoROI[[#This Row],[Current Deposit]]</f>
        <v>0</v>
      </c>
      <c r="F68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8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8" s="25">
        <f>_xlfn.XLOOKUP(CargoROI[[#This Row],[Planet '#]],tblprogress[Planet '#],tblprogress[Cargo Level])</f>
        <v>0</v>
      </c>
      <c r="I68" s="25">
        <f>_xlfn.XLOOKUP(CargoROI[[#This Row],[Planet '#]],tblprogress[Planet '#],tblprogress[Cargo])</f>
        <v>0</v>
      </c>
      <c r="J68" s="43">
        <f>_xlfn.XLOOKUP(CargoROI[[#This Row],[Planet '#]],tblprogress[Planet '#],tblprogress[Mining Rate])</f>
        <v>0</v>
      </c>
      <c r="K68" s="41">
        <f>_xlfn.XLOOKUP(CargoROI[[#This Row],[Planet '#]],tblprogress[Planet '#],tblprogress[Efficiency],0)</f>
        <v>0</v>
      </c>
      <c r="L68" s="73">
        <f>IF(CargoROI[[#This Row],[Current Efficiency]]&lt;=1,CargoROI[[#This Row],[Mining Rate]]*60,CargoROI[[#This Row],[Cargo Amount]]/CargoROI[[#This Row],[Total Time]]*60)</f>
        <v>0</v>
      </c>
      <c r="M68" s="73">
        <f>IF(CargoROI[[#This Row],[Future Efficiency]]&lt;=1,CargoROI[[#This Row],[Mining Rate]]*60,CargoROI[[#This Row],[Next Cargo Amount]]/CargoROI[[#This Row],[Total Time]]*60)</f>
        <v>0</v>
      </c>
      <c r="N68" s="34">
        <f>_xlfn.XLOOKUP(CargoROI[[#This Row],[Planet '#]],tblplanetvalue[Planet '#],tblplanetvalue[Total Worth])</f>
        <v>338000000</v>
      </c>
      <c r="O68" s="35" t="str">
        <f>_xlfn.XLOOKUP(CargoROI[[#This Row],[Planet '#]],tblplaneteco[Planet '#],tblplaneteco[Cargo Rate Cost])</f>
        <v/>
      </c>
      <c r="P68" s="63" t="str">
        <f>_xlfn.XLOOKUP(CargoROI[[#This Row],[Planet '#]],tblprogress[Planet '#],tblprogress[Total Time])</f>
        <v/>
      </c>
      <c r="Q68" s="14" t="str">
        <f>IF(
   _xlfn.XLOOKUP(CargoROI[[#This Row],[Planet '#]], tblPlanets[Planet '#], tblPlanets[Name])=CargoROI[[#This Row],[Name]],
   "Match",
   "Mismatch"
)</f>
        <v>Match</v>
      </c>
    </row>
    <row r="69" spans="1:17" x14ac:dyDescent="0.3">
      <c r="A69" s="25">
        <v>68</v>
      </c>
      <c r="B69" s="25" t="str">
        <f>_xlfn.XLOOKUP(tblprogress[[#This Row],[Planet '#]],tblPlanets[Planet '#],tblPlanets[Name])</f>
        <v>Gorgons</v>
      </c>
      <c r="C69" s="25">
        <f>_xlfn.XLOOKUP(CargoROI[[#This Row],[Cargo Level]]+1,tblUpgradeStats[Level],tblUpgradeStats[Cargo Amount])</f>
        <v>5</v>
      </c>
      <c r="D69" s="41">
        <f>IFERROR(CargoROI[[#This Row],[Current Efficiency]]*(CargoROI[[#This Row],[Cargo Amount]]/CargoROI[[#This Row],[Next Cargo Amount]]),0)</f>
        <v>0</v>
      </c>
      <c r="E69" s="60">
        <f>CargoROI[[#This Row],[Future Deposit]]-CargoROI[[#This Row],[Current Deposit]]</f>
        <v>0</v>
      </c>
      <c r="F69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69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69" s="25">
        <f>_xlfn.XLOOKUP(CargoROI[[#This Row],[Planet '#]],tblprogress[Planet '#],tblprogress[Cargo Level])</f>
        <v>0</v>
      </c>
      <c r="I69" s="25">
        <f>_xlfn.XLOOKUP(CargoROI[[#This Row],[Planet '#]],tblprogress[Planet '#],tblprogress[Cargo])</f>
        <v>0</v>
      </c>
      <c r="J69" s="43">
        <f>_xlfn.XLOOKUP(CargoROI[[#This Row],[Planet '#]],tblprogress[Planet '#],tblprogress[Mining Rate])</f>
        <v>0</v>
      </c>
      <c r="K69" s="41">
        <f>_xlfn.XLOOKUP(CargoROI[[#This Row],[Planet '#]],tblprogress[Planet '#],tblprogress[Efficiency],0)</f>
        <v>0</v>
      </c>
      <c r="L69" s="73">
        <f>IF(CargoROI[[#This Row],[Current Efficiency]]&lt;=1,CargoROI[[#This Row],[Mining Rate]]*60,CargoROI[[#This Row],[Cargo Amount]]/CargoROI[[#This Row],[Total Time]]*60)</f>
        <v>0</v>
      </c>
      <c r="M69" s="73">
        <f>IF(CargoROI[[#This Row],[Future Efficiency]]&lt;=1,CargoROI[[#This Row],[Mining Rate]]*60,CargoROI[[#This Row],[Next Cargo Amount]]/CargoROI[[#This Row],[Total Time]]*60)</f>
        <v>0</v>
      </c>
      <c r="N69" s="34">
        <f>_xlfn.XLOOKUP(CargoROI[[#This Row],[Planet '#]],tblplanetvalue[Planet '#],tblplanetvalue[Total Worth])</f>
        <v>671200000</v>
      </c>
      <c r="O69" s="35" t="str">
        <f>_xlfn.XLOOKUP(CargoROI[[#This Row],[Planet '#]],tblplaneteco[Planet '#],tblplaneteco[Cargo Rate Cost])</f>
        <v/>
      </c>
      <c r="P69" s="63" t="str">
        <f>_xlfn.XLOOKUP(CargoROI[[#This Row],[Planet '#]],tblprogress[Planet '#],tblprogress[Total Time])</f>
        <v/>
      </c>
      <c r="Q69" s="14" t="str">
        <f>IF(
   _xlfn.XLOOKUP(CargoROI[[#This Row],[Planet '#]], tblPlanets[Planet '#], tblPlanets[Name])=CargoROI[[#This Row],[Name]],
   "Match",
   "Mismatch"
)</f>
        <v>Match</v>
      </c>
    </row>
    <row r="70" spans="1:17" x14ac:dyDescent="0.3">
      <c r="A70" s="24">
        <v>69</v>
      </c>
      <c r="B70" s="24" t="str">
        <f>_xlfn.XLOOKUP(tblprogress[[#This Row],[Planet '#]],tblPlanets[Planet '#],tblPlanets[Name])</f>
        <v>Pontus</v>
      </c>
      <c r="C70" s="25">
        <f>_xlfn.XLOOKUP(CargoROI[[#This Row],[Cargo Level]]+1,tblUpgradeStats[Level],tblUpgradeStats[Cargo Amount])</f>
        <v>5</v>
      </c>
      <c r="D70" s="41">
        <f>IFERROR(CargoROI[[#This Row],[Current Efficiency]]*(CargoROI[[#This Row],[Cargo Amount]]/CargoROI[[#This Row],[Next Cargo Amount]]),0)</f>
        <v>0</v>
      </c>
      <c r="E70" s="60">
        <f>CargoROI[[#This Row],[Future Deposit]]-CargoROI[[#This Row],[Current Deposit]]</f>
        <v>0</v>
      </c>
      <c r="F70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0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0" s="25">
        <f>_xlfn.XLOOKUP(CargoROI[[#This Row],[Planet '#]],tblprogress[Planet '#],tblprogress[Cargo Level])</f>
        <v>0</v>
      </c>
      <c r="I70" s="25">
        <f>_xlfn.XLOOKUP(CargoROI[[#This Row],[Planet '#]],tblprogress[Planet '#],tblprogress[Cargo])</f>
        <v>0</v>
      </c>
      <c r="J70" s="43">
        <f>_xlfn.XLOOKUP(CargoROI[[#This Row],[Planet '#]],tblprogress[Planet '#],tblprogress[Mining Rate])</f>
        <v>0</v>
      </c>
      <c r="K70" s="41">
        <f>_xlfn.XLOOKUP(CargoROI[[#This Row],[Planet '#]],tblprogress[Planet '#],tblprogress[Efficiency],0)</f>
        <v>0</v>
      </c>
      <c r="L70" s="73">
        <f>IF(CargoROI[[#This Row],[Current Efficiency]]&lt;=1,CargoROI[[#This Row],[Mining Rate]]*60,CargoROI[[#This Row],[Cargo Amount]]/CargoROI[[#This Row],[Total Time]]*60)</f>
        <v>0</v>
      </c>
      <c r="M70" s="73">
        <f>IF(CargoROI[[#This Row],[Future Efficiency]]&lt;=1,CargoROI[[#This Row],[Mining Rate]]*60,CargoROI[[#This Row],[Next Cargo Amount]]/CargoROI[[#This Row],[Total Time]]*60)</f>
        <v>0</v>
      </c>
      <c r="N70" s="34">
        <f>_xlfn.XLOOKUP(CargoROI[[#This Row],[Planet '#]],tblplanetvalue[Planet '#],tblplanetvalue[Total Worth])</f>
        <v>940000000</v>
      </c>
      <c r="O70" s="35" t="str">
        <f>_xlfn.XLOOKUP(CargoROI[[#This Row],[Planet '#]],tblplaneteco[Planet '#],tblplaneteco[Cargo Rate Cost])</f>
        <v/>
      </c>
      <c r="P70" s="63" t="str">
        <f>_xlfn.XLOOKUP(CargoROI[[#This Row],[Planet '#]],tblprogress[Planet '#],tblprogress[Total Time])</f>
        <v/>
      </c>
      <c r="Q70" s="14" t="str">
        <f>IF(
   _xlfn.XLOOKUP(CargoROI[[#This Row],[Planet '#]], tblPlanets[Planet '#], tblPlanets[Name])=CargoROI[[#This Row],[Name]],
   "Match",
   "Mismatch"
)</f>
        <v>Match</v>
      </c>
    </row>
    <row r="71" spans="1:17" x14ac:dyDescent="0.3">
      <c r="A71" s="25">
        <v>70</v>
      </c>
      <c r="B71" s="25" t="str">
        <f>_xlfn.XLOOKUP(tblprogress[[#This Row],[Planet '#]],tblPlanets[Planet '#],tblPlanets[Name])</f>
        <v>Leto</v>
      </c>
      <c r="C71" s="25">
        <f>_xlfn.XLOOKUP(CargoROI[[#This Row],[Cargo Level]]+1,tblUpgradeStats[Level],tblUpgradeStats[Cargo Amount])</f>
        <v>5</v>
      </c>
      <c r="D71" s="41">
        <f>IFERROR(CargoROI[[#This Row],[Current Efficiency]]*(CargoROI[[#This Row],[Cargo Amount]]/CargoROI[[#This Row],[Next Cargo Amount]]),0)</f>
        <v>0</v>
      </c>
      <c r="E71" s="60">
        <f>CargoROI[[#This Row],[Future Deposit]]-CargoROI[[#This Row],[Current Deposit]]</f>
        <v>0</v>
      </c>
      <c r="F71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1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1" s="25">
        <f>_xlfn.XLOOKUP(CargoROI[[#This Row],[Planet '#]],tblprogress[Planet '#],tblprogress[Cargo Level])</f>
        <v>0</v>
      </c>
      <c r="I71" s="25">
        <f>_xlfn.XLOOKUP(CargoROI[[#This Row],[Planet '#]],tblprogress[Planet '#],tblprogress[Cargo])</f>
        <v>0</v>
      </c>
      <c r="J71" s="43">
        <f>_xlfn.XLOOKUP(CargoROI[[#This Row],[Planet '#]],tblprogress[Planet '#],tblprogress[Mining Rate])</f>
        <v>0</v>
      </c>
      <c r="K71" s="41">
        <f>_xlfn.XLOOKUP(CargoROI[[#This Row],[Planet '#]],tblprogress[Planet '#],tblprogress[Efficiency],0)</f>
        <v>0</v>
      </c>
      <c r="L71" s="73">
        <f>IF(CargoROI[[#This Row],[Current Efficiency]]&lt;=1,CargoROI[[#This Row],[Mining Rate]]*60,CargoROI[[#This Row],[Cargo Amount]]/CargoROI[[#This Row],[Total Time]]*60)</f>
        <v>0</v>
      </c>
      <c r="M71" s="73">
        <f>IF(CargoROI[[#This Row],[Future Efficiency]]&lt;=1,CargoROI[[#This Row],[Mining Rate]]*60,CargoROI[[#This Row],[Next Cargo Amount]]/CargoROI[[#This Row],[Total Time]]*60)</f>
        <v>0</v>
      </c>
      <c r="N71" s="34">
        <f>_xlfn.XLOOKUP(CargoROI[[#This Row],[Planet '#]],tblplanetvalue[Planet '#],tblplanetvalue[Total Worth])</f>
        <v>1100000000</v>
      </c>
      <c r="O71" s="35" t="str">
        <f>_xlfn.XLOOKUP(CargoROI[[#This Row],[Planet '#]],tblplaneteco[Planet '#],tblplaneteco[Cargo Rate Cost])</f>
        <v/>
      </c>
      <c r="P71" s="63" t="str">
        <f>_xlfn.XLOOKUP(CargoROI[[#This Row],[Planet '#]],tblprogress[Planet '#],tblprogress[Total Time])</f>
        <v/>
      </c>
      <c r="Q71" s="14" t="str">
        <f>IF(
   _xlfn.XLOOKUP(CargoROI[[#This Row],[Planet '#]], tblPlanets[Planet '#], tblPlanets[Name])=CargoROI[[#This Row],[Name]],
   "Match",
   "Mismatch"
)</f>
        <v>Match</v>
      </c>
    </row>
    <row r="72" spans="1:17" x14ac:dyDescent="0.3">
      <c r="A72" s="24">
        <v>71</v>
      </c>
      <c r="B72" s="24" t="str">
        <f>_xlfn.XLOOKUP(tblprogress[[#This Row],[Planet '#]],tblPlanets[Planet '#],tblPlanets[Name])</f>
        <v>Laconia</v>
      </c>
      <c r="C72" s="25">
        <f>_xlfn.XLOOKUP(CargoROI[[#This Row],[Cargo Level]]+1,tblUpgradeStats[Level],tblUpgradeStats[Cargo Amount])</f>
        <v>5</v>
      </c>
      <c r="D72" s="41">
        <f>IFERROR(CargoROI[[#This Row],[Current Efficiency]]*(CargoROI[[#This Row],[Cargo Amount]]/CargoROI[[#This Row],[Next Cargo Amount]]),0)</f>
        <v>0</v>
      </c>
      <c r="E72" s="60">
        <f>CargoROI[[#This Row],[Future Deposit]]-CargoROI[[#This Row],[Current Deposit]]</f>
        <v>0</v>
      </c>
      <c r="F72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2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2" s="25">
        <f>_xlfn.XLOOKUP(CargoROI[[#This Row],[Planet '#]],tblprogress[Planet '#],tblprogress[Cargo Level])</f>
        <v>0</v>
      </c>
      <c r="I72" s="25">
        <f>_xlfn.XLOOKUP(CargoROI[[#This Row],[Planet '#]],tblprogress[Planet '#],tblprogress[Cargo])</f>
        <v>0</v>
      </c>
      <c r="J72" s="43">
        <f>_xlfn.XLOOKUP(CargoROI[[#This Row],[Planet '#]],tblprogress[Planet '#],tblprogress[Mining Rate])</f>
        <v>0</v>
      </c>
      <c r="K72" s="41">
        <f>_xlfn.XLOOKUP(CargoROI[[#This Row],[Planet '#]],tblprogress[Planet '#],tblprogress[Efficiency],0)</f>
        <v>0</v>
      </c>
      <c r="L72" s="73">
        <f>IF(CargoROI[[#This Row],[Current Efficiency]]&lt;=1,CargoROI[[#This Row],[Mining Rate]]*60,CargoROI[[#This Row],[Cargo Amount]]/CargoROI[[#This Row],[Total Time]]*60)</f>
        <v>0</v>
      </c>
      <c r="M72" s="73">
        <f>IF(CargoROI[[#This Row],[Future Efficiency]]&lt;=1,CargoROI[[#This Row],[Mining Rate]]*60,CargoROI[[#This Row],[Next Cargo Amount]]/CargoROI[[#This Row],[Total Time]]*60)</f>
        <v>0</v>
      </c>
      <c r="N72" s="34">
        <f>_xlfn.XLOOKUP(CargoROI[[#This Row],[Planet '#]],tblplanetvalue[Planet '#],tblplanetvalue[Total Worth])</f>
        <v>1420000000</v>
      </c>
      <c r="O72" s="35" t="str">
        <f>_xlfn.XLOOKUP(CargoROI[[#This Row],[Planet '#]],tblplaneteco[Planet '#],tblplaneteco[Cargo Rate Cost])</f>
        <v/>
      </c>
      <c r="P72" s="63" t="str">
        <f>_xlfn.XLOOKUP(CargoROI[[#This Row],[Planet '#]],tblprogress[Planet '#],tblprogress[Total Time])</f>
        <v/>
      </c>
      <c r="Q72" s="14" t="str">
        <f>IF(
   _xlfn.XLOOKUP(CargoROI[[#This Row],[Planet '#]], tblPlanets[Planet '#], tblPlanets[Name])=CargoROI[[#This Row],[Name]],
   "Match",
   "Mismatch"
)</f>
        <v>Match</v>
      </c>
    </row>
    <row r="73" spans="1:17" x14ac:dyDescent="0.3">
      <c r="A73" s="25">
        <v>72</v>
      </c>
      <c r="B73" s="25" t="str">
        <f>_xlfn.XLOOKUP(tblprogress[[#This Row],[Planet '#]],tblPlanets[Planet '#],tblPlanets[Name])</f>
        <v>Awohali</v>
      </c>
      <c r="C73" s="25">
        <f>_xlfn.XLOOKUP(CargoROI[[#This Row],[Cargo Level]]+1,tblUpgradeStats[Level],tblUpgradeStats[Cargo Amount])</f>
        <v>5</v>
      </c>
      <c r="D73" s="41">
        <f>IFERROR(CargoROI[[#This Row],[Current Efficiency]]*(CargoROI[[#This Row],[Cargo Amount]]/CargoROI[[#This Row],[Next Cargo Amount]]),0)</f>
        <v>0</v>
      </c>
      <c r="E73" s="60">
        <f>CargoROI[[#This Row],[Future Deposit]]-CargoROI[[#This Row],[Current Deposit]]</f>
        <v>0</v>
      </c>
      <c r="F73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3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3" s="25">
        <f>_xlfn.XLOOKUP(CargoROI[[#This Row],[Planet '#]],tblprogress[Planet '#],tblprogress[Cargo Level])</f>
        <v>0</v>
      </c>
      <c r="I73" s="25">
        <f>_xlfn.XLOOKUP(CargoROI[[#This Row],[Planet '#]],tblprogress[Planet '#],tblprogress[Cargo])</f>
        <v>0</v>
      </c>
      <c r="J73" s="43">
        <f>_xlfn.XLOOKUP(CargoROI[[#This Row],[Planet '#]],tblprogress[Planet '#],tblprogress[Mining Rate])</f>
        <v>0</v>
      </c>
      <c r="K73" s="41">
        <f>_xlfn.XLOOKUP(CargoROI[[#This Row],[Planet '#]],tblprogress[Planet '#],tblprogress[Efficiency],0)</f>
        <v>0</v>
      </c>
      <c r="L73" s="73">
        <f>IF(CargoROI[[#This Row],[Current Efficiency]]&lt;=1,CargoROI[[#This Row],[Mining Rate]]*60,CargoROI[[#This Row],[Cargo Amount]]/CargoROI[[#This Row],[Total Time]]*60)</f>
        <v>0</v>
      </c>
      <c r="M73" s="73">
        <f>IF(CargoROI[[#This Row],[Future Efficiency]]&lt;=1,CargoROI[[#This Row],[Mining Rate]]*60,CargoROI[[#This Row],[Next Cargo Amount]]/CargoROI[[#This Row],[Total Time]]*60)</f>
        <v>0</v>
      </c>
      <c r="N73" s="34">
        <f>_xlfn.XLOOKUP(CargoROI[[#This Row],[Planet '#]],tblplanetvalue[Planet '#],tblplanetvalue[Total Worth])</f>
        <v>3037000000</v>
      </c>
      <c r="O73" s="35" t="str">
        <f>_xlfn.XLOOKUP(CargoROI[[#This Row],[Planet '#]],tblplaneteco[Planet '#],tblplaneteco[Cargo Rate Cost])</f>
        <v/>
      </c>
      <c r="P73" s="63" t="str">
        <f>_xlfn.XLOOKUP(CargoROI[[#This Row],[Planet '#]],tblprogress[Planet '#],tblprogress[Total Time])</f>
        <v/>
      </c>
      <c r="Q73" s="14" t="str">
        <f>IF(
   _xlfn.XLOOKUP(CargoROI[[#This Row],[Planet '#]], tblPlanets[Planet '#], tblPlanets[Name])=CargoROI[[#This Row],[Name]],
   "Match",
   "Mismatch"
)</f>
        <v>Match</v>
      </c>
    </row>
    <row r="74" spans="1:17" x14ac:dyDescent="0.3">
      <c r="A74" s="24">
        <v>73</v>
      </c>
      <c r="B74" s="24" t="str">
        <f>_xlfn.XLOOKUP(tblprogress[[#This Row],[Planet '#]],tblPlanets[Planet '#],tblPlanets[Name])</f>
        <v>Pegasi</v>
      </c>
      <c r="C74" s="25">
        <f>_xlfn.XLOOKUP(CargoROI[[#This Row],[Cargo Level]]+1,tblUpgradeStats[Level],tblUpgradeStats[Cargo Amount])</f>
        <v>5</v>
      </c>
      <c r="D74" s="41">
        <f>IFERROR(CargoROI[[#This Row],[Current Efficiency]]*(CargoROI[[#This Row],[Cargo Amount]]/CargoROI[[#This Row],[Next Cargo Amount]]),0)</f>
        <v>0</v>
      </c>
      <c r="E74" s="60">
        <f>CargoROI[[#This Row],[Future Deposit]]-CargoROI[[#This Row],[Current Deposit]]</f>
        <v>0</v>
      </c>
      <c r="F74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4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4" s="25">
        <f>_xlfn.XLOOKUP(CargoROI[[#This Row],[Planet '#]],tblprogress[Planet '#],tblprogress[Cargo Level])</f>
        <v>0</v>
      </c>
      <c r="I74" s="25">
        <f>_xlfn.XLOOKUP(CargoROI[[#This Row],[Planet '#]],tblprogress[Planet '#],tblprogress[Cargo])</f>
        <v>0</v>
      </c>
      <c r="J74" s="43">
        <f>_xlfn.XLOOKUP(CargoROI[[#This Row],[Planet '#]],tblprogress[Planet '#],tblprogress[Mining Rate])</f>
        <v>0</v>
      </c>
      <c r="K74" s="41">
        <f>_xlfn.XLOOKUP(CargoROI[[#This Row],[Planet '#]],tblprogress[Planet '#],tblprogress[Efficiency],0)</f>
        <v>0</v>
      </c>
      <c r="L74" s="73">
        <f>IF(CargoROI[[#This Row],[Current Efficiency]]&lt;=1,CargoROI[[#This Row],[Mining Rate]]*60,CargoROI[[#This Row],[Cargo Amount]]/CargoROI[[#This Row],[Total Time]]*60)</f>
        <v>0</v>
      </c>
      <c r="M74" s="73">
        <f>IF(CargoROI[[#This Row],[Future Efficiency]]&lt;=1,CargoROI[[#This Row],[Mining Rate]]*60,CargoROI[[#This Row],[Next Cargo Amount]]/CargoROI[[#This Row],[Total Time]]*60)</f>
        <v>0</v>
      </c>
      <c r="N74" s="34">
        <f>_xlfn.XLOOKUP(CargoROI[[#This Row],[Planet '#]],tblplanetvalue[Planet '#],tblplanetvalue[Total Worth])</f>
        <v>4300000000</v>
      </c>
      <c r="O74" s="35" t="str">
        <f>_xlfn.XLOOKUP(CargoROI[[#This Row],[Planet '#]],tblplaneteco[Planet '#],tblplaneteco[Cargo Rate Cost])</f>
        <v/>
      </c>
      <c r="P74" s="63" t="str">
        <f>_xlfn.XLOOKUP(CargoROI[[#This Row],[Planet '#]],tblprogress[Planet '#],tblprogress[Total Time])</f>
        <v/>
      </c>
      <c r="Q74" s="14" t="str">
        <f>IF(
   _xlfn.XLOOKUP(CargoROI[[#This Row],[Planet '#]], tblPlanets[Planet '#], tblPlanets[Name])=CargoROI[[#This Row],[Name]],
   "Match",
   "Mismatch"
)</f>
        <v>Match</v>
      </c>
    </row>
    <row r="75" spans="1:17" x14ac:dyDescent="0.3">
      <c r="A75" s="25">
        <v>74</v>
      </c>
      <c r="B75" s="25" t="str">
        <f>_xlfn.XLOOKUP(tblprogress[[#This Row],[Planet '#]],tblPlanets[Planet '#],tblPlanets[Name])</f>
        <v>Typhon</v>
      </c>
      <c r="C75" s="25">
        <f>_xlfn.XLOOKUP(CargoROI[[#This Row],[Cargo Level]]+1,tblUpgradeStats[Level],tblUpgradeStats[Cargo Amount])</f>
        <v>5</v>
      </c>
      <c r="D75" s="41">
        <f>IFERROR(CargoROI[[#This Row],[Current Efficiency]]*(CargoROI[[#This Row],[Cargo Amount]]/CargoROI[[#This Row],[Next Cargo Amount]]),0)</f>
        <v>0</v>
      </c>
      <c r="E75" s="60">
        <f>CargoROI[[#This Row],[Future Deposit]]-CargoROI[[#This Row],[Current Deposit]]</f>
        <v>0</v>
      </c>
      <c r="F75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5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5" s="25">
        <f>_xlfn.XLOOKUP(CargoROI[[#This Row],[Planet '#]],tblprogress[Planet '#],tblprogress[Cargo Level])</f>
        <v>0</v>
      </c>
      <c r="I75" s="25">
        <f>_xlfn.XLOOKUP(CargoROI[[#This Row],[Planet '#]],tblprogress[Planet '#],tblprogress[Cargo])</f>
        <v>0</v>
      </c>
      <c r="J75" s="43">
        <f>_xlfn.XLOOKUP(CargoROI[[#This Row],[Planet '#]],tblprogress[Planet '#],tblprogress[Mining Rate])</f>
        <v>0</v>
      </c>
      <c r="K75" s="41">
        <f>_xlfn.XLOOKUP(CargoROI[[#This Row],[Planet '#]],tblprogress[Planet '#],tblprogress[Efficiency],0)</f>
        <v>0</v>
      </c>
      <c r="L75" s="73">
        <f>IF(CargoROI[[#This Row],[Current Efficiency]]&lt;=1,CargoROI[[#This Row],[Mining Rate]]*60,CargoROI[[#This Row],[Cargo Amount]]/CargoROI[[#This Row],[Total Time]]*60)</f>
        <v>0</v>
      </c>
      <c r="M75" s="73">
        <f>IF(CargoROI[[#This Row],[Future Efficiency]]&lt;=1,CargoROI[[#This Row],[Mining Rate]]*60,CargoROI[[#This Row],[Next Cargo Amount]]/CargoROI[[#This Row],[Total Time]]*60)</f>
        <v>0</v>
      </c>
      <c r="N75" s="34">
        <f>_xlfn.XLOOKUP(CargoROI[[#This Row],[Planet '#]],tblplanetvalue[Planet '#],tblplanetvalue[Total Worth])</f>
        <v>9780000000</v>
      </c>
      <c r="O75" s="35" t="str">
        <f>_xlfn.XLOOKUP(CargoROI[[#This Row],[Planet '#]],tblplaneteco[Planet '#],tblplaneteco[Cargo Rate Cost])</f>
        <v/>
      </c>
      <c r="P75" s="63" t="str">
        <f>_xlfn.XLOOKUP(CargoROI[[#This Row],[Planet '#]],tblprogress[Planet '#],tblprogress[Total Time])</f>
        <v/>
      </c>
      <c r="Q75" s="14" t="str">
        <f>IF(
   _xlfn.XLOOKUP(CargoROI[[#This Row],[Planet '#]], tblPlanets[Planet '#], tblPlanets[Name])=CargoROI[[#This Row],[Name]],
   "Match",
   "Mismatch"
)</f>
        <v>Match</v>
      </c>
    </row>
    <row r="76" spans="1:17" x14ac:dyDescent="0.3">
      <c r="A76" s="24">
        <v>75</v>
      </c>
      <c r="B76" s="24" t="str">
        <f>_xlfn.XLOOKUP(tblprogress[[#This Row],[Planet '#]],tblPlanets[Planet '#],tblPlanets[Name])</f>
        <v>Surtur</v>
      </c>
      <c r="C76" s="25">
        <f>_xlfn.XLOOKUP(CargoROI[[#This Row],[Cargo Level]]+1,tblUpgradeStats[Level],tblUpgradeStats[Cargo Amount])</f>
        <v>5</v>
      </c>
      <c r="D76" s="41">
        <f>IFERROR(CargoROI[[#This Row],[Current Efficiency]]*(CargoROI[[#This Row],[Cargo Amount]]/CargoROI[[#This Row],[Next Cargo Amount]]),0)</f>
        <v>0</v>
      </c>
      <c r="E76" s="60">
        <f>CargoROI[[#This Row],[Future Deposit]]-CargoROI[[#This Row],[Current Deposit]]</f>
        <v>0</v>
      </c>
      <c r="F76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6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6" s="25">
        <f>_xlfn.XLOOKUP(CargoROI[[#This Row],[Planet '#]],tblprogress[Planet '#],tblprogress[Cargo Level])</f>
        <v>0</v>
      </c>
      <c r="I76" s="25">
        <f>_xlfn.XLOOKUP(CargoROI[[#This Row],[Planet '#]],tblprogress[Planet '#],tblprogress[Cargo])</f>
        <v>0</v>
      </c>
      <c r="J76" s="43">
        <f>_xlfn.XLOOKUP(CargoROI[[#This Row],[Planet '#]],tblprogress[Planet '#],tblprogress[Mining Rate])</f>
        <v>0</v>
      </c>
      <c r="K76" s="41">
        <f>_xlfn.XLOOKUP(CargoROI[[#This Row],[Planet '#]],tblprogress[Planet '#],tblprogress[Efficiency],0)</f>
        <v>0</v>
      </c>
      <c r="L76" s="73">
        <f>IF(CargoROI[[#This Row],[Current Efficiency]]&lt;=1,CargoROI[[#This Row],[Mining Rate]]*60,CargoROI[[#This Row],[Cargo Amount]]/CargoROI[[#This Row],[Total Time]]*60)</f>
        <v>0</v>
      </c>
      <c r="M76" s="73">
        <f>IF(CargoROI[[#This Row],[Future Efficiency]]&lt;=1,CargoROI[[#This Row],[Mining Rate]]*60,CargoROI[[#This Row],[Next Cargo Amount]]/CargoROI[[#This Row],[Total Time]]*60)</f>
        <v>0</v>
      </c>
      <c r="N76" s="34">
        <f>_xlfn.XLOOKUP(CargoROI[[#This Row],[Planet '#]],tblplanetvalue[Planet '#],tblplanetvalue[Total Worth])</f>
        <v>12930000000</v>
      </c>
      <c r="O76" s="35" t="str">
        <f>_xlfn.XLOOKUP(CargoROI[[#This Row],[Planet '#]],tblplaneteco[Planet '#],tblplaneteco[Cargo Rate Cost])</f>
        <v/>
      </c>
      <c r="P76" s="63" t="str">
        <f>_xlfn.XLOOKUP(CargoROI[[#This Row],[Planet '#]],tblprogress[Planet '#],tblprogress[Total Time])</f>
        <v/>
      </c>
      <c r="Q76" s="14" t="str">
        <f>IF(
   _xlfn.XLOOKUP(CargoROI[[#This Row],[Planet '#]], tblPlanets[Planet '#], tblPlanets[Name])=CargoROI[[#This Row],[Name]],
   "Match",
   "Mismatch"
)</f>
        <v>Match</v>
      </c>
    </row>
    <row r="77" spans="1:17" x14ac:dyDescent="0.3">
      <c r="A77" s="27">
        <v>76</v>
      </c>
      <c r="B77" s="27" t="str">
        <f>_xlfn.XLOOKUP(tblprogress[[#This Row],[Planet '#]],tblPlanets[Planet '#],tblPlanets[Name])</f>
        <v>Vesta</v>
      </c>
      <c r="C77" s="27">
        <f>_xlfn.XLOOKUP(CargoROI[[#This Row],[Cargo Level]]+1,tblUpgradeStats[Level],tblUpgradeStats[Cargo Amount])</f>
        <v>5</v>
      </c>
      <c r="D77" s="42">
        <f>IFERROR(CargoROI[[#This Row],[Current Efficiency]]*(CargoROI[[#This Row],[Cargo Amount]]/CargoROI[[#This Row],[Next Cargo Amount]]),0)</f>
        <v>0</v>
      </c>
      <c r="E77" s="61">
        <f>CargoROI[[#This Row],[Future Deposit]]-CargoROI[[#This Row],[Current Deposit]]</f>
        <v>0</v>
      </c>
      <c r="F77" s="47" t="str">
        <f>IF(OR(CargoROI[[#This Row],[Cargo Upgrade Cost]]="",CargoROI[[#This Row],[Deposit Increase]]=0),"",(CargoROI[[#This Row],[Deposit Increase]]*CargoROI[[#This Row],[Planet Worth]]*3600)/CargoROI[[#This Row],[Cargo Upgrade Cost]])</f>
        <v/>
      </c>
      <c r="G77" s="47" t="str">
        <f>IF(OR(CargoROI[[#This Row],[Future Efficiency]]="",CargoROI[[#This Row],[Planet Worth]]="",CargoROI[[#This Row],[Cargo Upgrade Cost]]="",CargoROI[[#This Row],[Deposit Increase]]=0),"",
   CargoROI[[#This Row],[Cargo Upgrade Cost]]/((CargoROI[[#This Row],[Deposit Increase]]*CargoROI[[#This Row],[Planet Worth]])/CargoROI[[#This Row],[Total Time]]))</f>
        <v/>
      </c>
      <c r="H77" s="27">
        <f>_xlfn.XLOOKUP(CargoROI[[#This Row],[Planet '#]],tblprogress[Planet '#],tblprogress[Cargo Level])</f>
        <v>0</v>
      </c>
      <c r="I77" s="27">
        <f>_xlfn.XLOOKUP(CargoROI[[#This Row],[Planet '#]],tblprogress[Planet '#],tblprogress[Cargo])</f>
        <v>0</v>
      </c>
      <c r="J77" s="30">
        <f>_xlfn.XLOOKUP(CargoROI[[#This Row],[Planet '#]],tblprogress[Planet '#],tblprogress[Mining Rate])</f>
        <v>0</v>
      </c>
      <c r="K77" s="42">
        <f>_xlfn.XLOOKUP(CargoROI[[#This Row],[Planet '#]],tblprogress[Planet '#],tblprogress[Efficiency],0)</f>
        <v>0</v>
      </c>
      <c r="L77" s="74">
        <f>IF(CargoROI[[#This Row],[Current Efficiency]]&lt;=1,CargoROI[[#This Row],[Mining Rate]]*60,CargoROI[[#This Row],[Cargo Amount]]/CargoROI[[#This Row],[Total Time]]*60)</f>
        <v>0</v>
      </c>
      <c r="M77" s="74">
        <f>IF(CargoROI[[#This Row],[Future Efficiency]]&lt;=1,CargoROI[[#This Row],[Mining Rate]]*60,CargoROI[[#This Row],[Next Cargo Amount]]/CargoROI[[#This Row],[Total Time]]*60)</f>
        <v>0</v>
      </c>
      <c r="N77" s="34">
        <f>_xlfn.XLOOKUP(CargoROI[[#This Row],[Planet '#]],tblplanetvalue[Planet '#],tblplanetvalue[Total Worth])</f>
        <v>18000000000</v>
      </c>
      <c r="O77" s="36" t="str">
        <f>_xlfn.XLOOKUP(CargoROI[[#This Row],[Planet '#]],tblplaneteco[Planet '#],tblplaneteco[Cargo Rate Cost])</f>
        <v/>
      </c>
      <c r="P77" s="63" t="str">
        <f>_xlfn.XLOOKUP(CargoROI[[#This Row],[Planet '#]],tblprogress[Planet '#],tblprogress[Total Time])</f>
        <v/>
      </c>
      <c r="Q77" s="14" t="str">
        <f>IF(
   _xlfn.XLOOKUP(CargoROI[[#This Row],[Planet '#]], tblPlanets[Planet '#], tblPlanets[Name])=CargoROI[[#This Row],[Name]],
   "Match",
   "Mismatch"
)</f>
        <v>Match</v>
      </c>
    </row>
  </sheetData>
  <conditionalFormatting sqref="A2:K77 N2:Q77">
    <cfRule type="expression" dxfId="45" priority="11">
      <formula>$Q2 = "mismatch"</formula>
    </cfRule>
  </conditionalFormatting>
  <conditionalFormatting sqref="L2:M77">
    <cfRule type="expression" dxfId="44" priority="1">
      <formula>$Q2 = "mismatch"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CE022-38B7-4C12-80A2-A8BD6E09DE50}">
  <sheetPr codeName="Sheet12"/>
  <dimension ref="A1:P77"/>
  <sheetViews>
    <sheetView workbookViewId="0">
      <selection activeCell="G1" sqref="G1:P1048576"/>
    </sheetView>
  </sheetViews>
  <sheetFormatPr defaultRowHeight="14.4" x14ac:dyDescent="0.3"/>
  <cols>
    <col min="1" max="1" width="12.109375" bestFit="1" customWidth="1"/>
    <col min="2" max="2" width="10.44140625" bestFit="1" customWidth="1"/>
    <col min="3" max="3" width="13.5546875" style="40" customWidth="1"/>
    <col min="4" max="4" width="23" style="40" bestFit="1" customWidth="1"/>
    <col min="5" max="5" width="11.5546875" style="67" bestFit="1" customWidth="1"/>
    <col min="6" max="6" width="24.88671875" bestFit="1" customWidth="1"/>
    <col min="7" max="7" width="43.109375" style="37" hidden="1" customWidth="1"/>
    <col min="8" max="9" width="19.33203125" style="40" hidden="1" customWidth="1"/>
    <col min="10" max="11" width="25.88671875" hidden="1" customWidth="1"/>
    <col min="12" max="12" width="25.88671875" style="39" hidden="1" customWidth="1"/>
    <col min="13" max="13" width="12.21875" style="40" hidden="1" customWidth="1"/>
    <col min="14" max="14" width="18.5546875" style="37" hidden="1" customWidth="1"/>
    <col min="15" max="15" width="23.88671875" style="48" hidden="1" customWidth="1"/>
    <col min="16" max="16" width="12.44140625" hidden="1" customWidth="1"/>
  </cols>
  <sheetData>
    <row r="1" spans="1:16" x14ac:dyDescent="0.3">
      <c r="A1" s="26" t="s">
        <v>0</v>
      </c>
      <c r="B1" s="26" t="s">
        <v>155</v>
      </c>
      <c r="C1" s="52" t="s">
        <v>169</v>
      </c>
      <c r="D1" s="52" t="s">
        <v>197</v>
      </c>
      <c r="E1" s="66" t="s">
        <v>178</v>
      </c>
      <c r="F1" s="46" t="s">
        <v>187</v>
      </c>
      <c r="G1" s="33" t="s">
        <v>188</v>
      </c>
      <c r="H1" s="26" t="s">
        <v>186</v>
      </c>
      <c r="I1" s="26" t="s">
        <v>185</v>
      </c>
      <c r="J1" s="26" t="s">
        <v>210</v>
      </c>
      <c r="K1" s="26" t="s">
        <v>133</v>
      </c>
      <c r="L1" s="38" t="s">
        <v>211</v>
      </c>
      <c r="M1" s="46" t="s">
        <v>166</v>
      </c>
      <c r="N1" s="33" t="s">
        <v>209</v>
      </c>
      <c r="O1" s="33" t="s">
        <v>212</v>
      </c>
      <c r="P1" s="26" t="s">
        <v>176</v>
      </c>
    </row>
    <row r="2" spans="1:16" x14ac:dyDescent="0.3">
      <c r="A2" s="24">
        <v>1</v>
      </c>
      <c r="B2" s="24" t="str">
        <f>_xlfn.XLOOKUP(tblprogress[[#This Row],[Planet '#]],tblPlanets[Planet '#],tblPlanets[Name])</f>
        <v>Balor</v>
      </c>
      <c r="C2" s="54">
        <f>_xlfn.XLOOKUP(UnlockROI[[#This Row],[Planet '#]],tblprogress[Planet '#],tblprogress[Unlocked])</f>
        <v>1</v>
      </c>
      <c r="D2" s="54">
        <f>_xlfn.XLOOKUP(UnlockROI[[#This Row],[Planet '#]],tblprogress[Planet '#],tblprogress[Possible to Unlock])</f>
        <v>1</v>
      </c>
      <c r="E2" s="47" t="str">
        <f>IF(AND(UnlockROI[[#This Row],[Unlocked]]=0,UnlockROI[[#This Row],[Possible to Unlock]]=1),
   IFERROR(UnlockROI[[#This Row],[Base Earnings]]*3600/UnlockROI[[#This Row],[Unlock Planet Amount]],""),
   "")</f>
        <v/>
      </c>
      <c r="F2" s="47" t="str">
        <f>IF(AND(UnlockROI[[#This Row],[Unlocked]]=0,UnlockROI[[#This Row],[Possible to Unlock]]=1),
   IFERROR(UnlockROI[[#This Row],[Unlock Planet Amount]]/UnlockROI[[#This Row],[Base Earnings]],""),
   "")</f>
        <v/>
      </c>
      <c r="G2" s="34" t="str">
        <f>IF(UnlockROI[[#This Row],[Unlocked]]=1,"",_xlfn.XLOOKUP(UnlockROI[[#This Row],[Planet '#]],tblPlanets[Planet '#],tblPlanets[Unlock Price]))</f>
        <v/>
      </c>
      <c r="H2" s="43" t="str">
        <f>IF(UnlockROI[[#This Row],[Unlocked]]=0,0.25,"")</f>
        <v/>
      </c>
      <c r="I2" s="43" t="str">
        <f>IF(UnlockROI[[#This Row],[Unlocked]]=0,1,"")</f>
        <v/>
      </c>
      <c r="J2" s="28" t="str">
        <f>IF(UnlockROI[[#This Row],[Unlocked]]=0,5,"")</f>
        <v/>
      </c>
      <c r="K2" s="28">
        <f>_xlfn.XLOOKUP(UnlockROI[[#This Row],[Planet '#]],tblprogress[Planet '#],tblprogress[Planets Distance])</f>
        <v>6.6</v>
      </c>
      <c r="L2" s="41">
        <f>0.1*UnlockROI[[#This Row],[Distance]]</f>
        <v>0.66</v>
      </c>
      <c r="M2" s="47" t="str">
        <f>IF(UnlockROI[[#This Row],[Unlocked]]=1,"",IF(UnlockROI[[#This Row],[Base Efficiency]]&lt;1,15,0.25/UnlockROI[[#This Row],[Base Efficiency]]))</f>
        <v/>
      </c>
      <c r="N2" s="34">
        <f>_xlfn.XLOOKUP(UnlockROI[[#This Row],[Planet '#]],tblplanetvalue[Planet '#],tblplanetvalue[Total Worth])</f>
        <v>1</v>
      </c>
      <c r="O2" s="34" t="str">
        <f>IF(OR(UnlockROI[[#This Row],[Deposit]]="",UnlockROI[[#This Row],[Planet Worth]]=""),"",UnlockROI[[#This Row],[Deposit]]*UnlockROI[[#This Row],[Planet Worth]])</f>
        <v/>
      </c>
      <c r="P2" s="14" t="str">
        <f>IF(
   _xlfn.XLOOKUP(UnlockROI[[#This Row],[Planet '#]], tblPlanets[Planet '#], tblPlanets[Name])=UnlockROI[[#This Row],[Name]],
   "Match",
   "Mismatch"
)</f>
        <v>Match</v>
      </c>
    </row>
    <row r="3" spans="1:16" x14ac:dyDescent="0.3">
      <c r="A3" s="25">
        <v>2</v>
      </c>
      <c r="B3" s="25" t="str">
        <f>_xlfn.XLOOKUP(tblprogress[[#This Row],[Planet '#]],tblPlanets[Planet '#],tblPlanets[Name])</f>
        <v>Drasta</v>
      </c>
      <c r="C3" s="54">
        <f>_xlfn.XLOOKUP(UnlockROI[[#This Row],[Planet '#]],tblprogress[Planet '#],tblprogress[Unlocked])</f>
        <v>1</v>
      </c>
      <c r="D3" s="54">
        <f>_xlfn.XLOOKUP(UnlockROI[[#This Row],[Planet '#]],tblprogress[Planet '#],tblprogress[Possible to Unlock])</f>
        <v>1</v>
      </c>
      <c r="E3" s="47" t="str">
        <f>IF(AND(UnlockROI[[#This Row],[Unlocked]]=0,UnlockROI[[#This Row],[Possible to Unlock]]=1),
   IFERROR(UnlockROI[[#This Row],[Base Earnings]]*3600/UnlockROI[[#This Row],[Unlock Planet Amount]],""),
   "")</f>
        <v/>
      </c>
      <c r="F3" s="47" t="str">
        <f>IF(AND(UnlockROI[[#This Row],[Unlocked]]=0,UnlockROI[[#This Row],[Possible to Unlock]]=1),
   IFERROR(UnlockROI[[#This Row],[Unlock Planet Amount]]/UnlockROI[[#This Row],[Base Earnings]],""),
   "")</f>
        <v/>
      </c>
      <c r="G3" s="34" t="str">
        <f>IF(UnlockROI[[#This Row],[Unlocked]]=1,"",_xlfn.XLOOKUP(UnlockROI[[#This Row],[Planet '#]],tblPlanets[Planet '#],tblPlanets[Unlock Price]))</f>
        <v/>
      </c>
      <c r="H3" s="43" t="str">
        <f>IF(UnlockROI[[#This Row],[Unlocked]]=0,0.25,"")</f>
        <v/>
      </c>
      <c r="I3" s="43" t="str">
        <f>IF(UnlockROI[[#This Row],[Unlocked]]=0,1,"")</f>
        <v/>
      </c>
      <c r="J3" s="25" t="str">
        <f>IF(UnlockROI[[#This Row],[Unlocked]]=0,5,"")</f>
        <v/>
      </c>
      <c r="K3" s="28">
        <f>_xlfn.XLOOKUP(UnlockROI[[#This Row],[Planet '#]],tblprogress[Planet '#],tblprogress[Planets Distance])</f>
        <v>6.7</v>
      </c>
      <c r="L3" s="41">
        <f>0.1*UnlockROI[[#This Row],[Distance]]</f>
        <v>0.67</v>
      </c>
      <c r="M3" s="47" t="str">
        <f>IF(UnlockROI[[#This Row],[Unlocked]]=1,"",IF(UnlockROI[[#This Row],[Base Efficiency]]&lt;1,15,0.25/UnlockROI[[#This Row],[Base Efficiency]]))</f>
        <v/>
      </c>
      <c r="N3" s="34">
        <f>_xlfn.XLOOKUP(UnlockROI[[#This Row],[Planet '#]],tblplanetvalue[Planet '#],tblplanetvalue[Total Worth])</f>
        <v>1.2000000000000002</v>
      </c>
      <c r="O3" s="35" t="str">
        <f>IF(OR(UnlockROI[[#This Row],[Deposit]]="",UnlockROI[[#This Row],[Planet Worth]]=""),"",UnlockROI[[#This Row],[Deposit]]*UnlockROI[[#This Row],[Planet Worth]])</f>
        <v/>
      </c>
      <c r="P3" s="14" t="str">
        <f>IF(
   _xlfn.XLOOKUP(UnlockROI[[#This Row],[Planet '#]], tblPlanets[Planet '#], tblPlanets[Name])=UnlockROI[[#This Row],[Name]],
   "Match",
   "Mismatch"
)</f>
        <v>Match</v>
      </c>
    </row>
    <row r="4" spans="1:16" x14ac:dyDescent="0.3">
      <c r="A4" s="24">
        <v>3</v>
      </c>
      <c r="B4" s="24" t="str">
        <f>_xlfn.XLOOKUP(tblprogress[[#This Row],[Planet '#]],tblPlanets[Planet '#],tblPlanets[Name])</f>
        <v>Anadius</v>
      </c>
      <c r="C4" s="54">
        <f>_xlfn.XLOOKUP(UnlockROI[[#This Row],[Planet '#]],tblprogress[Planet '#],tblprogress[Unlocked])</f>
        <v>1</v>
      </c>
      <c r="D4" s="54">
        <f>_xlfn.XLOOKUP(UnlockROI[[#This Row],[Planet '#]],tblprogress[Planet '#],tblprogress[Possible to Unlock])</f>
        <v>1</v>
      </c>
      <c r="E4" s="47" t="str">
        <f>IF(AND(UnlockROI[[#This Row],[Unlocked]]=0,UnlockROI[[#This Row],[Possible to Unlock]]=1),
   IFERROR(UnlockROI[[#This Row],[Base Earnings]]*3600/UnlockROI[[#This Row],[Unlock Planet Amount]],""),
   "")</f>
        <v/>
      </c>
      <c r="F4" s="47" t="str">
        <f>IF(AND(UnlockROI[[#This Row],[Unlocked]]=0,UnlockROI[[#This Row],[Possible to Unlock]]=1),
   IFERROR(UnlockROI[[#This Row],[Unlock Planet Amount]]/UnlockROI[[#This Row],[Base Earnings]],""),
   "")</f>
        <v/>
      </c>
      <c r="G4" s="34" t="str">
        <f>IF(UnlockROI[[#This Row],[Unlocked]]=1,"",_xlfn.XLOOKUP(UnlockROI[[#This Row],[Planet '#]],tblPlanets[Planet '#],tblPlanets[Unlock Price]))</f>
        <v/>
      </c>
      <c r="H4" s="43" t="str">
        <f>IF(UnlockROI[[#This Row],[Unlocked]]=0,0.25,"")</f>
        <v/>
      </c>
      <c r="I4" s="43" t="str">
        <f>IF(UnlockROI[[#This Row],[Unlocked]]=0,1,"")</f>
        <v/>
      </c>
      <c r="J4" s="25" t="str">
        <f>IF(UnlockROI[[#This Row],[Unlocked]]=0,5,"")</f>
        <v/>
      </c>
      <c r="K4" s="28">
        <f>_xlfn.XLOOKUP(UnlockROI[[#This Row],[Planet '#]],tblprogress[Planet '#],tblprogress[Planets Distance])</f>
        <v>6.85</v>
      </c>
      <c r="L4" s="41">
        <f>0.1*UnlockROI[[#This Row],[Distance]]</f>
        <v>0.68500000000000005</v>
      </c>
      <c r="M4" s="47" t="str">
        <f>IF(UnlockROI[[#This Row],[Unlocked]]=1,"",IF(UnlockROI[[#This Row],[Base Efficiency]]&lt;1,15,0.25/UnlockROI[[#This Row],[Base Efficiency]]))</f>
        <v/>
      </c>
      <c r="N4" s="34">
        <f>_xlfn.XLOOKUP(UnlockROI[[#This Row],[Planet '#]],tblplanetvalue[Planet '#],tblplanetvalue[Total Worth])</f>
        <v>1.5</v>
      </c>
      <c r="O4" s="35" t="str">
        <f>IF(OR(UnlockROI[[#This Row],[Deposit]]="",UnlockROI[[#This Row],[Planet Worth]]=""),"",UnlockROI[[#This Row],[Deposit]]*UnlockROI[[#This Row],[Planet Worth]])</f>
        <v/>
      </c>
      <c r="P4" s="14" t="str">
        <f>IF(
   _xlfn.XLOOKUP(UnlockROI[[#This Row],[Planet '#]], tblPlanets[Planet '#], tblPlanets[Name])=UnlockROI[[#This Row],[Name]],
   "Match",
   "Mismatch"
)</f>
        <v>Match</v>
      </c>
    </row>
    <row r="5" spans="1:16" x14ac:dyDescent="0.3">
      <c r="A5" s="25">
        <v>4</v>
      </c>
      <c r="B5" s="25" t="str">
        <f>_xlfn.XLOOKUP(tblprogress[[#This Row],[Planet '#]],tblPlanets[Planet '#],tblPlanets[Name])</f>
        <v>Dholen</v>
      </c>
      <c r="C5" s="54">
        <f>_xlfn.XLOOKUP(UnlockROI[[#This Row],[Planet '#]],tblprogress[Planet '#],tblprogress[Unlocked])</f>
        <v>1</v>
      </c>
      <c r="D5" s="54">
        <f>_xlfn.XLOOKUP(UnlockROI[[#This Row],[Planet '#]],tblprogress[Planet '#],tblprogress[Possible to Unlock])</f>
        <v>1</v>
      </c>
      <c r="E5" s="47" t="str">
        <f>IF(AND(UnlockROI[[#This Row],[Unlocked]]=0,UnlockROI[[#This Row],[Possible to Unlock]]=1),
   IFERROR(UnlockROI[[#This Row],[Base Earnings]]*3600/UnlockROI[[#This Row],[Unlock Planet Amount]],""),
   "")</f>
        <v/>
      </c>
      <c r="F5" s="47" t="str">
        <f>IF(AND(UnlockROI[[#This Row],[Unlocked]]=0,UnlockROI[[#This Row],[Possible to Unlock]]=1),
   IFERROR(UnlockROI[[#This Row],[Unlock Planet Amount]]/UnlockROI[[#This Row],[Base Earnings]],""),
   "")</f>
        <v/>
      </c>
      <c r="G5" s="34" t="str">
        <f>IF(UnlockROI[[#This Row],[Unlocked]]=1,"",_xlfn.XLOOKUP(UnlockROI[[#This Row],[Planet '#]],tblPlanets[Planet '#],tblPlanets[Unlock Price]))</f>
        <v/>
      </c>
      <c r="H5" s="43" t="str">
        <f>IF(UnlockROI[[#This Row],[Unlocked]]=0,0.25,"")</f>
        <v/>
      </c>
      <c r="I5" s="43" t="str">
        <f>IF(UnlockROI[[#This Row],[Unlocked]]=0,1,"")</f>
        <v/>
      </c>
      <c r="J5" s="25" t="str">
        <f>IF(UnlockROI[[#This Row],[Unlocked]]=0,5,"")</f>
        <v/>
      </c>
      <c r="K5" s="28">
        <f>_xlfn.XLOOKUP(UnlockROI[[#This Row],[Planet '#]],tblprogress[Planet '#],tblprogress[Planets Distance])</f>
        <v>7</v>
      </c>
      <c r="L5" s="41">
        <f>0.1*UnlockROI[[#This Row],[Distance]]</f>
        <v>0.70000000000000007</v>
      </c>
      <c r="M5" s="47" t="str">
        <f>IF(UnlockROI[[#This Row],[Unlocked]]=1,"",IF(UnlockROI[[#This Row],[Base Efficiency]]&lt;1,15,0.25/UnlockROI[[#This Row],[Base Efficiency]]))</f>
        <v/>
      </c>
      <c r="N5" s="34">
        <f>_xlfn.XLOOKUP(UnlockROI[[#This Row],[Planet '#]],tblplanetvalue[Planet '#],tblplanetvalue[Total Worth])</f>
        <v>2.4000000000000004</v>
      </c>
      <c r="O5" s="35" t="str">
        <f>IF(OR(UnlockROI[[#This Row],[Deposit]]="",UnlockROI[[#This Row],[Planet Worth]]=""),"",UnlockROI[[#This Row],[Deposit]]*UnlockROI[[#This Row],[Planet Worth]])</f>
        <v/>
      </c>
      <c r="P5" s="14" t="str">
        <f>IF(
   _xlfn.XLOOKUP(UnlockROI[[#This Row],[Planet '#]], tblPlanets[Planet '#], tblPlanets[Name])=UnlockROI[[#This Row],[Name]],
   "Match",
   "Mismatch"
)</f>
        <v>Match</v>
      </c>
    </row>
    <row r="6" spans="1:16" x14ac:dyDescent="0.3">
      <c r="A6" s="24">
        <v>5</v>
      </c>
      <c r="B6" s="24" t="str">
        <f>_xlfn.XLOOKUP(tblprogress[[#This Row],[Planet '#]],tblPlanets[Planet '#],tblPlanets[Name])</f>
        <v>Verr</v>
      </c>
      <c r="C6" s="54">
        <f>_xlfn.XLOOKUP(UnlockROI[[#This Row],[Planet '#]],tblprogress[Planet '#],tblprogress[Unlocked])</f>
        <v>1</v>
      </c>
      <c r="D6" s="54">
        <f>_xlfn.XLOOKUP(UnlockROI[[#This Row],[Planet '#]],tblprogress[Planet '#],tblprogress[Possible to Unlock])</f>
        <v>1</v>
      </c>
      <c r="E6" s="47" t="str">
        <f>IF(AND(UnlockROI[[#This Row],[Unlocked]]=0,UnlockROI[[#This Row],[Possible to Unlock]]=1),
   IFERROR(UnlockROI[[#This Row],[Base Earnings]]*3600/UnlockROI[[#This Row],[Unlock Planet Amount]],""),
   "")</f>
        <v/>
      </c>
      <c r="F6" s="47" t="str">
        <f>IF(AND(UnlockROI[[#This Row],[Unlocked]]=0,UnlockROI[[#This Row],[Possible to Unlock]]=1),
   IFERROR(UnlockROI[[#This Row],[Unlock Planet Amount]]/UnlockROI[[#This Row],[Base Earnings]],""),
   "")</f>
        <v/>
      </c>
      <c r="G6" s="34" t="str">
        <f>IF(UnlockROI[[#This Row],[Unlocked]]=1,"",_xlfn.XLOOKUP(UnlockROI[[#This Row],[Planet '#]],tblPlanets[Planet '#],tblPlanets[Unlock Price]))</f>
        <v/>
      </c>
      <c r="H6" s="43" t="str">
        <f>IF(UnlockROI[[#This Row],[Unlocked]]=0,0.25,"")</f>
        <v/>
      </c>
      <c r="I6" s="43" t="str">
        <f>IF(UnlockROI[[#This Row],[Unlocked]]=0,1,"")</f>
        <v/>
      </c>
      <c r="J6" s="25" t="str">
        <f>IF(UnlockROI[[#This Row],[Unlocked]]=0,5,"")</f>
        <v/>
      </c>
      <c r="K6" s="28">
        <f>_xlfn.XLOOKUP(UnlockROI[[#This Row],[Planet '#]],tblprogress[Planet '#],tblprogress[Planets Distance])</f>
        <v>7.15</v>
      </c>
      <c r="L6" s="41">
        <f>0.1*UnlockROI[[#This Row],[Distance]]</f>
        <v>0.71500000000000008</v>
      </c>
      <c r="M6" s="47" t="str">
        <f>IF(UnlockROI[[#This Row],[Unlocked]]=1,"",IF(UnlockROI[[#This Row],[Base Efficiency]]&lt;1,15,0.25/UnlockROI[[#This Row],[Base Efficiency]]))</f>
        <v/>
      </c>
      <c r="N6" s="34">
        <f>_xlfn.XLOOKUP(UnlockROI[[#This Row],[Planet '#]],tblplanetvalue[Planet '#],tblplanetvalue[Total Worth])</f>
        <v>2.8000000000000003</v>
      </c>
      <c r="O6" s="35" t="str">
        <f>IF(OR(UnlockROI[[#This Row],[Deposit]]="",UnlockROI[[#This Row],[Planet Worth]]=""),"",UnlockROI[[#This Row],[Deposit]]*UnlockROI[[#This Row],[Planet Worth]])</f>
        <v/>
      </c>
      <c r="P6" s="14" t="str">
        <f>IF(
   _xlfn.XLOOKUP(UnlockROI[[#This Row],[Planet '#]], tblPlanets[Planet '#], tblPlanets[Name])=UnlockROI[[#This Row],[Name]],
   "Match",
   "Mismatch"
)</f>
        <v>Match</v>
      </c>
    </row>
    <row r="7" spans="1:16" x14ac:dyDescent="0.3">
      <c r="A7" s="25">
        <v>6</v>
      </c>
      <c r="B7" s="25" t="str">
        <f>_xlfn.XLOOKUP(tblprogress[[#This Row],[Planet '#]],tblPlanets[Planet '#],tblPlanets[Name])</f>
        <v>Newton</v>
      </c>
      <c r="C7" s="54">
        <f>_xlfn.XLOOKUP(UnlockROI[[#This Row],[Planet '#]],tblprogress[Planet '#],tblprogress[Unlocked])</f>
        <v>1</v>
      </c>
      <c r="D7" s="54">
        <f>_xlfn.XLOOKUP(UnlockROI[[#This Row],[Planet '#]],tblprogress[Planet '#],tblprogress[Possible to Unlock])</f>
        <v>1</v>
      </c>
      <c r="E7" s="47" t="str">
        <f>IF(AND(UnlockROI[[#This Row],[Unlocked]]=0,UnlockROI[[#This Row],[Possible to Unlock]]=1),
   IFERROR(UnlockROI[[#This Row],[Base Earnings]]*3600/UnlockROI[[#This Row],[Unlock Planet Amount]],""),
   "")</f>
        <v/>
      </c>
      <c r="F7" s="47" t="str">
        <f>IF(AND(UnlockROI[[#This Row],[Unlocked]]=0,UnlockROI[[#This Row],[Possible to Unlock]]=1),
   IFERROR(UnlockROI[[#This Row],[Unlock Planet Amount]]/UnlockROI[[#This Row],[Base Earnings]],""),
   "")</f>
        <v/>
      </c>
      <c r="G7" s="34" t="str">
        <f>IF(UnlockROI[[#This Row],[Unlocked]]=1,"",_xlfn.XLOOKUP(UnlockROI[[#This Row],[Planet '#]],tblPlanets[Planet '#],tblPlanets[Unlock Price]))</f>
        <v/>
      </c>
      <c r="H7" s="43" t="str">
        <f>IF(UnlockROI[[#This Row],[Unlocked]]=0,0.25,"")</f>
        <v/>
      </c>
      <c r="I7" s="43" t="str">
        <f>IF(UnlockROI[[#This Row],[Unlocked]]=0,1,"")</f>
        <v/>
      </c>
      <c r="J7" s="25" t="str">
        <f>IF(UnlockROI[[#This Row],[Unlocked]]=0,5,"")</f>
        <v/>
      </c>
      <c r="K7" s="28">
        <f>_xlfn.XLOOKUP(UnlockROI[[#This Row],[Planet '#]],tblprogress[Planet '#],tblprogress[Planets Distance])</f>
        <v>7.3</v>
      </c>
      <c r="L7" s="41">
        <f>0.1*UnlockROI[[#This Row],[Distance]]</f>
        <v>0.73</v>
      </c>
      <c r="M7" s="47" t="str">
        <f>IF(UnlockROI[[#This Row],[Unlocked]]=1,"",IF(UnlockROI[[#This Row],[Base Efficiency]]&lt;1,15,0.25/UnlockROI[[#This Row],[Base Efficiency]]))</f>
        <v/>
      </c>
      <c r="N7" s="34">
        <f>_xlfn.XLOOKUP(UnlockROI[[#This Row],[Planet '#]],tblplanetvalue[Planet '#],tblplanetvalue[Total Worth])</f>
        <v>4</v>
      </c>
      <c r="O7" s="35" t="str">
        <f>IF(OR(UnlockROI[[#This Row],[Deposit]]="",UnlockROI[[#This Row],[Planet Worth]]=""),"",UnlockROI[[#This Row],[Deposit]]*UnlockROI[[#This Row],[Planet Worth]])</f>
        <v/>
      </c>
      <c r="P7" s="14" t="str">
        <f>IF(
   _xlfn.XLOOKUP(UnlockROI[[#This Row],[Planet '#]], tblPlanets[Planet '#], tblPlanets[Name])=UnlockROI[[#This Row],[Name]],
   "Match",
   "Mismatch"
)</f>
        <v>Match</v>
      </c>
    </row>
    <row r="8" spans="1:16" x14ac:dyDescent="0.3">
      <c r="A8" s="24">
        <v>7</v>
      </c>
      <c r="B8" s="24" t="str">
        <f>_xlfn.XLOOKUP(tblprogress[[#This Row],[Planet '#]],tblPlanets[Planet '#],tblPlanets[Name])</f>
        <v>Widow</v>
      </c>
      <c r="C8" s="54">
        <f>_xlfn.XLOOKUP(UnlockROI[[#This Row],[Planet '#]],tblprogress[Planet '#],tblprogress[Unlocked])</f>
        <v>1</v>
      </c>
      <c r="D8" s="54">
        <f>_xlfn.XLOOKUP(UnlockROI[[#This Row],[Planet '#]],tblprogress[Planet '#],tblprogress[Possible to Unlock])</f>
        <v>1</v>
      </c>
      <c r="E8" s="47" t="str">
        <f>IF(AND(UnlockROI[[#This Row],[Unlocked]]=0,UnlockROI[[#This Row],[Possible to Unlock]]=1),
   IFERROR(UnlockROI[[#This Row],[Base Earnings]]*3600/UnlockROI[[#This Row],[Unlock Planet Amount]],""),
   "")</f>
        <v/>
      </c>
      <c r="F8" s="47" t="str">
        <f>IF(AND(UnlockROI[[#This Row],[Unlocked]]=0,UnlockROI[[#This Row],[Possible to Unlock]]=1),
   IFERROR(UnlockROI[[#This Row],[Unlock Planet Amount]]/UnlockROI[[#This Row],[Base Earnings]],""),
   "")</f>
        <v/>
      </c>
      <c r="G8" s="34" t="str">
        <f>IF(UnlockROI[[#This Row],[Unlocked]]=1,"",_xlfn.XLOOKUP(UnlockROI[[#This Row],[Planet '#]],tblPlanets[Planet '#],tblPlanets[Unlock Price]))</f>
        <v/>
      </c>
      <c r="H8" s="43" t="str">
        <f>IF(UnlockROI[[#This Row],[Unlocked]]=0,0.25,"")</f>
        <v/>
      </c>
      <c r="I8" s="43" t="str">
        <f>IF(UnlockROI[[#This Row],[Unlocked]]=0,1,"")</f>
        <v/>
      </c>
      <c r="J8" s="25" t="str">
        <f>IF(UnlockROI[[#This Row],[Unlocked]]=0,5,"")</f>
        <v/>
      </c>
      <c r="K8" s="28">
        <f>_xlfn.XLOOKUP(UnlockROI[[#This Row],[Planet '#]],tblprogress[Planet '#],tblprogress[Planets Distance])</f>
        <v>7.45</v>
      </c>
      <c r="L8" s="41">
        <f>0.1*UnlockROI[[#This Row],[Distance]]</f>
        <v>0.74500000000000011</v>
      </c>
      <c r="M8" s="47" t="str">
        <f>IF(UnlockROI[[#This Row],[Unlocked]]=1,"",IF(UnlockROI[[#This Row],[Base Efficiency]]&lt;1,15,0.25/UnlockROI[[#This Row],[Base Efficiency]]))</f>
        <v/>
      </c>
      <c r="N8" s="34">
        <f>_xlfn.XLOOKUP(UnlockROI[[#This Row],[Planet '#]],tblplanetvalue[Planet '#],tblplanetvalue[Total Worth])</f>
        <v>2.8000000000000003</v>
      </c>
      <c r="O8" s="35" t="str">
        <f>IF(OR(UnlockROI[[#This Row],[Deposit]]="",UnlockROI[[#This Row],[Planet Worth]]=""),"",UnlockROI[[#This Row],[Deposit]]*UnlockROI[[#This Row],[Planet Worth]])</f>
        <v/>
      </c>
      <c r="P8" s="14" t="str">
        <f>IF(
   _xlfn.XLOOKUP(UnlockROI[[#This Row],[Planet '#]], tblPlanets[Planet '#], tblPlanets[Name])=UnlockROI[[#This Row],[Name]],
   "Match",
   "Mismatch"
)</f>
        <v>Match</v>
      </c>
    </row>
    <row r="9" spans="1:16" x14ac:dyDescent="0.3">
      <c r="A9" s="25">
        <v>8</v>
      </c>
      <c r="B9" s="25" t="str">
        <f>_xlfn.XLOOKUP(tblprogress[[#This Row],[Planet '#]],tblPlanets[Planet '#],tblPlanets[Name])</f>
        <v>Acheron</v>
      </c>
      <c r="C9" s="54">
        <f>_xlfn.XLOOKUP(UnlockROI[[#This Row],[Planet '#]],tblprogress[Planet '#],tblprogress[Unlocked])</f>
        <v>0</v>
      </c>
      <c r="D9" s="54">
        <f>_xlfn.XLOOKUP(UnlockROI[[#This Row],[Planet '#]],tblprogress[Planet '#],tblprogress[Possible to Unlock])</f>
        <v>0</v>
      </c>
      <c r="E9" s="47" t="str">
        <f>IF(AND(UnlockROI[[#This Row],[Unlocked]]=0,UnlockROI[[#This Row],[Possible to Unlock]]=1),
   IFERROR(UnlockROI[[#This Row],[Base Earnings]]*3600/UnlockROI[[#This Row],[Unlock Planet Amount]],""),
   "")</f>
        <v/>
      </c>
      <c r="F9" s="47" t="str">
        <f>IF(AND(UnlockROI[[#This Row],[Unlocked]]=0,UnlockROI[[#This Row],[Possible to Unlock]]=1),
   IFERROR(UnlockROI[[#This Row],[Unlock Planet Amount]]/UnlockROI[[#This Row],[Base Earnings]],""),
   "")</f>
        <v/>
      </c>
      <c r="G9" s="34">
        <f>IF(UnlockROI[[#This Row],[Unlocked]]=1,"",_xlfn.XLOOKUP(UnlockROI[[#This Row],[Planet '#]],tblPlanets[Planet '#],tblPlanets[Unlock Price]))</f>
        <v>25000</v>
      </c>
      <c r="H9" s="43">
        <f>IF(UnlockROI[[#This Row],[Unlocked]]=0,0.25,"")</f>
        <v>0.25</v>
      </c>
      <c r="I9" s="43">
        <f>IF(UnlockROI[[#This Row],[Unlocked]]=0,1,"")</f>
        <v>1</v>
      </c>
      <c r="J9" s="25">
        <f>IF(UnlockROI[[#This Row],[Unlocked]]=0,5,"")</f>
        <v>5</v>
      </c>
      <c r="K9" s="28">
        <f>_xlfn.XLOOKUP(UnlockROI[[#This Row],[Planet '#]],tblprogress[Planet '#],tblprogress[Planets Distance])</f>
        <v>7.6</v>
      </c>
      <c r="L9" s="41">
        <f>0.1*UnlockROI[[#This Row],[Distance]]</f>
        <v>0.76</v>
      </c>
      <c r="M9" s="47">
        <f>IF(UnlockROI[[#This Row],[Unlocked]]=1,"",IF(UnlockROI[[#This Row],[Base Efficiency]]&lt;1,15,0.25/UnlockROI[[#This Row],[Base Efficiency]]))</f>
        <v>15</v>
      </c>
      <c r="N9" s="34">
        <f>_xlfn.XLOOKUP(UnlockROI[[#This Row],[Planet '#]],tblplanetvalue[Planet '#],tblplanetvalue[Total Worth])</f>
        <v>5.2</v>
      </c>
      <c r="O9" s="35">
        <f>IF(OR(UnlockROI[[#This Row],[Deposit]]="",UnlockROI[[#This Row],[Planet Worth]]=""),"",UnlockROI[[#This Row],[Deposit]]*UnlockROI[[#This Row],[Planet Worth]])</f>
        <v>78</v>
      </c>
      <c r="P9" s="14" t="str">
        <f>IF(
   _xlfn.XLOOKUP(UnlockROI[[#This Row],[Planet '#]], tblPlanets[Planet '#], tblPlanets[Name])=UnlockROI[[#This Row],[Name]],
   "Match",
   "Mismatch"
)</f>
        <v>Match</v>
      </c>
    </row>
    <row r="10" spans="1:16" x14ac:dyDescent="0.3">
      <c r="A10" s="24">
        <v>9</v>
      </c>
      <c r="B10" s="24" t="str">
        <f>_xlfn.XLOOKUP(tblprogress[[#This Row],[Planet '#]],tblPlanets[Planet '#],tblPlanets[Name])</f>
        <v>Yangtze</v>
      </c>
      <c r="C10" s="54">
        <f>_xlfn.XLOOKUP(UnlockROI[[#This Row],[Planet '#]],tblprogress[Planet '#],tblprogress[Unlocked])</f>
        <v>0</v>
      </c>
      <c r="D10" s="54">
        <f>_xlfn.XLOOKUP(UnlockROI[[#This Row],[Planet '#]],tblprogress[Planet '#],tblprogress[Possible to Unlock])</f>
        <v>0</v>
      </c>
      <c r="E10" s="47" t="str">
        <f>IF(AND(UnlockROI[[#This Row],[Unlocked]]=0,UnlockROI[[#This Row],[Possible to Unlock]]=1),
   IFERROR(UnlockROI[[#This Row],[Base Earnings]]*3600/UnlockROI[[#This Row],[Unlock Planet Amount]],""),
   "")</f>
        <v/>
      </c>
      <c r="F10" s="47" t="str">
        <f>IF(AND(UnlockROI[[#This Row],[Unlocked]]=0,UnlockROI[[#This Row],[Possible to Unlock]]=1),
   IFERROR(UnlockROI[[#This Row],[Unlock Planet Amount]]/UnlockROI[[#This Row],[Base Earnings]],""),
   "")</f>
        <v/>
      </c>
      <c r="G10" s="34">
        <f>IF(UnlockROI[[#This Row],[Unlocked]]=1,"",_xlfn.XLOOKUP(UnlockROI[[#This Row],[Planet '#]],tblPlanets[Planet '#],tblPlanets[Unlock Price]))</f>
        <v>40000</v>
      </c>
      <c r="H10" s="43">
        <f>IF(UnlockROI[[#This Row],[Unlocked]]=0,0.25,"")</f>
        <v>0.25</v>
      </c>
      <c r="I10" s="43">
        <f>IF(UnlockROI[[#This Row],[Unlocked]]=0,1,"")</f>
        <v>1</v>
      </c>
      <c r="J10" s="25">
        <f>IF(UnlockROI[[#This Row],[Unlocked]]=0,5,"")</f>
        <v>5</v>
      </c>
      <c r="K10" s="28">
        <f>_xlfn.XLOOKUP(UnlockROI[[#This Row],[Planet '#]],tblprogress[Planet '#],tblprogress[Planets Distance])</f>
        <v>7.75</v>
      </c>
      <c r="L10" s="41">
        <f>0.1*UnlockROI[[#This Row],[Distance]]</f>
        <v>0.77500000000000002</v>
      </c>
      <c r="M10" s="47">
        <f>IF(UnlockROI[[#This Row],[Unlocked]]=1,"",IF(UnlockROI[[#This Row],[Base Efficiency]]&lt;1,15,0.25/UnlockROI[[#This Row],[Base Efficiency]]))</f>
        <v>15</v>
      </c>
      <c r="N10" s="34">
        <f>_xlfn.XLOOKUP(UnlockROI[[#This Row],[Planet '#]],tblplanetvalue[Planet '#],tblplanetvalue[Total Worth])</f>
        <v>9.8000000000000007</v>
      </c>
      <c r="O10" s="35">
        <f>IF(OR(UnlockROI[[#This Row],[Deposit]]="",UnlockROI[[#This Row],[Planet Worth]]=""),"",UnlockROI[[#This Row],[Deposit]]*UnlockROI[[#This Row],[Planet Worth]])</f>
        <v>147</v>
      </c>
      <c r="P10" s="14" t="str">
        <f>IF(
   _xlfn.XLOOKUP(UnlockROI[[#This Row],[Planet '#]], tblPlanets[Planet '#], tblPlanets[Name])=UnlockROI[[#This Row],[Name]],
   "Match",
   "Mismatch"
)</f>
        <v>Match</v>
      </c>
    </row>
    <row r="11" spans="1:16" x14ac:dyDescent="0.3">
      <c r="A11" s="25">
        <v>10</v>
      </c>
      <c r="B11" s="25" t="str">
        <f>_xlfn.XLOOKUP(tblprogress[[#This Row],[Planet '#]],tblPlanets[Planet '#],tblPlanets[Name])</f>
        <v>Solveig</v>
      </c>
      <c r="C11" s="54">
        <f>_xlfn.XLOOKUP(UnlockROI[[#This Row],[Planet '#]],tblprogress[Planet '#],tblprogress[Unlocked])</f>
        <v>0</v>
      </c>
      <c r="D11" s="54">
        <f>_xlfn.XLOOKUP(UnlockROI[[#This Row],[Planet '#]],tblprogress[Planet '#],tblprogress[Possible to Unlock])</f>
        <v>0</v>
      </c>
      <c r="E11" s="47" t="str">
        <f>IF(AND(UnlockROI[[#This Row],[Unlocked]]=0,UnlockROI[[#This Row],[Possible to Unlock]]=1),
   IFERROR(UnlockROI[[#This Row],[Base Earnings]]*3600/UnlockROI[[#This Row],[Unlock Planet Amount]],""),
   "")</f>
        <v/>
      </c>
      <c r="F11" s="47" t="str">
        <f>IF(AND(UnlockROI[[#This Row],[Unlocked]]=0,UnlockROI[[#This Row],[Possible to Unlock]]=1),
   IFERROR(UnlockROI[[#This Row],[Unlock Planet Amount]]/UnlockROI[[#This Row],[Base Earnings]],""),
   "")</f>
        <v/>
      </c>
      <c r="G11" s="34">
        <f>IF(UnlockROI[[#This Row],[Unlocked]]=1,"",_xlfn.XLOOKUP(UnlockROI[[#This Row],[Planet '#]],tblPlanets[Planet '#],tblPlanets[Unlock Price]))</f>
        <v>75000</v>
      </c>
      <c r="H11" s="43">
        <f>IF(UnlockROI[[#This Row],[Unlocked]]=0,0.25,"")</f>
        <v>0.25</v>
      </c>
      <c r="I11" s="43">
        <f>IF(UnlockROI[[#This Row],[Unlocked]]=0,1,"")</f>
        <v>1</v>
      </c>
      <c r="J11" s="25">
        <f>IF(UnlockROI[[#This Row],[Unlocked]]=0,5,"")</f>
        <v>5</v>
      </c>
      <c r="K11" s="28">
        <f>_xlfn.XLOOKUP(UnlockROI[[#This Row],[Planet '#]],tblprogress[Planet '#],tblprogress[Planets Distance])</f>
        <v>7.9</v>
      </c>
      <c r="L11" s="41">
        <f>0.1*UnlockROI[[#This Row],[Distance]]</f>
        <v>0.79</v>
      </c>
      <c r="M11" s="47">
        <f>IF(UnlockROI[[#This Row],[Unlocked]]=1,"",IF(UnlockROI[[#This Row],[Base Efficiency]]&lt;1,15,0.25/UnlockROI[[#This Row],[Base Efficiency]]))</f>
        <v>15</v>
      </c>
      <c r="N11" s="34">
        <f>_xlfn.XLOOKUP(UnlockROI[[#This Row],[Planet '#]],tblplanetvalue[Planet '#],tblplanetvalue[Total Worth])</f>
        <v>11.700000000000001</v>
      </c>
      <c r="O11" s="35">
        <f>IF(OR(UnlockROI[[#This Row],[Deposit]]="",UnlockROI[[#This Row],[Planet Worth]]=""),"",UnlockROI[[#This Row],[Deposit]]*UnlockROI[[#This Row],[Planet Worth]])</f>
        <v>175.50000000000003</v>
      </c>
      <c r="P11" s="14" t="str">
        <f>IF(
   _xlfn.XLOOKUP(UnlockROI[[#This Row],[Planet '#]], tblPlanets[Planet '#], tblPlanets[Name])=UnlockROI[[#This Row],[Name]],
   "Match",
   "Mismatch"
)</f>
        <v>Match</v>
      </c>
    </row>
    <row r="12" spans="1:16" x14ac:dyDescent="0.3">
      <c r="A12" s="24">
        <v>11</v>
      </c>
      <c r="B12" s="24" t="str">
        <f>_xlfn.XLOOKUP(tblprogress[[#This Row],[Planet '#]],tblPlanets[Planet '#],tblPlanets[Name])</f>
        <v>Imir</v>
      </c>
      <c r="C12" s="54">
        <f>_xlfn.XLOOKUP(UnlockROI[[#This Row],[Planet '#]],tblprogress[Planet '#],tblprogress[Unlocked])</f>
        <v>0</v>
      </c>
      <c r="D12" s="54">
        <f>_xlfn.XLOOKUP(UnlockROI[[#This Row],[Planet '#]],tblprogress[Planet '#],tblprogress[Possible to Unlock])</f>
        <v>0</v>
      </c>
      <c r="E12" s="47" t="str">
        <f>IF(AND(UnlockROI[[#This Row],[Unlocked]]=0,UnlockROI[[#This Row],[Possible to Unlock]]=1),
   IFERROR(UnlockROI[[#This Row],[Base Earnings]]*3600/UnlockROI[[#This Row],[Unlock Planet Amount]],""),
   "")</f>
        <v/>
      </c>
      <c r="F12" s="47" t="str">
        <f>IF(AND(UnlockROI[[#This Row],[Unlocked]]=0,UnlockROI[[#This Row],[Possible to Unlock]]=1),
   IFERROR(UnlockROI[[#This Row],[Unlock Planet Amount]]/UnlockROI[[#This Row],[Base Earnings]],""),
   "")</f>
        <v/>
      </c>
      <c r="G12" s="34">
        <f>IF(UnlockROI[[#This Row],[Unlocked]]=1,"",_xlfn.XLOOKUP(UnlockROI[[#This Row],[Planet '#]],tblPlanets[Planet '#],tblPlanets[Unlock Price]))</f>
        <v>150000</v>
      </c>
      <c r="H12" s="43">
        <f>IF(UnlockROI[[#This Row],[Unlocked]]=0,0.25,"")</f>
        <v>0.25</v>
      </c>
      <c r="I12" s="43">
        <f>IF(UnlockROI[[#This Row],[Unlocked]]=0,1,"")</f>
        <v>1</v>
      </c>
      <c r="J12" s="25">
        <f>IF(UnlockROI[[#This Row],[Unlocked]]=0,5,"")</f>
        <v>5</v>
      </c>
      <c r="K12" s="28">
        <f>_xlfn.XLOOKUP(UnlockROI[[#This Row],[Planet '#]],tblprogress[Planet '#],tblprogress[Planets Distance])</f>
        <v>8.0500000000000007</v>
      </c>
      <c r="L12" s="41">
        <f>0.1*UnlockROI[[#This Row],[Distance]]</f>
        <v>0.80500000000000016</v>
      </c>
      <c r="M12" s="47">
        <f>IF(UnlockROI[[#This Row],[Unlocked]]=1,"",IF(UnlockROI[[#This Row],[Base Efficiency]]&lt;1,15,0.25/UnlockROI[[#This Row],[Base Efficiency]]))</f>
        <v>15</v>
      </c>
      <c r="N12" s="34">
        <f>_xlfn.XLOOKUP(UnlockROI[[#This Row],[Planet '#]],tblplanetvalue[Planet '#],tblplanetvalue[Total Worth])</f>
        <v>17</v>
      </c>
      <c r="O12" s="35">
        <f>IF(OR(UnlockROI[[#This Row],[Deposit]]="",UnlockROI[[#This Row],[Planet Worth]]=""),"",UnlockROI[[#This Row],[Deposit]]*UnlockROI[[#This Row],[Planet Worth]])</f>
        <v>255</v>
      </c>
      <c r="P12" s="14" t="str">
        <f>IF(
   _xlfn.XLOOKUP(UnlockROI[[#This Row],[Planet '#]], tblPlanets[Planet '#], tblPlanets[Name])=UnlockROI[[#This Row],[Name]],
   "Match",
   "Mismatch"
)</f>
        <v>Match</v>
      </c>
    </row>
    <row r="13" spans="1:16" x14ac:dyDescent="0.3">
      <c r="A13" s="25">
        <v>12</v>
      </c>
      <c r="B13" s="25" t="str">
        <f>_xlfn.XLOOKUP(tblprogress[[#This Row],[Planet '#]],tblPlanets[Planet '#],tblPlanets[Name])</f>
        <v>Relic</v>
      </c>
      <c r="C13" s="54">
        <f>_xlfn.XLOOKUP(UnlockROI[[#This Row],[Planet '#]],tblprogress[Planet '#],tblprogress[Unlocked])</f>
        <v>0</v>
      </c>
      <c r="D13" s="54">
        <f>_xlfn.XLOOKUP(UnlockROI[[#This Row],[Planet '#]],tblprogress[Planet '#],tblprogress[Possible to Unlock])</f>
        <v>0</v>
      </c>
      <c r="E13" s="47" t="str">
        <f>IF(AND(UnlockROI[[#This Row],[Unlocked]]=0,UnlockROI[[#This Row],[Possible to Unlock]]=1),
   IFERROR(UnlockROI[[#This Row],[Base Earnings]]*3600/UnlockROI[[#This Row],[Unlock Planet Amount]],""),
   "")</f>
        <v/>
      </c>
      <c r="F13" s="47" t="str">
        <f>IF(AND(UnlockROI[[#This Row],[Unlocked]]=0,UnlockROI[[#This Row],[Possible to Unlock]]=1),
   IFERROR(UnlockROI[[#This Row],[Unlock Planet Amount]]/UnlockROI[[#This Row],[Base Earnings]],""),
   "")</f>
        <v/>
      </c>
      <c r="G13" s="34">
        <f>IF(UnlockROI[[#This Row],[Unlocked]]=1,"",_xlfn.XLOOKUP(UnlockROI[[#This Row],[Planet '#]],tblPlanets[Planet '#],tblPlanets[Unlock Price]))</f>
        <v>250000</v>
      </c>
      <c r="H13" s="43">
        <f>IF(UnlockROI[[#This Row],[Unlocked]]=0,0.25,"")</f>
        <v>0.25</v>
      </c>
      <c r="I13" s="43">
        <f>IF(UnlockROI[[#This Row],[Unlocked]]=0,1,"")</f>
        <v>1</v>
      </c>
      <c r="J13" s="25">
        <f>IF(UnlockROI[[#This Row],[Unlocked]]=0,5,"")</f>
        <v>5</v>
      </c>
      <c r="K13" s="28">
        <f>_xlfn.XLOOKUP(UnlockROI[[#This Row],[Planet '#]],tblprogress[Planet '#],tblprogress[Planets Distance])</f>
        <v>8.1999999999999993</v>
      </c>
      <c r="L13" s="41">
        <f>0.1*UnlockROI[[#This Row],[Distance]]</f>
        <v>0.82</v>
      </c>
      <c r="M13" s="47">
        <f>IF(UnlockROI[[#This Row],[Unlocked]]=1,"",IF(UnlockROI[[#This Row],[Base Efficiency]]&lt;1,15,0.25/UnlockROI[[#This Row],[Base Efficiency]]))</f>
        <v>15</v>
      </c>
      <c r="N13" s="34">
        <f>_xlfn.XLOOKUP(UnlockROI[[#This Row],[Planet '#]],tblplanetvalue[Planet '#],tblplanetvalue[Total Worth])</f>
        <v>11.8</v>
      </c>
      <c r="O13" s="35">
        <f>IF(OR(UnlockROI[[#This Row],[Deposit]]="",UnlockROI[[#This Row],[Planet Worth]]=""),"",UnlockROI[[#This Row],[Deposit]]*UnlockROI[[#This Row],[Planet Worth]])</f>
        <v>177</v>
      </c>
      <c r="P13" s="14" t="str">
        <f>IF(
   _xlfn.XLOOKUP(UnlockROI[[#This Row],[Planet '#]], tblPlanets[Planet '#], tblPlanets[Name])=UnlockROI[[#This Row],[Name]],
   "Match",
   "Mismatch"
)</f>
        <v>Match</v>
      </c>
    </row>
    <row r="14" spans="1:16" x14ac:dyDescent="0.3">
      <c r="A14" s="24">
        <v>13</v>
      </c>
      <c r="B14" s="24" t="str">
        <f>_xlfn.XLOOKUP(tblprogress[[#This Row],[Planet '#]],tblPlanets[Planet '#],tblPlanets[Name])</f>
        <v>Nith</v>
      </c>
      <c r="C14" s="54">
        <f>_xlfn.XLOOKUP(UnlockROI[[#This Row],[Planet '#]],tblprogress[Planet '#],tblprogress[Unlocked])</f>
        <v>0</v>
      </c>
      <c r="D14" s="54">
        <f>_xlfn.XLOOKUP(UnlockROI[[#This Row],[Planet '#]],tblprogress[Planet '#],tblprogress[Possible to Unlock])</f>
        <v>0</v>
      </c>
      <c r="E14" s="47" t="str">
        <f>IF(AND(UnlockROI[[#This Row],[Unlocked]]=0,UnlockROI[[#This Row],[Possible to Unlock]]=1),
   IFERROR(UnlockROI[[#This Row],[Base Earnings]]*3600/UnlockROI[[#This Row],[Unlock Planet Amount]],""),
   "")</f>
        <v/>
      </c>
      <c r="F14" s="47" t="str">
        <f>IF(AND(UnlockROI[[#This Row],[Unlocked]]=0,UnlockROI[[#This Row],[Possible to Unlock]]=1),
   IFERROR(UnlockROI[[#This Row],[Unlock Planet Amount]]/UnlockROI[[#This Row],[Base Earnings]],""),
   "")</f>
        <v/>
      </c>
      <c r="G14" s="34">
        <f>IF(UnlockROI[[#This Row],[Unlocked]]=1,"",_xlfn.XLOOKUP(UnlockROI[[#This Row],[Planet '#]],tblPlanets[Planet '#],tblPlanets[Unlock Price]))</f>
        <v>400000</v>
      </c>
      <c r="H14" s="43">
        <f>IF(UnlockROI[[#This Row],[Unlocked]]=0,0.25,"")</f>
        <v>0.25</v>
      </c>
      <c r="I14" s="43">
        <f>IF(UnlockROI[[#This Row],[Unlocked]]=0,1,"")</f>
        <v>1</v>
      </c>
      <c r="J14" s="25">
        <f>IF(UnlockROI[[#This Row],[Unlocked]]=0,5,"")</f>
        <v>5</v>
      </c>
      <c r="K14" s="28">
        <f>_xlfn.XLOOKUP(UnlockROI[[#This Row],[Planet '#]],tblprogress[Planet '#],tblprogress[Planets Distance])</f>
        <v>8.35</v>
      </c>
      <c r="L14" s="41">
        <f>0.1*UnlockROI[[#This Row],[Distance]]</f>
        <v>0.83499999999999996</v>
      </c>
      <c r="M14" s="47">
        <f>IF(UnlockROI[[#This Row],[Unlocked]]=1,"",IF(UnlockROI[[#This Row],[Base Efficiency]]&lt;1,15,0.25/UnlockROI[[#This Row],[Base Efficiency]]))</f>
        <v>15</v>
      </c>
      <c r="N14" s="34">
        <f>_xlfn.XLOOKUP(UnlockROI[[#This Row],[Planet '#]],tblplanetvalue[Planet '#],tblplanetvalue[Total Worth])</f>
        <v>32.200000000000003</v>
      </c>
      <c r="O14" s="35">
        <f>IF(OR(UnlockROI[[#This Row],[Deposit]]="",UnlockROI[[#This Row],[Planet Worth]]=""),"",UnlockROI[[#This Row],[Deposit]]*UnlockROI[[#This Row],[Planet Worth]])</f>
        <v>483.00000000000006</v>
      </c>
      <c r="P14" s="14" t="str">
        <f>IF(
   _xlfn.XLOOKUP(UnlockROI[[#This Row],[Planet '#]], tblPlanets[Planet '#], tblPlanets[Name])=UnlockROI[[#This Row],[Name]],
   "Match",
   "Mismatch"
)</f>
        <v>Match</v>
      </c>
    </row>
    <row r="15" spans="1:16" x14ac:dyDescent="0.3">
      <c r="A15" s="25">
        <v>14</v>
      </c>
      <c r="B15" s="25" t="str">
        <f>_xlfn.XLOOKUP(tblprogress[[#This Row],[Planet '#]],tblPlanets[Planet '#],tblPlanets[Name])</f>
        <v>Batalla</v>
      </c>
      <c r="C15" s="54">
        <f>_xlfn.XLOOKUP(UnlockROI[[#This Row],[Planet '#]],tblprogress[Planet '#],tblprogress[Unlocked])</f>
        <v>0</v>
      </c>
      <c r="D15" s="54">
        <f>_xlfn.XLOOKUP(UnlockROI[[#This Row],[Planet '#]],tblprogress[Planet '#],tblprogress[Possible to Unlock])</f>
        <v>0</v>
      </c>
      <c r="E15" s="47" t="str">
        <f>IF(AND(UnlockROI[[#This Row],[Unlocked]]=0,UnlockROI[[#This Row],[Possible to Unlock]]=1),
   IFERROR(UnlockROI[[#This Row],[Base Earnings]]*3600/UnlockROI[[#This Row],[Unlock Planet Amount]],""),
   "")</f>
        <v/>
      </c>
      <c r="F15" s="47" t="str">
        <f>IF(AND(UnlockROI[[#This Row],[Unlocked]]=0,UnlockROI[[#This Row],[Possible to Unlock]]=1),
   IFERROR(UnlockROI[[#This Row],[Unlock Planet Amount]]/UnlockROI[[#This Row],[Base Earnings]],""),
   "")</f>
        <v/>
      </c>
      <c r="G15" s="34">
        <f>IF(UnlockROI[[#This Row],[Unlocked]]=1,"",_xlfn.XLOOKUP(UnlockROI[[#This Row],[Planet '#]],tblPlanets[Planet '#],tblPlanets[Unlock Price]))</f>
        <v>800000</v>
      </c>
      <c r="H15" s="43">
        <f>IF(UnlockROI[[#This Row],[Unlocked]]=0,0.25,"")</f>
        <v>0.25</v>
      </c>
      <c r="I15" s="43">
        <f>IF(UnlockROI[[#This Row],[Unlocked]]=0,1,"")</f>
        <v>1</v>
      </c>
      <c r="J15" s="25">
        <f>IF(UnlockROI[[#This Row],[Unlocked]]=0,5,"")</f>
        <v>5</v>
      </c>
      <c r="K15" s="28">
        <f>_xlfn.XLOOKUP(UnlockROI[[#This Row],[Planet '#]],tblprogress[Planet '#],tblprogress[Planets Distance])</f>
        <v>8.5</v>
      </c>
      <c r="L15" s="41">
        <f>0.1*UnlockROI[[#This Row],[Distance]]</f>
        <v>0.85000000000000009</v>
      </c>
      <c r="M15" s="47">
        <f>IF(UnlockROI[[#This Row],[Unlocked]]=1,"",IF(UnlockROI[[#This Row],[Base Efficiency]]&lt;1,15,0.25/UnlockROI[[#This Row],[Base Efficiency]]))</f>
        <v>15</v>
      </c>
      <c r="N15" s="34">
        <f>_xlfn.XLOOKUP(UnlockROI[[#This Row],[Planet '#]],tblplanetvalue[Planet '#],tblplanetvalue[Total Worth])</f>
        <v>16.2</v>
      </c>
      <c r="O15" s="35">
        <f>IF(OR(UnlockROI[[#This Row],[Deposit]]="",UnlockROI[[#This Row],[Planet Worth]]=""),"",UnlockROI[[#This Row],[Deposit]]*UnlockROI[[#This Row],[Planet Worth]])</f>
        <v>243</v>
      </c>
      <c r="P15" s="14" t="str">
        <f>IF(
   _xlfn.XLOOKUP(UnlockROI[[#This Row],[Planet '#]], tblPlanets[Planet '#], tblPlanets[Name])=UnlockROI[[#This Row],[Name]],
   "Match",
   "Mismatch"
)</f>
        <v>Match</v>
      </c>
    </row>
    <row r="16" spans="1:16" x14ac:dyDescent="0.3">
      <c r="A16" s="24">
        <v>15</v>
      </c>
      <c r="B16" s="24" t="str">
        <f>_xlfn.XLOOKUP(tblprogress[[#This Row],[Planet '#]],tblPlanets[Planet '#],tblPlanets[Name])</f>
        <v>Micah</v>
      </c>
      <c r="C16" s="54">
        <f>_xlfn.XLOOKUP(UnlockROI[[#This Row],[Planet '#]],tblprogress[Planet '#],tblprogress[Unlocked])</f>
        <v>0</v>
      </c>
      <c r="D16" s="54">
        <f>_xlfn.XLOOKUP(UnlockROI[[#This Row],[Planet '#]],tblprogress[Planet '#],tblprogress[Possible to Unlock])</f>
        <v>0</v>
      </c>
      <c r="E16" s="47" t="str">
        <f>IF(AND(UnlockROI[[#This Row],[Unlocked]]=0,UnlockROI[[#This Row],[Possible to Unlock]]=1),
   IFERROR(UnlockROI[[#This Row],[Base Earnings]]*3600/UnlockROI[[#This Row],[Unlock Planet Amount]],""),
   "")</f>
        <v/>
      </c>
      <c r="F16" s="47" t="str">
        <f>IF(AND(UnlockROI[[#This Row],[Unlocked]]=0,UnlockROI[[#This Row],[Possible to Unlock]]=1),
   IFERROR(UnlockROI[[#This Row],[Unlock Planet Amount]]/UnlockROI[[#This Row],[Base Earnings]],""),
   "")</f>
        <v/>
      </c>
      <c r="G16" s="34">
        <f>IF(UnlockROI[[#This Row],[Unlocked]]=1,"",_xlfn.XLOOKUP(UnlockROI[[#This Row],[Planet '#]],tblPlanets[Planet '#],tblPlanets[Unlock Price]))</f>
        <v>1500000</v>
      </c>
      <c r="H16" s="43">
        <f>IF(UnlockROI[[#This Row],[Unlocked]]=0,0.25,"")</f>
        <v>0.25</v>
      </c>
      <c r="I16" s="43">
        <f>IF(UnlockROI[[#This Row],[Unlocked]]=0,1,"")</f>
        <v>1</v>
      </c>
      <c r="J16" s="25">
        <f>IF(UnlockROI[[#This Row],[Unlocked]]=0,5,"")</f>
        <v>5</v>
      </c>
      <c r="K16" s="28">
        <f>_xlfn.XLOOKUP(UnlockROI[[#This Row],[Planet '#]],tblprogress[Planet '#],tblprogress[Planets Distance])</f>
        <v>8.65</v>
      </c>
      <c r="L16" s="41">
        <f>0.1*UnlockROI[[#This Row],[Distance]]</f>
        <v>0.8650000000000001</v>
      </c>
      <c r="M16" s="47">
        <f>IF(UnlockROI[[#This Row],[Unlocked]]=1,"",IF(UnlockROI[[#This Row],[Base Efficiency]]&lt;1,15,0.25/UnlockROI[[#This Row],[Base Efficiency]]))</f>
        <v>15</v>
      </c>
      <c r="N16" s="34">
        <f>_xlfn.XLOOKUP(UnlockROI[[#This Row],[Planet '#]],tblplanetvalue[Planet '#],tblplanetvalue[Total Worth])</f>
        <v>55.5</v>
      </c>
      <c r="O16" s="35">
        <f>IF(OR(UnlockROI[[#This Row],[Deposit]]="",UnlockROI[[#This Row],[Planet Worth]]=""),"",UnlockROI[[#This Row],[Deposit]]*UnlockROI[[#This Row],[Planet Worth]])</f>
        <v>832.5</v>
      </c>
      <c r="P16" s="14" t="str">
        <f>IF(
   _xlfn.XLOOKUP(UnlockROI[[#This Row],[Planet '#]], tblPlanets[Planet '#], tblPlanets[Name])=UnlockROI[[#This Row],[Name]],
   "Match",
   "Mismatch"
)</f>
        <v>Match</v>
      </c>
    </row>
    <row r="17" spans="1:16" x14ac:dyDescent="0.3">
      <c r="A17" s="25">
        <v>16</v>
      </c>
      <c r="B17" s="25" t="str">
        <f>_xlfn.XLOOKUP(tblprogress[[#This Row],[Planet '#]],tblPlanets[Planet '#],tblPlanets[Name])</f>
        <v>Pranas</v>
      </c>
      <c r="C17" s="54">
        <f>_xlfn.XLOOKUP(UnlockROI[[#This Row],[Planet '#]],tblprogress[Planet '#],tblprogress[Unlocked])</f>
        <v>0</v>
      </c>
      <c r="D17" s="54">
        <f>_xlfn.XLOOKUP(UnlockROI[[#This Row],[Planet '#]],tblprogress[Planet '#],tblprogress[Possible to Unlock])</f>
        <v>0</v>
      </c>
      <c r="E17" s="47" t="str">
        <f>IF(AND(UnlockROI[[#This Row],[Unlocked]]=0,UnlockROI[[#This Row],[Possible to Unlock]]=1),
   IFERROR(UnlockROI[[#This Row],[Base Earnings]]*3600/UnlockROI[[#This Row],[Unlock Planet Amount]],""),
   "")</f>
        <v/>
      </c>
      <c r="F17" s="47" t="str">
        <f>IF(AND(UnlockROI[[#This Row],[Unlocked]]=0,UnlockROI[[#This Row],[Possible to Unlock]]=1),
   IFERROR(UnlockROI[[#This Row],[Unlock Planet Amount]]/UnlockROI[[#This Row],[Base Earnings]],""),
   "")</f>
        <v/>
      </c>
      <c r="G17" s="34">
        <f>IF(UnlockROI[[#This Row],[Unlocked]]=1,"",_xlfn.XLOOKUP(UnlockROI[[#This Row],[Planet '#]],tblPlanets[Planet '#],tblPlanets[Unlock Price]))</f>
        <v>3000000</v>
      </c>
      <c r="H17" s="43">
        <f>IF(UnlockROI[[#This Row],[Unlocked]]=0,0.25,"")</f>
        <v>0.25</v>
      </c>
      <c r="I17" s="43">
        <f>IF(UnlockROI[[#This Row],[Unlocked]]=0,1,"")</f>
        <v>1</v>
      </c>
      <c r="J17" s="25">
        <f>IF(UnlockROI[[#This Row],[Unlocked]]=0,5,"")</f>
        <v>5</v>
      </c>
      <c r="K17" s="28">
        <f>_xlfn.XLOOKUP(UnlockROI[[#This Row],[Planet '#]],tblprogress[Planet '#],tblprogress[Planets Distance])</f>
        <v>8.8000000000000096</v>
      </c>
      <c r="L17" s="41">
        <f>0.1*UnlockROI[[#This Row],[Distance]]</f>
        <v>0.880000000000001</v>
      </c>
      <c r="M17" s="47">
        <f>IF(UnlockROI[[#This Row],[Unlocked]]=1,"",IF(UnlockROI[[#This Row],[Base Efficiency]]&lt;1,15,0.25/UnlockROI[[#This Row],[Base Efficiency]]))</f>
        <v>15</v>
      </c>
      <c r="N17" s="34">
        <f>_xlfn.XLOOKUP(UnlockROI[[#This Row],[Planet '#]],tblplanetvalue[Planet '#],tblplanetvalue[Total Worth])</f>
        <v>75</v>
      </c>
      <c r="O17" s="35">
        <f>IF(OR(UnlockROI[[#This Row],[Deposit]]="",UnlockROI[[#This Row],[Planet Worth]]=""),"",UnlockROI[[#This Row],[Deposit]]*UnlockROI[[#This Row],[Planet Worth]])</f>
        <v>1125</v>
      </c>
      <c r="P17" s="14" t="str">
        <f>IF(
   _xlfn.XLOOKUP(UnlockROI[[#This Row],[Planet '#]], tblPlanets[Planet '#], tblPlanets[Name])=UnlockROI[[#This Row],[Name]],
   "Match",
   "Mismatch"
)</f>
        <v>Match</v>
      </c>
    </row>
    <row r="18" spans="1:16" x14ac:dyDescent="0.3">
      <c r="A18" s="24">
        <v>17</v>
      </c>
      <c r="B18" s="24" t="str">
        <f>_xlfn.XLOOKUP(tblprogress[[#This Row],[Planet '#]],tblPlanets[Planet '#],tblPlanets[Name])</f>
        <v>Castellus</v>
      </c>
      <c r="C18" s="54">
        <f>_xlfn.XLOOKUP(UnlockROI[[#This Row],[Planet '#]],tblprogress[Planet '#],tblprogress[Unlocked])</f>
        <v>0</v>
      </c>
      <c r="D18" s="54">
        <f>_xlfn.XLOOKUP(UnlockROI[[#This Row],[Planet '#]],tblprogress[Planet '#],tblprogress[Possible to Unlock])</f>
        <v>0</v>
      </c>
      <c r="E18" s="47" t="str">
        <f>IF(AND(UnlockROI[[#This Row],[Unlocked]]=0,UnlockROI[[#This Row],[Possible to Unlock]]=1),
   IFERROR(UnlockROI[[#This Row],[Base Earnings]]*3600/UnlockROI[[#This Row],[Unlock Planet Amount]],""),
   "")</f>
        <v/>
      </c>
      <c r="F18" s="47" t="str">
        <f>IF(AND(UnlockROI[[#This Row],[Unlocked]]=0,UnlockROI[[#This Row],[Possible to Unlock]]=1),
   IFERROR(UnlockROI[[#This Row],[Unlock Planet Amount]]/UnlockROI[[#This Row],[Base Earnings]],""),
   "")</f>
        <v/>
      </c>
      <c r="G18" s="34">
        <f>IF(UnlockROI[[#This Row],[Unlocked]]=1,"",_xlfn.XLOOKUP(UnlockROI[[#This Row],[Planet '#]],tblPlanets[Planet '#],tblPlanets[Unlock Price]))</f>
        <v>6000000</v>
      </c>
      <c r="H18" s="43">
        <f>IF(UnlockROI[[#This Row],[Unlocked]]=0,0.25,"")</f>
        <v>0.25</v>
      </c>
      <c r="I18" s="43">
        <f>IF(UnlockROI[[#This Row],[Unlocked]]=0,1,"")</f>
        <v>1</v>
      </c>
      <c r="J18" s="25">
        <f>IF(UnlockROI[[#This Row],[Unlocked]]=0,5,"")</f>
        <v>5</v>
      </c>
      <c r="K18" s="28">
        <f>_xlfn.XLOOKUP(UnlockROI[[#This Row],[Planet '#]],tblprogress[Planet '#],tblprogress[Planets Distance])</f>
        <v>8.9500000000000099</v>
      </c>
      <c r="L18" s="41">
        <f>0.1*UnlockROI[[#This Row],[Distance]]</f>
        <v>0.89500000000000102</v>
      </c>
      <c r="M18" s="47">
        <f>IF(UnlockROI[[#This Row],[Unlocked]]=1,"",IF(UnlockROI[[#This Row],[Base Efficiency]]&lt;1,15,0.25/UnlockROI[[#This Row],[Base Efficiency]]))</f>
        <v>15</v>
      </c>
      <c r="N18" s="34">
        <f>_xlfn.XLOOKUP(UnlockROI[[#This Row],[Planet '#]],tblplanetvalue[Planet '#],tblplanetvalue[Total Worth])</f>
        <v>49.6</v>
      </c>
      <c r="O18" s="35">
        <f>IF(OR(UnlockROI[[#This Row],[Deposit]]="",UnlockROI[[#This Row],[Planet Worth]]=""),"",UnlockROI[[#This Row],[Deposit]]*UnlockROI[[#This Row],[Planet Worth]])</f>
        <v>744</v>
      </c>
      <c r="P18" s="14" t="str">
        <f>IF(
   _xlfn.XLOOKUP(UnlockROI[[#This Row],[Planet '#]], tblPlanets[Planet '#], tblPlanets[Name])=UnlockROI[[#This Row],[Name]],
   "Match",
   "Mismatch"
)</f>
        <v>Match</v>
      </c>
    </row>
    <row r="19" spans="1:16" x14ac:dyDescent="0.3">
      <c r="A19" s="25">
        <v>18</v>
      </c>
      <c r="B19" s="25" t="str">
        <f>_xlfn.XLOOKUP(tblprogress[[#This Row],[Planet '#]],tblPlanets[Planet '#],tblPlanets[Name])</f>
        <v>Gorgon</v>
      </c>
      <c r="C19" s="54">
        <f>_xlfn.XLOOKUP(UnlockROI[[#This Row],[Planet '#]],tblprogress[Planet '#],tblprogress[Unlocked])</f>
        <v>0</v>
      </c>
      <c r="D19" s="54">
        <f>_xlfn.XLOOKUP(UnlockROI[[#This Row],[Planet '#]],tblprogress[Planet '#],tblprogress[Possible to Unlock])</f>
        <v>0</v>
      </c>
      <c r="E19" s="47" t="str">
        <f>IF(AND(UnlockROI[[#This Row],[Unlocked]]=0,UnlockROI[[#This Row],[Possible to Unlock]]=1),
   IFERROR(UnlockROI[[#This Row],[Base Earnings]]*3600/UnlockROI[[#This Row],[Unlock Planet Amount]],""),
   "")</f>
        <v/>
      </c>
      <c r="F19" s="47" t="str">
        <f>IF(AND(UnlockROI[[#This Row],[Unlocked]]=0,UnlockROI[[#This Row],[Possible to Unlock]]=1),
   IFERROR(UnlockROI[[#This Row],[Unlock Planet Amount]]/UnlockROI[[#This Row],[Base Earnings]],""),
   "")</f>
        <v/>
      </c>
      <c r="G19" s="34">
        <f>IF(UnlockROI[[#This Row],[Unlocked]]=1,"",_xlfn.XLOOKUP(UnlockROI[[#This Row],[Planet '#]],tblPlanets[Planet '#],tblPlanets[Unlock Price]))</f>
        <v>12000000</v>
      </c>
      <c r="H19" s="43">
        <f>IF(UnlockROI[[#This Row],[Unlocked]]=0,0.25,"")</f>
        <v>0.25</v>
      </c>
      <c r="I19" s="43">
        <f>IF(UnlockROI[[#This Row],[Unlocked]]=0,1,"")</f>
        <v>1</v>
      </c>
      <c r="J19" s="25">
        <f>IF(UnlockROI[[#This Row],[Unlocked]]=0,5,"")</f>
        <v>5</v>
      </c>
      <c r="K19" s="28">
        <f>_xlfn.XLOOKUP(UnlockROI[[#This Row],[Planet '#]],tblprogress[Planet '#],tblprogress[Planets Distance])</f>
        <v>9.1000000000000103</v>
      </c>
      <c r="L19" s="41">
        <f>0.1*UnlockROI[[#This Row],[Distance]]</f>
        <v>0.91000000000000103</v>
      </c>
      <c r="M19" s="47">
        <f>IF(UnlockROI[[#This Row],[Unlocked]]=1,"",IF(UnlockROI[[#This Row],[Base Efficiency]]&lt;1,15,0.25/UnlockROI[[#This Row],[Base Efficiency]]))</f>
        <v>15</v>
      </c>
      <c r="N19" s="34">
        <f>_xlfn.XLOOKUP(UnlockROI[[#This Row],[Planet '#]],tblplanetvalue[Planet '#],tblplanetvalue[Total Worth])</f>
        <v>128.80000000000001</v>
      </c>
      <c r="O19" s="35">
        <f>IF(OR(UnlockROI[[#This Row],[Deposit]]="",UnlockROI[[#This Row],[Planet Worth]]=""),"",UnlockROI[[#This Row],[Deposit]]*UnlockROI[[#This Row],[Planet Worth]])</f>
        <v>1932.0000000000002</v>
      </c>
      <c r="P19" s="14" t="str">
        <f>IF(
   _xlfn.XLOOKUP(UnlockROI[[#This Row],[Planet '#]], tblPlanets[Planet '#], tblPlanets[Name])=UnlockROI[[#This Row],[Name]],
   "Match",
   "Mismatch"
)</f>
        <v>Match</v>
      </c>
    </row>
    <row r="20" spans="1:16" x14ac:dyDescent="0.3">
      <c r="A20" s="24">
        <v>19</v>
      </c>
      <c r="B20" s="24" t="str">
        <f>_xlfn.XLOOKUP(tblprogress[[#This Row],[Planet '#]],tblPlanets[Planet '#],tblPlanets[Name])</f>
        <v>Parnitha</v>
      </c>
      <c r="C20" s="54">
        <f>_xlfn.XLOOKUP(UnlockROI[[#This Row],[Planet '#]],tblprogress[Planet '#],tblprogress[Unlocked])</f>
        <v>0</v>
      </c>
      <c r="D20" s="54">
        <f>_xlfn.XLOOKUP(UnlockROI[[#This Row],[Planet '#]],tblprogress[Planet '#],tblprogress[Possible to Unlock])</f>
        <v>0</v>
      </c>
      <c r="E20" s="47" t="str">
        <f>IF(AND(UnlockROI[[#This Row],[Unlocked]]=0,UnlockROI[[#This Row],[Possible to Unlock]]=1),
   IFERROR(UnlockROI[[#This Row],[Base Earnings]]*3600/UnlockROI[[#This Row],[Unlock Planet Amount]],""),
   "")</f>
        <v/>
      </c>
      <c r="F20" s="47" t="str">
        <f>IF(AND(UnlockROI[[#This Row],[Unlocked]]=0,UnlockROI[[#This Row],[Possible to Unlock]]=1),
   IFERROR(UnlockROI[[#This Row],[Unlock Planet Amount]]/UnlockROI[[#This Row],[Base Earnings]],""),
   "")</f>
        <v/>
      </c>
      <c r="G20" s="34">
        <f>IF(UnlockROI[[#This Row],[Unlocked]]=1,"",_xlfn.XLOOKUP(UnlockROI[[#This Row],[Planet '#]],tblPlanets[Planet '#],tblPlanets[Unlock Price]))</f>
        <v>25000000</v>
      </c>
      <c r="H20" s="43">
        <f>IF(UnlockROI[[#This Row],[Unlocked]]=0,0.25,"")</f>
        <v>0.25</v>
      </c>
      <c r="I20" s="43">
        <f>IF(UnlockROI[[#This Row],[Unlocked]]=0,1,"")</f>
        <v>1</v>
      </c>
      <c r="J20" s="25">
        <f>IF(UnlockROI[[#This Row],[Unlocked]]=0,5,"")</f>
        <v>5</v>
      </c>
      <c r="K20" s="28">
        <f>_xlfn.XLOOKUP(UnlockROI[[#This Row],[Planet '#]],tblprogress[Planet '#],tblprogress[Planets Distance])</f>
        <v>9.2500000000000107</v>
      </c>
      <c r="L20" s="41">
        <f>0.1*UnlockROI[[#This Row],[Distance]]</f>
        <v>0.92500000000000115</v>
      </c>
      <c r="M20" s="47">
        <f>IF(UnlockROI[[#This Row],[Unlocked]]=1,"",IF(UnlockROI[[#This Row],[Base Efficiency]]&lt;1,15,0.25/UnlockROI[[#This Row],[Base Efficiency]]))</f>
        <v>15</v>
      </c>
      <c r="N20" s="34">
        <f>_xlfn.XLOOKUP(UnlockROI[[#This Row],[Planet '#]],tblplanetvalue[Planet '#],tblplanetvalue[Total Worth])</f>
        <v>154.5</v>
      </c>
      <c r="O20" s="35">
        <f>IF(OR(UnlockROI[[#This Row],[Deposit]]="",UnlockROI[[#This Row],[Planet Worth]]=""),"",UnlockROI[[#This Row],[Deposit]]*UnlockROI[[#This Row],[Planet Worth]])</f>
        <v>2317.5</v>
      </c>
      <c r="P20" s="14" t="str">
        <f>IF(
   _xlfn.XLOOKUP(UnlockROI[[#This Row],[Planet '#]], tblPlanets[Planet '#], tblPlanets[Name])=UnlockROI[[#This Row],[Name]],
   "Match",
   "Mismatch"
)</f>
        <v>Match</v>
      </c>
    </row>
    <row r="21" spans="1:16" x14ac:dyDescent="0.3">
      <c r="A21" s="25">
        <v>20</v>
      </c>
      <c r="B21" s="25" t="str">
        <f>_xlfn.XLOOKUP(tblprogress[[#This Row],[Planet '#]],tblPlanets[Planet '#],tblPlanets[Name])</f>
        <v>Orisoni</v>
      </c>
      <c r="C21" s="54">
        <f>_xlfn.XLOOKUP(UnlockROI[[#This Row],[Planet '#]],tblprogress[Planet '#],tblprogress[Unlocked])</f>
        <v>0</v>
      </c>
      <c r="D21" s="54">
        <f>_xlfn.XLOOKUP(UnlockROI[[#This Row],[Planet '#]],tblprogress[Planet '#],tblprogress[Possible to Unlock])</f>
        <v>0</v>
      </c>
      <c r="E21" s="47" t="str">
        <f>IF(AND(UnlockROI[[#This Row],[Unlocked]]=0,UnlockROI[[#This Row],[Possible to Unlock]]=1),
   IFERROR(UnlockROI[[#This Row],[Base Earnings]]*3600/UnlockROI[[#This Row],[Unlock Planet Amount]],""),
   "")</f>
        <v/>
      </c>
      <c r="F21" s="47" t="str">
        <f>IF(AND(UnlockROI[[#This Row],[Unlocked]]=0,UnlockROI[[#This Row],[Possible to Unlock]]=1),
   IFERROR(UnlockROI[[#This Row],[Unlock Planet Amount]]/UnlockROI[[#This Row],[Base Earnings]],""),
   "")</f>
        <v/>
      </c>
      <c r="G21" s="34">
        <f>IF(UnlockROI[[#This Row],[Unlocked]]=1,"",_xlfn.XLOOKUP(UnlockROI[[#This Row],[Planet '#]],tblPlanets[Planet '#],tblPlanets[Unlock Price]))</f>
        <v>50000000</v>
      </c>
      <c r="H21" s="43">
        <f>IF(UnlockROI[[#This Row],[Unlocked]]=0,0.25,"")</f>
        <v>0.25</v>
      </c>
      <c r="I21" s="43">
        <f>IF(UnlockROI[[#This Row],[Unlocked]]=0,1,"")</f>
        <v>1</v>
      </c>
      <c r="J21" s="25">
        <f>IF(UnlockROI[[#This Row],[Unlocked]]=0,5,"")</f>
        <v>5</v>
      </c>
      <c r="K21" s="28">
        <f>_xlfn.XLOOKUP(UnlockROI[[#This Row],[Planet '#]],tblprogress[Planet '#],tblprogress[Planets Distance])</f>
        <v>9.4000000000000092</v>
      </c>
      <c r="L21" s="41">
        <f>0.1*UnlockROI[[#This Row],[Distance]]</f>
        <v>0.94000000000000095</v>
      </c>
      <c r="M21" s="47">
        <f>IF(UnlockROI[[#This Row],[Unlocked]]=1,"",IF(UnlockROI[[#This Row],[Base Efficiency]]&lt;1,15,0.25/UnlockROI[[#This Row],[Base Efficiency]]))</f>
        <v>15</v>
      </c>
      <c r="N21" s="34">
        <f>_xlfn.XLOOKUP(UnlockROI[[#This Row],[Planet '#]],tblplanetvalue[Planet '#],tblplanetvalue[Total Worth])</f>
        <v>286</v>
      </c>
      <c r="O21" s="35">
        <f>IF(OR(UnlockROI[[#This Row],[Deposit]]="",UnlockROI[[#This Row],[Planet Worth]]=""),"",UnlockROI[[#This Row],[Deposit]]*UnlockROI[[#This Row],[Planet Worth]])</f>
        <v>4290</v>
      </c>
      <c r="P21" s="14" t="str">
        <f>IF(
   _xlfn.XLOOKUP(UnlockROI[[#This Row],[Planet '#]], tblPlanets[Planet '#], tblPlanets[Name])=UnlockROI[[#This Row],[Name]],
   "Match",
   "Mismatch"
)</f>
        <v>Match</v>
      </c>
    </row>
    <row r="22" spans="1:16" x14ac:dyDescent="0.3">
      <c r="A22" s="24">
        <v>21</v>
      </c>
      <c r="B22" s="24" t="str">
        <f>_xlfn.XLOOKUP(tblprogress[[#This Row],[Planet '#]],tblPlanets[Planet '#],tblPlanets[Name])</f>
        <v>Theseus</v>
      </c>
      <c r="C22" s="54">
        <f>_xlfn.XLOOKUP(UnlockROI[[#This Row],[Planet '#]],tblprogress[Planet '#],tblprogress[Unlocked])</f>
        <v>0</v>
      </c>
      <c r="D22" s="54">
        <f>_xlfn.XLOOKUP(UnlockROI[[#This Row],[Planet '#]],tblprogress[Planet '#],tblprogress[Possible to Unlock])</f>
        <v>0</v>
      </c>
      <c r="E22" s="47" t="str">
        <f>IF(AND(UnlockROI[[#This Row],[Unlocked]]=0,UnlockROI[[#This Row],[Possible to Unlock]]=1),
   IFERROR(UnlockROI[[#This Row],[Base Earnings]]*3600/UnlockROI[[#This Row],[Unlock Planet Amount]],""),
   "")</f>
        <v/>
      </c>
      <c r="F22" s="47" t="str">
        <f>IF(AND(UnlockROI[[#This Row],[Unlocked]]=0,UnlockROI[[#This Row],[Possible to Unlock]]=1),
   IFERROR(UnlockROI[[#This Row],[Unlock Planet Amount]]/UnlockROI[[#This Row],[Base Earnings]],""),
   "")</f>
        <v/>
      </c>
      <c r="G22" s="34">
        <f>IF(UnlockROI[[#This Row],[Unlocked]]=1,"",_xlfn.XLOOKUP(UnlockROI[[#This Row],[Planet '#]],tblPlanets[Planet '#],tblPlanets[Unlock Price]))</f>
        <v>100000000</v>
      </c>
      <c r="H22" s="43">
        <f>IF(UnlockROI[[#This Row],[Unlocked]]=0,0.25,"")</f>
        <v>0.25</v>
      </c>
      <c r="I22" s="43">
        <f>IF(UnlockROI[[#This Row],[Unlocked]]=0,1,"")</f>
        <v>1</v>
      </c>
      <c r="J22" s="25">
        <f>IF(UnlockROI[[#This Row],[Unlocked]]=0,5,"")</f>
        <v>5</v>
      </c>
      <c r="K22" s="28">
        <f>_xlfn.XLOOKUP(UnlockROI[[#This Row],[Planet '#]],tblprogress[Planet '#],tblprogress[Planets Distance])</f>
        <v>9.5500000000000096</v>
      </c>
      <c r="L22" s="41">
        <f>0.1*UnlockROI[[#This Row],[Distance]]</f>
        <v>0.95500000000000096</v>
      </c>
      <c r="M22" s="47">
        <f>IF(UnlockROI[[#This Row],[Unlocked]]=1,"",IF(UnlockROI[[#This Row],[Base Efficiency]]&lt;1,15,0.25/UnlockROI[[#This Row],[Base Efficiency]]))</f>
        <v>15</v>
      </c>
      <c r="N22" s="34">
        <f>_xlfn.XLOOKUP(UnlockROI[[#This Row],[Planet '#]],tblplanetvalue[Planet '#],tblplanetvalue[Total Worth])</f>
        <v>340</v>
      </c>
      <c r="O22" s="35">
        <f>IF(OR(UnlockROI[[#This Row],[Deposit]]="",UnlockROI[[#This Row],[Planet Worth]]=""),"",UnlockROI[[#This Row],[Deposit]]*UnlockROI[[#This Row],[Planet Worth]])</f>
        <v>5100</v>
      </c>
      <c r="P22" s="14" t="str">
        <f>IF(
   _xlfn.XLOOKUP(UnlockROI[[#This Row],[Planet '#]], tblPlanets[Planet '#], tblPlanets[Name])=UnlockROI[[#This Row],[Name]],
   "Match",
   "Mismatch"
)</f>
        <v>Match</v>
      </c>
    </row>
    <row r="23" spans="1:16" x14ac:dyDescent="0.3">
      <c r="A23" s="25">
        <v>22</v>
      </c>
      <c r="B23" s="25" t="str">
        <f>_xlfn.XLOOKUP(tblprogress[[#This Row],[Planet '#]],tblPlanets[Planet '#],tblPlanets[Name])</f>
        <v>Zelene</v>
      </c>
      <c r="C23" s="54">
        <f>_xlfn.XLOOKUP(UnlockROI[[#This Row],[Planet '#]],tblprogress[Planet '#],tblprogress[Unlocked])</f>
        <v>0</v>
      </c>
      <c r="D23" s="54">
        <f>_xlfn.XLOOKUP(UnlockROI[[#This Row],[Planet '#]],tblprogress[Planet '#],tblprogress[Possible to Unlock])</f>
        <v>0</v>
      </c>
      <c r="E23" s="47" t="str">
        <f>IF(AND(UnlockROI[[#This Row],[Unlocked]]=0,UnlockROI[[#This Row],[Possible to Unlock]]=1),
   IFERROR(UnlockROI[[#This Row],[Base Earnings]]*3600/UnlockROI[[#This Row],[Unlock Planet Amount]],""),
   "")</f>
        <v/>
      </c>
      <c r="F23" s="47" t="str">
        <f>IF(AND(UnlockROI[[#This Row],[Unlocked]]=0,UnlockROI[[#This Row],[Possible to Unlock]]=1),
   IFERROR(UnlockROI[[#This Row],[Unlock Planet Amount]]/UnlockROI[[#This Row],[Base Earnings]],""),
   "")</f>
        <v/>
      </c>
      <c r="G23" s="34">
        <f>IF(UnlockROI[[#This Row],[Unlocked]]=1,"",_xlfn.XLOOKUP(UnlockROI[[#This Row],[Planet '#]],tblPlanets[Planet '#],tblPlanets[Unlock Price]))</f>
        <v>200000000</v>
      </c>
      <c r="H23" s="43">
        <f>IF(UnlockROI[[#This Row],[Unlocked]]=0,0.25,"")</f>
        <v>0.25</v>
      </c>
      <c r="I23" s="43">
        <f>IF(UnlockROI[[#This Row],[Unlocked]]=0,1,"")</f>
        <v>1</v>
      </c>
      <c r="J23" s="25">
        <f>IF(UnlockROI[[#This Row],[Unlocked]]=0,5,"")</f>
        <v>5</v>
      </c>
      <c r="K23" s="28">
        <f>_xlfn.XLOOKUP(UnlockROI[[#This Row],[Planet '#]],tblprogress[Planet '#],tblprogress[Planets Distance])</f>
        <v>9.7000000000000099</v>
      </c>
      <c r="L23" s="41">
        <f>0.1*UnlockROI[[#This Row],[Distance]]</f>
        <v>0.97000000000000108</v>
      </c>
      <c r="M23" s="47">
        <f>IF(UnlockROI[[#This Row],[Unlocked]]=1,"",IF(UnlockROI[[#This Row],[Base Efficiency]]&lt;1,15,0.25/UnlockROI[[#This Row],[Base Efficiency]]))</f>
        <v>15</v>
      </c>
      <c r="N23" s="34">
        <f>_xlfn.XLOOKUP(UnlockROI[[#This Row],[Planet '#]],tblplanetvalue[Planet '#],tblplanetvalue[Total Worth])</f>
        <v>244.2</v>
      </c>
      <c r="O23" s="35">
        <f>IF(OR(UnlockROI[[#This Row],[Deposit]]="",UnlockROI[[#This Row],[Planet Worth]]=""),"",UnlockROI[[#This Row],[Deposit]]*UnlockROI[[#This Row],[Planet Worth]])</f>
        <v>3663</v>
      </c>
      <c r="P23" s="14" t="str">
        <f>IF(
   _xlfn.XLOOKUP(UnlockROI[[#This Row],[Planet '#]], tblPlanets[Planet '#], tblPlanets[Name])=UnlockROI[[#This Row],[Name]],
   "Match",
   "Mismatch"
)</f>
        <v>Match</v>
      </c>
    </row>
    <row r="24" spans="1:16" x14ac:dyDescent="0.3">
      <c r="A24" s="24">
        <v>23</v>
      </c>
      <c r="B24" s="24" t="str">
        <f>_xlfn.XLOOKUP(tblprogress[[#This Row],[Planet '#]],tblPlanets[Planet '#],tblPlanets[Name])</f>
        <v>Han</v>
      </c>
      <c r="C24" s="54">
        <f>_xlfn.XLOOKUP(UnlockROI[[#This Row],[Planet '#]],tblprogress[Planet '#],tblprogress[Unlocked])</f>
        <v>0</v>
      </c>
      <c r="D24" s="54">
        <f>_xlfn.XLOOKUP(UnlockROI[[#This Row],[Planet '#]],tblprogress[Planet '#],tblprogress[Possible to Unlock])</f>
        <v>0</v>
      </c>
      <c r="E24" s="47" t="str">
        <f>IF(AND(UnlockROI[[#This Row],[Unlocked]]=0,UnlockROI[[#This Row],[Possible to Unlock]]=1),
   IFERROR(UnlockROI[[#This Row],[Base Earnings]]*3600/UnlockROI[[#This Row],[Unlock Planet Amount]],""),
   "")</f>
        <v/>
      </c>
      <c r="F24" s="47" t="str">
        <f>IF(AND(UnlockROI[[#This Row],[Unlocked]]=0,UnlockROI[[#This Row],[Possible to Unlock]]=1),
   IFERROR(UnlockROI[[#This Row],[Unlock Planet Amount]]/UnlockROI[[#This Row],[Base Earnings]],""),
   "")</f>
        <v/>
      </c>
      <c r="G24" s="34">
        <f>IF(UnlockROI[[#This Row],[Unlocked]]=1,"",_xlfn.XLOOKUP(UnlockROI[[#This Row],[Planet '#]],tblPlanets[Planet '#],tblPlanets[Unlock Price]))</f>
        <v>400000000</v>
      </c>
      <c r="H24" s="43">
        <f>IF(UnlockROI[[#This Row],[Unlocked]]=0,0.25,"")</f>
        <v>0.25</v>
      </c>
      <c r="I24" s="43">
        <f>IF(UnlockROI[[#This Row],[Unlocked]]=0,1,"")</f>
        <v>1</v>
      </c>
      <c r="J24" s="25">
        <f>IF(UnlockROI[[#This Row],[Unlocked]]=0,5,"")</f>
        <v>5</v>
      </c>
      <c r="K24" s="28">
        <f>_xlfn.XLOOKUP(UnlockROI[[#This Row],[Planet '#]],tblprogress[Planet '#],tblprogress[Planets Distance])</f>
        <v>9.8500000000000103</v>
      </c>
      <c r="L24" s="41">
        <f>0.1*UnlockROI[[#This Row],[Distance]]</f>
        <v>0.9850000000000011</v>
      </c>
      <c r="M24" s="47">
        <f>IF(UnlockROI[[#This Row],[Unlocked]]=1,"",IF(UnlockROI[[#This Row],[Base Efficiency]]&lt;1,15,0.25/UnlockROI[[#This Row],[Base Efficiency]]))</f>
        <v>15</v>
      </c>
      <c r="N24" s="34">
        <f>_xlfn.XLOOKUP(UnlockROI[[#This Row],[Planet '#]],tblplanetvalue[Planet '#],tblplanetvalue[Total Worth])</f>
        <v>550.5</v>
      </c>
      <c r="O24" s="35">
        <f>IF(OR(UnlockROI[[#This Row],[Deposit]]="",UnlockROI[[#This Row],[Planet Worth]]=""),"",UnlockROI[[#This Row],[Deposit]]*UnlockROI[[#This Row],[Planet Worth]])</f>
        <v>8257.5</v>
      </c>
      <c r="P24" s="14" t="str">
        <f>IF(
   _xlfn.XLOOKUP(UnlockROI[[#This Row],[Planet '#]], tblPlanets[Planet '#], tblPlanets[Name])=UnlockROI[[#This Row],[Name]],
   "Match",
   "Mismatch"
)</f>
        <v>Match</v>
      </c>
    </row>
    <row r="25" spans="1:16" x14ac:dyDescent="0.3">
      <c r="A25" s="25">
        <v>24</v>
      </c>
      <c r="B25" s="25" t="str">
        <f>_xlfn.XLOOKUP(tblprogress[[#This Row],[Planet '#]],tblPlanets[Planet '#],tblPlanets[Name])</f>
        <v>Strennus</v>
      </c>
      <c r="C25" s="54">
        <f>_xlfn.XLOOKUP(UnlockROI[[#This Row],[Planet '#]],tblprogress[Planet '#],tblprogress[Unlocked])</f>
        <v>0</v>
      </c>
      <c r="D25" s="54">
        <f>_xlfn.XLOOKUP(UnlockROI[[#This Row],[Planet '#]],tblprogress[Planet '#],tblprogress[Possible to Unlock])</f>
        <v>0</v>
      </c>
      <c r="E25" s="47" t="str">
        <f>IF(AND(UnlockROI[[#This Row],[Unlocked]]=0,UnlockROI[[#This Row],[Possible to Unlock]]=1),
   IFERROR(UnlockROI[[#This Row],[Base Earnings]]*3600/UnlockROI[[#This Row],[Unlock Planet Amount]],""),
   "")</f>
        <v/>
      </c>
      <c r="F25" s="47" t="str">
        <f>IF(AND(UnlockROI[[#This Row],[Unlocked]]=0,UnlockROI[[#This Row],[Possible to Unlock]]=1),
   IFERROR(UnlockROI[[#This Row],[Unlock Planet Amount]]/UnlockROI[[#This Row],[Base Earnings]],""),
   "")</f>
        <v/>
      </c>
      <c r="G25" s="34">
        <f>IF(UnlockROI[[#This Row],[Unlocked]]=1,"",_xlfn.XLOOKUP(UnlockROI[[#This Row],[Planet '#]],tblPlanets[Planet '#],tblPlanets[Unlock Price]))</f>
        <v>800000000</v>
      </c>
      <c r="H25" s="43">
        <f>IF(UnlockROI[[#This Row],[Unlocked]]=0,0.25,"")</f>
        <v>0.25</v>
      </c>
      <c r="I25" s="43">
        <f>IF(UnlockROI[[#This Row],[Unlocked]]=0,1,"")</f>
        <v>1</v>
      </c>
      <c r="J25" s="25">
        <f>IF(UnlockROI[[#This Row],[Unlocked]]=0,5,"")</f>
        <v>5</v>
      </c>
      <c r="K25" s="28">
        <f>_xlfn.XLOOKUP(UnlockROI[[#This Row],[Planet '#]],tblprogress[Planet '#],tblprogress[Planets Distance])</f>
        <v>10</v>
      </c>
      <c r="L25" s="41">
        <f>0.1*UnlockROI[[#This Row],[Distance]]</f>
        <v>1</v>
      </c>
      <c r="M25" s="47">
        <f>IF(UnlockROI[[#This Row],[Unlocked]]=1,"",IF(UnlockROI[[#This Row],[Base Efficiency]]&lt;1,15,0.25/UnlockROI[[#This Row],[Base Efficiency]]))</f>
        <v>0.25</v>
      </c>
      <c r="N25" s="34">
        <f>_xlfn.XLOOKUP(UnlockROI[[#This Row],[Planet '#]],tblplanetvalue[Planet '#],tblplanetvalue[Total Worth])</f>
        <v>613</v>
      </c>
      <c r="O25" s="35">
        <f>IF(OR(UnlockROI[[#This Row],[Deposit]]="",UnlockROI[[#This Row],[Planet Worth]]=""),"",UnlockROI[[#This Row],[Deposit]]*UnlockROI[[#This Row],[Planet Worth]])</f>
        <v>153.25</v>
      </c>
      <c r="P25" s="14" t="str">
        <f>IF(
   _xlfn.XLOOKUP(UnlockROI[[#This Row],[Planet '#]], tblPlanets[Planet '#], tblPlanets[Name])=UnlockROI[[#This Row],[Name]],
   "Match",
   "Mismatch"
)</f>
        <v>Match</v>
      </c>
    </row>
    <row r="26" spans="1:16" x14ac:dyDescent="0.3">
      <c r="A26" s="24">
        <v>25</v>
      </c>
      <c r="B26" s="24" t="str">
        <f>_xlfn.XLOOKUP(tblprogress[[#This Row],[Planet '#]],tblPlanets[Planet '#],tblPlanets[Name])</f>
        <v>Osun</v>
      </c>
      <c r="C26" s="54">
        <f>_xlfn.XLOOKUP(UnlockROI[[#This Row],[Planet '#]],tblprogress[Planet '#],tblprogress[Unlocked])</f>
        <v>0</v>
      </c>
      <c r="D26" s="54">
        <f>_xlfn.XLOOKUP(UnlockROI[[#This Row],[Planet '#]],tblprogress[Planet '#],tblprogress[Possible to Unlock])</f>
        <v>0</v>
      </c>
      <c r="E26" s="47" t="str">
        <f>IF(AND(UnlockROI[[#This Row],[Unlocked]]=0,UnlockROI[[#This Row],[Possible to Unlock]]=1),
   IFERROR(UnlockROI[[#This Row],[Base Earnings]]*3600/UnlockROI[[#This Row],[Unlock Planet Amount]],""),
   "")</f>
        <v/>
      </c>
      <c r="F26" s="47" t="str">
        <f>IF(AND(UnlockROI[[#This Row],[Unlocked]]=0,UnlockROI[[#This Row],[Possible to Unlock]]=1),
   IFERROR(UnlockROI[[#This Row],[Unlock Planet Amount]]/UnlockROI[[#This Row],[Base Earnings]],""),
   "")</f>
        <v/>
      </c>
      <c r="G26" s="34">
        <f>IF(UnlockROI[[#This Row],[Unlocked]]=1,"",_xlfn.XLOOKUP(UnlockROI[[#This Row],[Planet '#]],tblPlanets[Planet '#],tblPlanets[Unlock Price]))</f>
        <v>1600000000</v>
      </c>
      <c r="H26" s="43">
        <f>IF(UnlockROI[[#This Row],[Unlocked]]=0,0.25,"")</f>
        <v>0.25</v>
      </c>
      <c r="I26" s="43">
        <f>IF(UnlockROI[[#This Row],[Unlocked]]=0,1,"")</f>
        <v>1</v>
      </c>
      <c r="J26" s="25">
        <f>IF(UnlockROI[[#This Row],[Unlocked]]=0,5,"")</f>
        <v>5</v>
      </c>
      <c r="K26" s="28">
        <f>_xlfn.XLOOKUP(UnlockROI[[#This Row],[Planet '#]],tblprogress[Planet '#],tblprogress[Planets Distance])</f>
        <v>10.15</v>
      </c>
      <c r="L26" s="41">
        <f>0.1*UnlockROI[[#This Row],[Distance]]</f>
        <v>1.0150000000000001</v>
      </c>
      <c r="M26" s="47">
        <f>IF(UnlockROI[[#This Row],[Unlocked]]=1,"",IF(UnlockROI[[#This Row],[Base Efficiency]]&lt;1,15,0.25/UnlockROI[[#This Row],[Base Efficiency]]))</f>
        <v>0.2463054187192118</v>
      </c>
      <c r="N26" s="34">
        <f>_xlfn.XLOOKUP(UnlockROI[[#This Row],[Planet '#]],tblplanetvalue[Planet '#],tblplanetvalue[Total Worth])</f>
        <v>650.20000000000005</v>
      </c>
      <c r="O26" s="35">
        <f>IF(OR(UnlockROI[[#This Row],[Deposit]]="",UnlockROI[[#This Row],[Planet Worth]]=""),"",UnlockROI[[#This Row],[Deposit]]*UnlockROI[[#This Row],[Planet Worth]])</f>
        <v>160.14778325123152</v>
      </c>
      <c r="P26" s="14" t="str">
        <f>IF(
   _xlfn.XLOOKUP(UnlockROI[[#This Row],[Planet '#]], tblPlanets[Planet '#], tblPlanets[Name])=UnlockROI[[#This Row],[Name]],
   "Match",
   "Mismatch"
)</f>
        <v>Match</v>
      </c>
    </row>
    <row r="27" spans="1:16" x14ac:dyDescent="0.3">
      <c r="A27" s="25">
        <v>26</v>
      </c>
      <c r="B27" s="25" t="str">
        <f>_xlfn.XLOOKUP(tblprogress[[#This Row],[Planet '#]],tblPlanets[Planet '#],tblPlanets[Name])</f>
        <v>Ploitari</v>
      </c>
      <c r="C27" s="54">
        <f>_xlfn.XLOOKUP(UnlockROI[[#This Row],[Planet '#]],tblprogress[Planet '#],tblprogress[Unlocked])</f>
        <v>0</v>
      </c>
      <c r="D27" s="54">
        <f>_xlfn.XLOOKUP(UnlockROI[[#This Row],[Planet '#]],tblprogress[Planet '#],tblprogress[Possible to Unlock])</f>
        <v>0</v>
      </c>
      <c r="E27" s="47" t="str">
        <f>IF(AND(UnlockROI[[#This Row],[Unlocked]]=0,UnlockROI[[#This Row],[Possible to Unlock]]=1),
   IFERROR(UnlockROI[[#This Row],[Base Earnings]]*3600/UnlockROI[[#This Row],[Unlock Planet Amount]],""),
   "")</f>
        <v/>
      </c>
      <c r="F27" s="47" t="str">
        <f>IF(AND(UnlockROI[[#This Row],[Unlocked]]=0,UnlockROI[[#This Row],[Possible to Unlock]]=1),
   IFERROR(UnlockROI[[#This Row],[Unlock Planet Amount]]/UnlockROI[[#This Row],[Base Earnings]],""),
   "")</f>
        <v/>
      </c>
      <c r="G27" s="34">
        <f>IF(UnlockROI[[#This Row],[Unlocked]]=1,"",_xlfn.XLOOKUP(UnlockROI[[#This Row],[Planet '#]],tblPlanets[Planet '#],tblPlanets[Unlock Price]))</f>
        <v>3200000000</v>
      </c>
      <c r="H27" s="43">
        <f>IF(UnlockROI[[#This Row],[Unlocked]]=0,0.25,"")</f>
        <v>0.25</v>
      </c>
      <c r="I27" s="43">
        <f>IF(UnlockROI[[#This Row],[Unlocked]]=0,1,"")</f>
        <v>1</v>
      </c>
      <c r="J27" s="25">
        <f>IF(UnlockROI[[#This Row],[Unlocked]]=0,5,"")</f>
        <v>5</v>
      </c>
      <c r="K27" s="28">
        <f>_xlfn.XLOOKUP(UnlockROI[[#This Row],[Planet '#]],tblprogress[Planet '#],tblprogress[Planets Distance])</f>
        <v>10.3</v>
      </c>
      <c r="L27" s="41">
        <f>0.1*UnlockROI[[#This Row],[Distance]]</f>
        <v>1.03</v>
      </c>
      <c r="M27" s="47">
        <f>IF(UnlockROI[[#This Row],[Unlocked]]=1,"",IF(UnlockROI[[#This Row],[Base Efficiency]]&lt;1,15,0.25/UnlockROI[[#This Row],[Base Efficiency]]))</f>
        <v>0.24271844660194175</v>
      </c>
      <c r="N27" s="34">
        <f>_xlfn.XLOOKUP(UnlockROI[[#This Row],[Planet '#]],tblplanetvalue[Planet '#],tblplanetvalue[Total Worth])</f>
        <v>880</v>
      </c>
      <c r="O27" s="35">
        <f>IF(OR(UnlockROI[[#This Row],[Deposit]]="",UnlockROI[[#This Row],[Planet Worth]]=""),"",UnlockROI[[#This Row],[Deposit]]*UnlockROI[[#This Row],[Planet Worth]])</f>
        <v>213.59223300970874</v>
      </c>
      <c r="P27" s="14" t="str">
        <f>IF(
   _xlfn.XLOOKUP(UnlockROI[[#This Row],[Planet '#]], tblPlanets[Planet '#], tblPlanets[Name])=UnlockROI[[#This Row],[Name]],
   "Match",
   "Mismatch"
)</f>
        <v>Match</v>
      </c>
    </row>
    <row r="28" spans="1:16" x14ac:dyDescent="0.3">
      <c r="A28" s="24">
        <v>27</v>
      </c>
      <c r="B28" s="24" t="str">
        <f>_xlfn.XLOOKUP(tblprogress[[#This Row],[Planet '#]],tblPlanets[Planet '#],tblPlanets[Name])</f>
        <v>Elysta</v>
      </c>
      <c r="C28" s="54">
        <f>_xlfn.XLOOKUP(UnlockROI[[#This Row],[Planet '#]],tblprogress[Planet '#],tblprogress[Unlocked])</f>
        <v>0</v>
      </c>
      <c r="D28" s="54">
        <f>_xlfn.XLOOKUP(UnlockROI[[#This Row],[Planet '#]],tblprogress[Planet '#],tblprogress[Possible to Unlock])</f>
        <v>0</v>
      </c>
      <c r="E28" s="47" t="str">
        <f>IF(AND(UnlockROI[[#This Row],[Unlocked]]=0,UnlockROI[[#This Row],[Possible to Unlock]]=1),
   IFERROR(UnlockROI[[#This Row],[Base Earnings]]*3600/UnlockROI[[#This Row],[Unlock Planet Amount]],""),
   "")</f>
        <v/>
      </c>
      <c r="F28" s="47" t="str">
        <f>IF(AND(UnlockROI[[#This Row],[Unlocked]]=0,UnlockROI[[#This Row],[Possible to Unlock]]=1),
   IFERROR(UnlockROI[[#This Row],[Unlock Planet Amount]]/UnlockROI[[#This Row],[Base Earnings]],""),
   "")</f>
        <v/>
      </c>
      <c r="G28" s="34">
        <f>IF(UnlockROI[[#This Row],[Unlocked]]=1,"",_xlfn.XLOOKUP(UnlockROI[[#This Row],[Planet '#]],tblPlanets[Planet '#],tblPlanets[Unlock Price]))</f>
        <v>6400000000</v>
      </c>
      <c r="H28" s="43">
        <f>IF(UnlockROI[[#This Row],[Unlocked]]=0,0.25,"")</f>
        <v>0.25</v>
      </c>
      <c r="I28" s="43">
        <f>IF(UnlockROI[[#This Row],[Unlocked]]=0,1,"")</f>
        <v>1</v>
      </c>
      <c r="J28" s="25">
        <f>IF(UnlockROI[[#This Row],[Unlocked]]=0,5,"")</f>
        <v>5</v>
      </c>
      <c r="K28" s="28">
        <f>_xlfn.XLOOKUP(UnlockROI[[#This Row],[Planet '#]],tblprogress[Planet '#],tblprogress[Planets Distance])</f>
        <v>10.45</v>
      </c>
      <c r="L28" s="41">
        <f>0.1*UnlockROI[[#This Row],[Distance]]</f>
        <v>1.0449999999999999</v>
      </c>
      <c r="M28" s="47">
        <f>IF(UnlockROI[[#This Row],[Unlocked]]=1,"",IF(UnlockROI[[#This Row],[Base Efficiency]]&lt;1,15,0.25/UnlockROI[[#This Row],[Base Efficiency]]))</f>
        <v>0.23923444976076558</v>
      </c>
      <c r="N28" s="34">
        <f>_xlfn.XLOOKUP(UnlockROI[[#This Row],[Planet '#]],tblplanetvalue[Planet '#],tblplanetvalue[Total Worth])</f>
        <v>1600</v>
      </c>
      <c r="O28" s="35">
        <f>IF(OR(UnlockROI[[#This Row],[Deposit]]="",UnlockROI[[#This Row],[Planet Worth]]=""),"",UnlockROI[[#This Row],[Deposit]]*UnlockROI[[#This Row],[Planet Worth]])</f>
        <v>382.7751196172249</v>
      </c>
      <c r="P28" s="14" t="str">
        <f>IF(
   _xlfn.XLOOKUP(UnlockROI[[#This Row],[Planet '#]], tblPlanets[Planet '#], tblPlanets[Name])=UnlockROI[[#This Row],[Name]],
   "Match",
   "Mismatch"
)</f>
        <v>Match</v>
      </c>
    </row>
    <row r="29" spans="1:16" x14ac:dyDescent="0.3">
      <c r="A29" s="25">
        <v>28</v>
      </c>
      <c r="B29" s="25" t="str">
        <f>_xlfn.XLOOKUP(tblprogress[[#This Row],[Planet '#]],tblPlanets[Planet '#],tblPlanets[Name])</f>
        <v>Tikkun</v>
      </c>
      <c r="C29" s="54">
        <f>_xlfn.XLOOKUP(UnlockROI[[#This Row],[Planet '#]],tblprogress[Planet '#],tblprogress[Unlocked])</f>
        <v>0</v>
      </c>
      <c r="D29" s="54">
        <f>_xlfn.XLOOKUP(UnlockROI[[#This Row],[Planet '#]],tblprogress[Planet '#],tblprogress[Possible to Unlock])</f>
        <v>0</v>
      </c>
      <c r="E29" s="47" t="str">
        <f>IF(AND(UnlockROI[[#This Row],[Unlocked]]=0,UnlockROI[[#This Row],[Possible to Unlock]]=1),
   IFERROR(UnlockROI[[#This Row],[Base Earnings]]*3600/UnlockROI[[#This Row],[Unlock Planet Amount]],""),
   "")</f>
        <v/>
      </c>
      <c r="F29" s="47" t="str">
        <f>IF(AND(UnlockROI[[#This Row],[Unlocked]]=0,UnlockROI[[#This Row],[Possible to Unlock]]=1),
   IFERROR(UnlockROI[[#This Row],[Unlock Planet Amount]]/UnlockROI[[#This Row],[Base Earnings]],""),
   "")</f>
        <v/>
      </c>
      <c r="G29" s="34">
        <f>IF(UnlockROI[[#This Row],[Unlocked]]=1,"",_xlfn.XLOOKUP(UnlockROI[[#This Row],[Planet '#]],tblPlanets[Planet '#],tblPlanets[Unlock Price]))</f>
        <v>12500000000</v>
      </c>
      <c r="H29" s="43">
        <f>IF(UnlockROI[[#This Row],[Unlocked]]=0,0.25,"")</f>
        <v>0.25</v>
      </c>
      <c r="I29" s="43">
        <f>IF(UnlockROI[[#This Row],[Unlocked]]=0,1,"")</f>
        <v>1</v>
      </c>
      <c r="J29" s="25">
        <f>IF(UnlockROI[[#This Row],[Unlocked]]=0,5,"")</f>
        <v>5</v>
      </c>
      <c r="K29" s="28">
        <f>_xlfn.XLOOKUP(UnlockROI[[#This Row],[Planet '#]],tblprogress[Planet '#],tblprogress[Planets Distance])</f>
        <v>10.6</v>
      </c>
      <c r="L29" s="41">
        <f>0.1*UnlockROI[[#This Row],[Distance]]</f>
        <v>1.06</v>
      </c>
      <c r="M29" s="47">
        <f>IF(UnlockROI[[#This Row],[Unlocked]]=1,"",IF(UnlockROI[[#This Row],[Base Efficiency]]&lt;1,15,0.25/UnlockROI[[#This Row],[Base Efficiency]]))</f>
        <v>0.23584905660377356</v>
      </c>
      <c r="N29" s="34">
        <f>_xlfn.XLOOKUP(UnlockROI[[#This Row],[Planet '#]],tblplanetvalue[Planet '#],tblplanetvalue[Total Worth])</f>
        <v>1770.5</v>
      </c>
      <c r="O29" s="35">
        <f>IF(OR(UnlockROI[[#This Row],[Deposit]]="",UnlockROI[[#This Row],[Planet Worth]]=""),"",UnlockROI[[#This Row],[Deposit]]*UnlockROI[[#This Row],[Planet Worth]])</f>
        <v>417.57075471698107</v>
      </c>
      <c r="P29" s="14" t="str">
        <f>IF(
   _xlfn.XLOOKUP(UnlockROI[[#This Row],[Planet '#]], tblPlanets[Planet '#], tblPlanets[Name])=UnlockROI[[#This Row],[Name]],
   "Match",
   "Mismatch"
)</f>
        <v>Match</v>
      </c>
    </row>
    <row r="30" spans="1:16" x14ac:dyDescent="0.3">
      <c r="A30" s="24">
        <v>29</v>
      </c>
      <c r="B30" s="24" t="str">
        <f>_xlfn.XLOOKUP(tblprogress[[#This Row],[Planet '#]],tblPlanets[Planet '#],tblPlanets[Name])</f>
        <v>Satent</v>
      </c>
      <c r="C30" s="54">
        <f>_xlfn.XLOOKUP(UnlockROI[[#This Row],[Planet '#]],tblprogress[Planet '#],tblprogress[Unlocked])</f>
        <v>0</v>
      </c>
      <c r="D30" s="54">
        <f>_xlfn.XLOOKUP(UnlockROI[[#This Row],[Planet '#]],tblprogress[Planet '#],tblprogress[Possible to Unlock])</f>
        <v>0</v>
      </c>
      <c r="E30" s="47" t="str">
        <f>IF(AND(UnlockROI[[#This Row],[Unlocked]]=0,UnlockROI[[#This Row],[Possible to Unlock]]=1),
   IFERROR(UnlockROI[[#This Row],[Base Earnings]]*3600/UnlockROI[[#This Row],[Unlock Planet Amount]],""),
   "")</f>
        <v/>
      </c>
      <c r="F30" s="47" t="str">
        <f>IF(AND(UnlockROI[[#This Row],[Unlocked]]=0,UnlockROI[[#This Row],[Possible to Unlock]]=1),
   IFERROR(UnlockROI[[#This Row],[Unlock Planet Amount]]/UnlockROI[[#This Row],[Base Earnings]],""),
   "")</f>
        <v/>
      </c>
      <c r="G30" s="34">
        <f>IF(UnlockROI[[#This Row],[Unlocked]]=1,"",_xlfn.XLOOKUP(UnlockROI[[#This Row],[Planet '#]],tblPlanets[Planet '#],tblPlanets[Unlock Price]))</f>
        <v>25000000000</v>
      </c>
      <c r="H30" s="43">
        <f>IF(UnlockROI[[#This Row],[Unlocked]]=0,0.25,"")</f>
        <v>0.25</v>
      </c>
      <c r="I30" s="43">
        <f>IF(UnlockROI[[#This Row],[Unlocked]]=0,1,"")</f>
        <v>1</v>
      </c>
      <c r="J30" s="25">
        <f>IF(UnlockROI[[#This Row],[Unlocked]]=0,5,"")</f>
        <v>5</v>
      </c>
      <c r="K30" s="28">
        <f>_xlfn.XLOOKUP(UnlockROI[[#This Row],[Planet '#]],tblprogress[Planet '#],tblprogress[Planets Distance])</f>
        <v>10.75</v>
      </c>
      <c r="L30" s="41">
        <f>0.1*UnlockROI[[#This Row],[Distance]]</f>
        <v>1.075</v>
      </c>
      <c r="M30" s="47">
        <f>IF(UnlockROI[[#This Row],[Unlocked]]=1,"",IF(UnlockROI[[#This Row],[Base Efficiency]]&lt;1,15,0.25/UnlockROI[[#This Row],[Base Efficiency]]))</f>
        <v>0.23255813953488372</v>
      </c>
      <c r="N30" s="34">
        <f>_xlfn.XLOOKUP(UnlockROI[[#This Row],[Planet '#]],tblplanetvalue[Planet '#],tblplanetvalue[Total Worth])</f>
        <v>2392</v>
      </c>
      <c r="O30" s="35">
        <f>IF(OR(UnlockROI[[#This Row],[Deposit]]="",UnlockROI[[#This Row],[Planet Worth]]=""),"",UnlockROI[[#This Row],[Deposit]]*UnlockROI[[#This Row],[Planet Worth]])</f>
        <v>556.2790697674418</v>
      </c>
      <c r="P30" s="14" t="str">
        <f>IF(
   _xlfn.XLOOKUP(UnlockROI[[#This Row],[Planet '#]], tblPlanets[Planet '#], tblPlanets[Name])=UnlockROI[[#This Row],[Name]],
   "Match",
   "Mismatch"
)</f>
        <v>Match</v>
      </c>
    </row>
    <row r="31" spans="1:16" x14ac:dyDescent="0.3">
      <c r="A31" s="25">
        <v>30</v>
      </c>
      <c r="B31" s="25" t="str">
        <f>_xlfn.XLOOKUP(tblprogress[[#This Row],[Planet '#]],tblPlanets[Planet '#],tblPlanets[Name])</f>
        <v>Urla Rast</v>
      </c>
      <c r="C31" s="54">
        <f>_xlfn.XLOOKUP(UnlockROI[[#This Row],[Planet '#]],tblprogress[Planet '#],tblprogress[Unlocked])</f>
        <v>0</v>
      </c>
      <c r="D31" s="54">
        <f>_xlfn.XLOOKUP(UnlockROI[[#This Row],[Planet '#]],tblprogress[Planet '#],tblprogress[Possible to Unlock])</f>
        <v>0</v>
      </c>
      <c r="E31" s="47" t="str">
        <f>IF(AND(UnlockROI[[#This Row],[Unlocked]]=0,UnlockROI[[#This Row],[Possible to Unlock]]=1),
   IFERROR(UnlockROI[[#This Row],[Base Earnings]]*3600/UnlockROI[[#This Row],[Unlock Planet Amount]],""),
   "")</f>
        <v/>
      </c>
      <c r="F31" s="47" t="str">
        <f>IF(AND(UnlockROI[[#This Row],[Unlocked]]=0,UnlockROI[[#This Row],[Possible to Unlock]]=1),
   IFERROR(UnlockROI[[#This Row],[Unlock Planet Amount]]/UnlockROI[[#This Row],[Base Earnings]],""),
   "")</f>
        <v/>
      </c>
      <c r="G31" s="34">
        <f>IF(UnlockROI[[#This Row],[Unlocked]]=1,"",_xlfn.XLOOKUP(UnlockROI[[#This Row],[Planet '#]],tblPlanets[Planet '#],tblPlanets[Unlock Price]))</f>
        <v>50000000000</v>
      </c>
      <c r="H31" s="43">
        <f>IF(UnlockROI[[#This Row],[Unlocked]]=0,0.25,"")</f>
        <v>0.25</v>
      </c>
      <c r="I31" s="43">
        <f>IF(UnlockROI[[#This Row],[Unlocked]]=0,1,"")</f>
        <v>1</v>
      </c>
      <c r="J31" s="25">
        <f>IF(UnlockROI[[#This Row],[Unlocked]]=0,5,"")</f>
        <v>5</v>
      </c>
      <c r="K31" s="28">
        <f>_xlfn.XLOOKUP(UnlockROI[[#This Row],[Planet '#]],tblprogress[Planet '#],tblprogress[Planets Distance])</f>
        <v>10.9</v>
      </c>
      <c r="L31" s="41">
        <f>0.1*UnlockROI[[#This Row],[Distance]]</f>
        <v>1.0900000000000001</v>
      </c>
      <c r="M31" s="47">
        <f>IF(UnlockROI[[#This Row],[Unlocked]]=1,"",IF(UnlockROI[[#This Row],[Base Efficiency]]&lt;1,15,0.25/UnlockROI[[#This Row],[Base Efficiency]]))</f>
        <v>0.2293577981651376</v>
      </c>
      <c r="N31" s="34">
        <f>_xlfn.XLOOKUP(UnlockROI[[#This Row],[Planet '#]],tblplanetvalue[Planet '#],tblplanetvalue[Total Worth])</f>
        <v>3166</v>
      </c>
      <c r="O31" s="35">
        <f>IF(OR(UnlockROI[[#This Row],[Deposit]]="",UnlockROI[[#This Row],[Planet Worth]]=""),"",UnlockROI[[#This Row],[Deposit]]*UnlockROI[[#This Row],[Planet Worth]])</f>
        <v>726.1467889908256</v>
      </c>
      <c r="P31" s="14" t="str">
        <f>IF(
   _xlfn.XLOOKUP(UnlockROI[[#This Row],[Planet '#]], tblPlanets[Planet '#], tblPlanets[Name])=UnlockROI[[#This Row],[Name]],
   "Match",
   "Mismatch"
)</f>
        <v>Match</v>
      </c>
    </row>
    <row r="32" spans="1:16" x14ac:dyDescent="0.3">
      <c r="A32" s="24">
        <v>31</v>
      </c>
      <c r="B32" s="24" t="str">
        <f>_xlfn.XLOOKUP(tblprogress[[#This Row],[Planet '#]],tblPlanets[Planet '#],tblPlanets[Name])</f>
        <v>Vular</v>
      </c>
      <c r="C32" s="54">
        <f>_xlfn.XLOOKUP(UnlockROI[[#This Row],[Planet '#]],tblprogress[Planet '#],tblprogress[Unlocked])</f>
        <v>0</v>
      </c>
      <c r="D32" s="54">
        <f>_xlfn.XLOOKUP(UnlockROI[[#This Row],[Planet '#]],tblprogress[Planet '#],tblprogress[Possible to Unlock])</f>
        <v>0</v>
      </c>
      <c r="E32" s="47" t="str">
        <f>IF(AND(UnlockROI[[#This Row],[Unlocked]]=0,UnlockROI[[#This Row],[Possible to Unlock]]=1),
   IFERROR(UnlockROI[[#This Row],[Base Earnings]]*3600/UnlockROI[[#This Row],[Unlock Planet Amount]],""),
   "")</f>
        <v/>
      </c>
      <c r="F32" s="47" t="str">
        <f>IF(AND(UnlockROI[[#This Row],[Unlocked]]=0,UnlockROI[[#This Row],[Possible to Unlock]]=1),
   IFERROR(UnlockROI[[#This Row],[Unlock Planet Amount]]/UnlockROI[[#This Row],[Base Earnings]],""),
   "")</f>
        <v/>
      </c>
      <c r="G32" s="34">
        <f>IF(UnlockROI[[#This Row],[Unlocked]]=1,"",_xlfn.XLOOKUP(UnlockROI[[#This Row],[Planet '#]],tblPlanets[Planet '#],tblPlanets[Unlock Price]))</f>
        <v>100000000000</v>
      </c>
      <c r="H32" s="43">
        <f>IF(UnlockROI[[#This Row],[Unlocked]]=0,0.25,"")</f>
        <v>0.25</v>
      </c>
      <c r="I32" s="43">
        <f>IF(UnlockROI[[#This Row],[Unlocked]]=0,1,"")</f>
        <v>1</v>
      </c>
      <c r="J32" s="25">
        <f>IF(UnlockROI[[#This Row],[Unlocked]]=0,5,"")</f>
        <v>5</v>
      </c>
      <c r="K32" s="28">
        <f>_xlfn.XLOOKUP(UnlockROI[[#This Row],[Planet '#]],tblprogress[Planet '#],tblprogress[Planets Distance])</f>
        <v>11.05</v>
      </c>
      <c r="L32" s="41">
        <f>0.1*UnlockROI[[#This Row],[Distance]]</f>
        <v>1.1050000000000002</v>
      </c>
      <c r="M32" s="47">
        <f>IF(UnlockROI[[#This Row],[Unlocked]]=1,"",IF(UnlockROI[[#This Row],[Base Efficiency]]&lt;1,15,0.25/UnlockROI[[#This Row],[Base Efficiency]]))</f>
        <v>0.22624434389140266</v>
      </c>
      <c r="N32" s="34">
        <f>_xlfn.XLOOKUP(UnlockROI[[#This Row],[Planet '#]],tblplanetvalue[Planet '#],tblplanetvalue[Total Worth])</f>
        <v>4790</v>
      </c>
      <c r="O32" s="35">
        <f>IF(OR(UnlockROI[[#This Row],[Deposit]]="",UnlockROI[[#This Row],[Planet Worth]]=""),"",UnlockROI[[#This Row],[Deposit]]*UnlockROI[[#This Row],[Planet Worth]])</f>
        <v>1083.7104072398188</v>
      </c>
      <c r="P32" s="14" t="str">
        <f>IF(
   _xlfn.XLOOKUP(UnlockROI[[#This Row],[Planet '#]], tblPlanets[Planet '#], tblPlanets[Name])=UnlockROI[[#This Row],[Name]],
   "Match",
   "Mismatch"
)</f>
        <v>Match</v>
      </c>
    </row>
    <row r="33" spans="1:16" x14ac:dyDescent="0.3">
      <c r="A33" s="25">
        <v>32</v>
      </c>
      <c r="B33" s="25" t="str">
        <f>_xlfn.XLOOKUP(tblprogress[[#This Row],[Planet '#]],tblPlanets[Planet '#],tblPlanets[Name])</f>
        <v>Nibiru</v>
      </c>
      <c r="C33" s="54">
        <f>_xlfn.XLOOKUP(UnlockROI[[#This Row],[Planet '#]],tblprogress[Planet '#],tblprogress[Unlocked])</f>
        <v>0</v>
      </c>
      <c r="D33" s="54">
        <f>_xlfn.XLOOKUP(UnlockROI[[#This Row],[Planet '#]],tblprogress[Planet '#],tblprogress[Possible to Unlock])</f>
        <v>0</v>
      </c>
      <c r="E33" s="47" t="str">
        <f>IF(AND(UnlockROI[[#This Row],[Unlocked]]=0,UnlockROI[[#This Row],[Possible to Unlock]]=1),
   IFERROR(UnlockROI[[#This Row],[Base Earnings]]*3600/UnlockROI[[#This Row],[Unlock Planet Amount]],""),
   "")</f>
        <v/>
      </c>
      <c r="F33" s="47" t="str">
        <f>IF(AND(UnlockROI[[#This Row],[Unlocked]]=0,UnlockROI[[#This Row],[Possible to Unlock]]=1),
   IFERROR(UnlockROI[[#This Row],[Unlock Planet Amount]]/UnlockROI[[#This Row],[Base Earnings]],""),
   "")</f>
        <v/>
      </c>
      <c r="G33" s="34">
        <f>IF(UnlockROI[[#This Row],[Unlocked]]=1,"",_xlfn.XLOOKUP(UnlockROI[[#This Row],[Planet '#]],tblPlanets[Planet '#],tblPlanets[Unlock Price]))</f>
        <v>250000000000</v>
      </c>
      <c r="H33" s="43">
        <f>IF(UnlockROI[[#This Row],[Unlocked]]=0,0.25,"")</f>
        <v>0.25</v>
      </c>
      <c r="I33" s="43">
        <f>IF(UnlockROI[[#This Row],[Unlocked]]=0,1,"")</f>
        <v>1</v>
      </c>
      <c r="J33" s="25">
        <f>IF(UnlockROI[[#This Row],[Unlocked]]=0,5,"")</f>
        <v>5</v>
      </c>
      <c r="K33" s="28">
        <f>_xlfn.XLOOKUP(UnlockROI[[#This Row],[Planet '#]],tblprogress[Planet '#],tblprogress[Planets Distance])</f>
        <v>11.2</v>
      </c>
      <c r="L33" s="41">
        <f>0.1*UnlockROI[[#This Row],[Distance]]</f>
        <v>1.1199999999999999</v>
      </c>
      <c r="M33" s="47">
        <f>IF(UnlockROI[[#This Row],[Unlocked]]=1,"",IF(UnlockROI[[#This Row],[Base Efficiency]]&lt;1,15,0.25/UnlockROI[[#This Row],[Base Efficiency]]))</f>
        <v>0.22321428571428573</v>
      </c>
      <c r="N33" s="34">
        <f>_xlfn.XLOOKUP(UnlockROI[[#This Row],[Planet '#]],tblplanetvalue[Planet '#],tblplanetvalue[Total Worth])</f>
        <v>5320</v>
      </c>
      <c r="O33" s="35">
        <f>IF(OR(UnlockROI[[#This Row],[Deposit]]="",UnlockROI[[#This Row],[Planet Worth]]=""),"",UnlockROI[[#This Row],[Deposit]]*UnlockROI[[#This Row],[Planet Worth]])</f>
        <v>1187.5</v>
      </c>
      <c r="P33" s="14" t="str">
        <f>IF(
   _xlfn.XLOOKUP(UnlockROI[[#This Row],[Planet '#]], tblPlanets[Planet '#], tblPlanets[Name])=UnlockROI[[#This Row],[Name]],
   "Match",
   "Mismatch"
)</f>
        <v>Match</v>
      </c>
    </row>
    <row r="34" spans="1:16" x14ac:dyDescent="0.3">
      <c r="A34" s="24">
        <v>33</v>
      </c>
      <c r="B34" s="24" t="str">
        <f>_xlfn.XLOOKUP(tblprogress[[#This Row],[Planet '#]],tblPlanets[Planet '#],tblPlanets[Name])</f>
        <v>Xena</v>
      </c>
      <c r="C34" s="54">
        <f>_xlfn.XLOOKUP(UnlockROI[[#This Row],[Planet '#]],tblprogress[Planet '#],tblprogress[Unlocked])</f>
        <v>0</v>
      </c>
      <c r="D34" s="54">
        <f>_xlfn.XLOOKUP(UnlockROI[[#This Row],[Planet '#]],tblprogress[Planet '#],tblprogress[Possible to Unlock])</f>
        <v>0</v>
      </c>
      <c r="E34" s="47" t="str">
        <f>IF(AND(UnlockROI[[#This Row],[Unlocked]]=0,UnlockROI[[#This Row],[Possible to Unlock]]=1),
   IFERROR(UnlockROI[[#This Row],[Base Earnings]]*3600/UnlockROI[[#This Row],[Unlock Planet Amount]],""),
   "")</f>
        <v/>
      </c>
      <c r="F34" s="47" t="str">
        <f>IF(AND(UnlockROI[[#This Row],[Unlocked]]=0,UnlockROI[[#This Row],[Possible to Unlock]]=1),
   IFERROR(UnlockROI[[#This Row],[Unlock Planet Amount]]/UnlockROI[[#This Row],[Base Earnings]],""),
   "")</f>
        <v/>
      </c>
      <c r="G34" s="34">
        <f>IF(UnlockROI[[#This Row],[Unlocked]]=1,"",_xlfn.XLOOKUP(UnlockROI[[#This Row],[Planet '#]],tblPlanets[Planet '#],tblPlanets[Unlock Price]))</f>
        <v>600000000000</v>
      </c>
      <c r="H34" s="43">
        <f>IF(UnlockROI[[#This Row],[Unlocked]]=0,0.25,"")</f>
        <v>0.25</v>
      </c>
      <c r="I34" s="43">
        <f>IF(UnlockROI[[#This Row],[Unlocked]]=0,1,"")</f>
        <v>1</v>
      </c>
      <c r="J34" s="25">
        <f>IF(UnlockROI[[#This Row],[Unlocked]]=0,5,"")</f>
        <v>5</v>
      </c>
      <c r="K34" s="28">
        <f>_xlfn.XLOOKUP(UnlockROI[[#This Row],[Planet '#]],tblprogress[Planet '#],tblprogress[Planets Distance])</f>
        <v>11.35</v>
      </c>
      <c r="L34" s="41">
        <f>0.1*UnlockROI[[#This Row],[Distance]]</f>
        <v>1.135</v>
      </c>
      <c r="M34" s="47">
        <f>IF(UnlockROI[[#This Row],[Unlocked]]=1,"",IF(UnlockROI[[#This Row],[Base Efficiency]]&lt;1,15,0.25/UnlockROI[[#This Row],[Base Efficiency]]))</f>
        <v>0.22026431718061673</v>
      </c>
      <c r="N34" s="34">
        <f>_xlfn.XLOOKUP(UnlockROI[[#This Row],[Planet '#]],tblplanetvalue[Planet '#],tblplanetvalue[Total Worth])</f>
        <v>7800</v>
      </c>
      <c r="O34" s="35">
        <f>IF(OR(UnlockROI[[#This Row],[Deposit]]="",UnlockROI[[#This Row],[Planet Worth]]=""),"",UnlockROI[[#This Row],[Deposit]]*UnlockROI[[#This Row],[Planet Worth]])</f>
        <v>1718.0616740088105</v>
      </c>
      <c r="P34" s="14" t="str">
        <f>IF(
   _xlfn.XLOOKUP(UnlockROI[[#This Row],[Planet '#]], tblPlanets[Planet '#], tblPlanets[Name])=UnlockROI[[#This Row],[Name]],
   "Match",
   "Mismatch"
)</f>
        <v>Match</v>
      </c>
    </row>
    <row r="35" spans="1:16" x14ac:dyDescent="0.3">
      <c r="A35" s="25">
        <v>34</v>
      </c>
      <c r="B35" s="25" t="str">
        <f>_xlfn.XLOOKUP(tblprogress[[#This Row],[Planet '#]],tblPlanets[Planet '#],tblPlanets[Name])</f>
        <v>Rupert</v>
      </c>
      <c r="C35" s="54">
        <f>_xlfn.XLOOKUP(UnlockROI[[#This Row],[Planet '#]],tblprogress[Planet '#],tblprogress[Unlocked])</f>
        <v>0</v>
      </c>
      <c r="D35" s="54">
        <f>_xlfn.XLOOKUP(UnlockROI[[#This Row],[Planet '#]],tblprogress[Planet '#],tblprogress[Possible to Unlock])</f>
        <v>0</v>
      </c>
      <c r="E35" s="47" t="str">
        <f>IF(AND(UnlockROI[[#This Row],[Unlocked]]=0,UnlockROI[[#This Row],[Possible to Unlock]]=1),
   IFERROR(UnlockROI[[#This Row],[Base Earnings]]*3600/UnlockROI[[#This Row],[Unlock Planet Amount]],""),
   "")</f>
        <v/>
      </c>
      <c r="F35" s="47" t="str">
        <f>IF(AND(UnlockROI[[#This Row],[Unlocked]]=0,UnlockROI[[#This Row],[Possible to Unlock]]=1),
   IFERROR(UnlockROI[[#This Row],[Unlock Planet Amount]]/UnlockROI[[#This Row],[Base Earnings]],""),
   "")</f>
        <v/>
      </c>
      <c r="G35" s="34">
        <f>IF(UnlockROI[[#This Row],[Unlocked]]=1,"",_xlfn.XLOOKUP(UnlockROI[[#This Row],[Planet '#]],tblPlanets[Planet '#],tblPlanets[Unlock Price]))</f>
        <v>1500000000000</v>
      </c>
      <c r="H35" s="43">
        <f>IF(UnlockROI[[#This Row],[Unlocked]]=0,0.25,"")</f>
        <v>0.25</v>
      </c>
      <c r="I35" s="43">
        <f>IF(UnlockROI[[#This Row],[Unlocked]]=0,1,"")</f>
        <v>1</v>
      </c>
      <c r="J35" s="25">
        <f>IF(UnlockROI[[#This Row],[Unlocked]]=0,5,"")</f>
        <v>5</v>
      </c>
      <c r="K35" s="28">
        <f>_xlfn.XLOOKUP(UnlockROI[[#This Row],[Planet '#]],tblprogress[Planet '#],tblprogress[Planets Distance])</f>
        <v>11.5</v>
      </c>
      <c r="L35" s="41">
        <f>0.1*UnlockROI[[#This Row],[Distance]]</f>
        <v>1.1500000000000001</v>
      </c>
      <c r="M35" s="47">
        <f>IF(UnlockROI[[#This Row],[Unlocked]]=1,"",IF(UnlockROI[[#This Row],[Base Efficiency]]&lt;1,15,0.25/UnlockROI[[#This Row],[Base Efficiency]]))</f>
        <v>0.21739130434782605</v>
      </c>
      <c r="N35" s="34">
        <f>_xlfn.XLOOKUP(UnlockROI[[#This Row],[Planet '#]],tblplanetvalue[Planet '#],tblplanetvalue[Total Worth])</f>
        <v>6890</v>
      </c>
      <c r="O35" s="35">
        <f>IF(OR(UnlockROI[[#This Row],[Deposit]]="",UnlockROI[[#This Row],[Planet Worth]]=""),"",UnlockROI[[#This Row],[Deposit]]*UnlockROI[[#This Row],[Planet Worth]])</f>
        <v>1497.8260869565215</v>
      </c>
      <c r="P35" s="14" t="str">
        <f>IF(
   _xlfn.XLOOKUP(UnlockROI[[#This Row],[Planet '#]], tblPlanets[Planet '#], tblPlanets[Name])=UnlockROI[[#This Row],[Name]],
   "Match",
   "Mismatch"
)</f>
        <v>Match</v>
      </c>
    </row>
    <row r="36" spans="1:16" x14ac:dyDescent="0.3">
      <c r="A36" s="24">
        <v>35</v>
      </c>
      <c r="B36" s="24" t="str">
        <f>_xlfn.XLOOKUP(tblprogress[[#This Row],[Planet '#]],tblPlanets[Planet '#],tblPlanets[Name])</f>
        <v>Pax</v>
      </c>
      <c r="C36" s="54">
        <f>_xlfn.XLOOKUP(UnlockROI[[#This Row],[Planet '#]],tblprogress[Planet '#],tblprogress[Unlocked])</f>
        <v>0</v>
      </c>
      <c r="D36" s="54">
        <f>_xlfn.XLOOKUP(UnlockROI[[#This Row],[Planet '#]],tblprogress[Planet '#],tblprogress[Possible to Unlock])</f>
        <v>0</v>
      </c>
      <c r="E36" s="47" t="str">
        <f>IF(AND(UnlockROI[[#This Row],[Unlocked]]=0,UnlockROI[[#This Row],[Possible to Unlock]]=1),
   IFERROR(UnlockROI[[#This Row],[Base Earnings]]*3600/UnlockROI[[#This Row],[Unlock Planet Amount]],""),
   "")</f>
        <v/>
      </c>
      <c r="F36" s="47" t="str">
        <f>IF(AND(UnlockROI[[#This Row],[Unlocked]]=0,UnlockROI[[#This Row],[Possible to Unlock]]=1),
   IFERROR(UnlockROI[[#This Row],[Unlock Planet Amount]]/UnlockROI[[#This Row],[Base Earnings]],""),
   "")</f>
        <v/>
      </c>
      <c r="G36" s="34">
        <f>IF(UnlockROI[[#This Row],[Unlocked]]=1,"",_xlfn.XLOOKUP(UnlockROI[[#This Row],[Planet '#]],tblPlanets[Planet '#],tblPlanets[Unlock Price]))</f>
        <v>4000000000000</v>
      </c>
      <c r="H36" s="43">
        <f>IF(UnlockROI[[#This Row],[Unlocked]]=0,0.25,"")</f>
        <v>0.25</v>
      </c>
      <c r="I36" s="43">
        <f>IF(UnlockROI[[#This Row],[Unlocked]]=0,1,"")</f>
        <v>1</v>
      </c>
      <c r="J36" s="25">
        <f>IF(UnlockROI[[#This Row],[Unlocked]]=0,5,"")</f>
        <v>5</v>
      </c>
      <c r="K36" s="28">
        <f>_xlfn.XLOOKUP(UnlockROI[[#This Row],[Planet '#]],tblprogress[Planet '#],tblprogress[Planets Distance])</f>
        <v>11.65</v>
      </c>
      <c r="L36" s="41">
        <f>0.1*UnlockROI[[#This Row],[Distance]]</f>
        <v>1.165</v>
      </c>
      <c r="M36" s="47">
        <f>IF(UnlockROI[[#This Row],[Unlocked]]=1,"",IF(UnlockROI[[#This Row],[Base Efficiency]]&lt;1,15,0.25/UnlockROI[[#This Row],[Base Efficiency]]))</f>
        <v>0.21459227467811159</v>
      </c>
      <c r="N36" s="34">
        <f>_xlfn.XLOOKUP(UnlockROI[[#This Row],[Planet '#]],tblplanetvalue[Planet '#],tblplanetvalue[Total Worth])</f>
        <v>8920</v>
      </c>
      <c r="O36" s="35">
        <f>IF(OR(UnlockROI[[#This Row],[Deposit]]="",UnlockROI[[#This Row],[Planet Worth]]=""),"",UnlockROI[[#This Row],[Deposit]]*UnlockROI[[#This Row],[Planet Worth]])</f>
        <v>1914.1630901287554</v>
      </c>
      <c r="P36" s="14" t="str">
        <f>IF(
   _xlfn.XLOOKUP(UnlockROI[[#This Row],[Planet '#]], tblPlanets[Planet '#], tblPlanets[Name])=UnlockROI[[#This Row],[Name]],
   "Match",
   "Mismatch"
)</f>
        <v>Match</v>
      </c>
    </row>
    <row r="37" spans="1:16" x14ac:dyDescent="0.3">
      <c r="A37" s="25">
        <v>36</v>
      </c>
      <c r="B37" s="25" t="str">
        <f>_xlfn.XLOOKUP(tblprogress[[#This Row],[Planet '#]],tblPlanets[Planet '#],tblPlanets[Name])</f>
        <v>Ivyra</v>
      </c>
      <c r="C37" s="54">
        <f>_xlfn.XLOOKUP(UnlockROI[[#This Row],[Planet '#]],tblprogress[Planet '#],tblprogress[Unlocked])</f>
        <v>0</v>
      </c>
      <c r="D37" s="54">
        <f>_xlfn.XLOOKUP(UnlockROI[[#This Row],[Planet '#]],tblprogress[Planet '#],tblprogress[Possible to Unlock])</f>
        <v>0</v>
      </c>
      <c r="E37" s="47" t="str">
        <f>IF(AND(UnlockROI[[#This Row],[Unlocked]]=0,UnlockROI[[#This Row],[Possible to Unlock]]=1),
   IFERROR(UnlockROI[[#This Row],[Base Earnings]]*3600/UnlockROI[[#This Row],[Unlock Planet Amount]],""),
   "")</f>
        <v/>
      </c>
      <c r="F37" s="47" t="str">
        <f>IF(AND(UnlockROI[[#This Row],[Unlocked]]=0,UnlockROI[[#This Row],[Possible to Unlock]]=1),
   IFERROR(UnlockROI[[#This Row],[Unlock Planet Amount]]/UnlockROI[[#This Row],[Base Earnings]],""),
   "")</f>
        <v/>
      </c>
      <c r="G37" s="34">
        <f>IF(UnlockROI[[#This Row],[Unlocked]]=1,"",_xlfn.XLOOKUP(UnlockROI[[#This Row],[Planet '#]],tblPlanets[Planet '#],tblPlanets[Unlock Price]))</f>
        <v>10000000000000</v>
      </c>
      <c r="H37" s="43">
        <f>IF(UnlockROI[[#This Row],[Unlocked]]=0,0.25,"")</f>
        <v>0.25</v>
      </c>
      <c r="I37" s="43">
        <f>IF(UnlockROI[[#This Row],[Unlocked]]=0,1,"")</f>
        <v>1</v>
      </c>
      <c r="J37" s="25">
        <f>IF(UnlockROI[[#This Row],[Unlocked]]=0,5,"")</f>
        <v>5</v>
      </c>
      <c r="K37" s="28">
        <f>_xlfn.XLOOKUP(UnlockROI[[#This Row],[Planet '#]],tblprogress[Planet '#],tblprogress[Planets Distance])</f>
        <v>11.8</v>
      </c>
      <c r="L37" s="41">
        <f>0.1*UnlockROI[[#This Row],[Distance]]</f>
        <v>1.1800000000000002</v>
      </c>
      <c r="M37" s="47">
        <f>IF(UnlockROI[[#This Row],[Unlocked]]=1,"",IF(UnlockROI[[#This Row],[Base Efficiency]]&lt;1,15,0.25/UnlockROI[[#This Row],[Base Efficiency]]))</f>
        <v>0.21186440677966098</v>
      </c>
      <c r="N37" s="34">
        <f>_xlfn.XLOOKUP(UnlockROI[[#This Row],[Planet '#]],tblplanetvalue[Planet '#],tblplanetvalue[Total Worth])</f>
        <v>17500</v>
      </c>
      <c r="O37" s="35">
        <f>IF(OR(UnlockROI[[#This Row],[Deposit]]="",UnlockROI[[#This Row],[Planet Worth]]=""),"",UnlockROI[[#This Row],[Deposit]]*UnlockROI[[#This Row],[Planet Worth]])</f>
        <v>3707.6271186440672</v>
      </c>
      <c r="P37" s="14" t="str">
        <f>IF(
   _xlfn.XLOOKUP(UnlockROI[[#This Row],[Planet '#]], tblPlanets[Planet '#], tblPlanets[Name])=UnlockROI[[#This Row],[Name]],
   "Match",
   "Mismatch"
)</f>
        <v>Match</v>
      </c>
    </row>
    <row r="38" spans="1:16" x14ac:dyDescent="0.3">
      <c r="A38" s="24">
        <v>37</v>
      </c>
      <c r="B38" s="24" t="str">
        <f>_xlfn.XLOOKUP(tblprogress[[#This Row],[Planet '#]],tblPlanets[Planet '#],tblPlanets[Name])</f>
        <v>Utritis</v>
      </c>
      <c r="C38" s="54">
        <f>_xlfn.XLOOKUP(UnlockROI[[#This Row],[Planet '#]],tblprogress[Planet '#],tblprogress[Unlocked])</f>
        <v>0</v>
      </c>
      <c r="D38" s="54">
        <f>_xlfn.XLOOKUP(UnlockROI[[#This Row],[Planet '#]],tblprogress[Planet '#],tblprogress[Possible to Unlock])</f>
        <v>0</v>
      </c>
      <c r="E38" s="47" t="str">
        <f>IF(AND(UnlockROI[[#This Row],[Unlocked]]=0,UnlockROI[[#This Row],[Possible to Unlock]]=1),
   IFERROR(UnlockROI[[#This Row],[Base Earnings]]*3600/UnlockROI[[#This Row],[Unlock Planet Amount]],""),
   "")</f>
        <v/>
      </c>
      <c r="F38" s="47" t="str">
        <f>IF(AND(UnlockROI[[#This Row],[Unlocked]]=0,UnlockROI[[#This Row],[Possible to Unlock]]=1),
   IFERROR(UnlockROI[[#This Row],[Unlock Planet Amount]]/UnlockROI[[#This Row],[Base Earnings]],""),
   "")</f>
        <v/>
      </c>
      <c r="G38" s="34">
        <f>IF(UnlockROI[[#This Row],[Unlocked]]=1,"",_xlfn.XLOOKUP(UnlockROI[[#This Row],[Planet '#]],tblPlanets[Planet '#],tblPlanets[Unlock Price]))</f>
        <v>25000000000000</v>
      </c>
      <c r="H38" s="43">
        <f>IF(UnlockROI[[#This Row],[Unlocked]]=0,0.25,"")</f>
        <v>0.25</v>
      </c>
      <c r="I38" s="43">
        <f>IF(UnlockROI[[#This Row],[Unlocked]]=0,1,"")</f>
        <v>1</v>
      </c>
      <c r="J38" s="25">
        <f>IF(UnlockROI[[#This Row],[Unlocked]]=0,5,"")</f>
        <v>5</v>
      </c>
      <c r="K38" s="28">
        <f>_xlfn.XLOOKUP(UnlockROI[[#This Row],[Planet '#]],tblprogress[Planet '#],tblprogress[Planets Distance])</f>
        <v>11.95</v>
      </c>
      <c r="L38" s="41">
        <f>0.1*UnlockROI[[#This Row],[Distance]]</f>
        <v>1.1950000000000001</v>
      </c>
      <c r="M38" s="47">
        <f>IF(UnlockROI[[#This Row],[Unlocked]]=1,"",IF(UnlockROI[[#This Row],[Base Efficiency]]&lt;1,15,0.25/UnlockROI[[#This Row],[Base Efficiency]]))</f>
        <v>0.20920502092050208</v>
      </c>
      <c r="N38" s="34">
        <f>_xlfn.XLOOKUP(UnlockROI[[#This Row],[Planet '#]],tblplanetvalue[Planet '#],tblplanetvalue[Total Worth])</f>
        <v>22000</v>
      </c>
      <c r="O38" s="35">
        <f>IF(OR(UnlockROI[[#This Row],[Deposit]]="",UnlockROI[[#This Row],[Planet Worth]]=""),"",UnlockROI[[#This Row],[Deposit]]*UnlockROI[[#This Row],[Planet Worth]])</f>
        <v>4602.5104602510455</v>
      </c>
      <c r="P38" s="14" t="str">
        <f>IF(
   _xlfn.XLOOKUP(UnlockROI[[#This Row],[Planet '#]], tblPlanets[Planet '#], tblPlanets[Name])=UnlockROI[[#This Row],[Name]],
   "Match",
   "Mismatch"
)</f>
        <v>Match</v>
      </c>
    </row>
    <row r="39" spans="1:16" x14ac:dyDescent="0.3">
      <c r="A39" s="25">
        <v>38</v>
      </c>
      <c r="B39" s="25" t="str">
        <f>_xlfn.XLOOKUP(tblprogress[[#This Row],[Planet '#]],tblPlanets[Planet '#],tblPlanets[Name])</f>
        <v>Dosie</v>
      </c>
      <c r="C39" s="54">
        <f>_xlfn.XLOOKUP(UnlockROI[[#This Row],[Planet '#]],tblprogress[Planet '#],tblprogress[Unlocked])</f>
        <v>0</v>
      </c>
      <c r="D39" s="54">
        <f>_xlfn.XLOOKUP(UnlockROI[[#This Row],[Planet '#]],tblprogress[Planet '#],tblprogress[Possible to Unlock])</f>
        <v>0</v>
      </c>
      <c r="E39" s="47" t="str">
        <f>IF(AND(UnlockROI[[#This Row],[Unlocked]]=0,UnlockROI[[#This Row],[Possible to Unlock]]=1),
   IFERROR(UnlockROI[[#This Row],[Base Earnings]]*3600/UnlockROI[[#This Row],[Unlock Planet Amount]],""),
   "")</f>
        <v/>
      </c>
      <c r="F39" s="47" t="str">
        <f>IF(AND(UnlockROI[[#This Row],[Unlocked]]=0,UnlockROI[[#This Row],[Possible to Unlock]]=1),
   IFERROR(UnlockROI[[#This Row],[Unlock Planet Amount]]/UnlockROI[[#This Row],[Base Earnings]],""),
   "")</f>
        <v/>
      </c>
      <c r="G39" s="34">
        <f>IF(UnlockROI[[#This Row],[Unlocked]]=1,"",_xlfn.XLOOKUP(UnlockROI[[#This Row],[Planet '#]],tblPlanets[Planet '#],tblPlanets[Unlock Price]))</f>
        <v>62000000000000</v>
      </c>
      <c r="H39" s="43">
        <f>IF(UnlockROI[[#This Row],[Unlocked]]=0,0.25,"")</f>
        <v>0.25</v>
      </c>
      <c r="I39" s="43">
        <f>IF(UnlockROI[[#This Row],[Unlocked]]=0,1,"")</f>
        <v>1</v>
      </c>
      <c r="J39" s="25">
        <f>IF(UnlockROI[[#This Row],[Unlocked]]=0,5,"")</f>
        <v>5</v>
      </c>
      <c r="K39" s="28">
        <f>_xlfn.XLOOKUP(UnlockROI[[#This Row],[Planet '#]],tblprogress[Planet '#],tblprogress[Planets Distance])</f>
        <v>12.1</v>
      </c>
      <c r="L39" s="41">
        <f>0.1*UnlockROI[[#This Row],[Distance]]</f>
        <v>1.21</v>
      </c>
      <c r="M39" s="47">
        <f>IF(UnlockROI[[#This Row],[Unlocked]]=1,"",IF(UnlockROI[[#This Row],[Base Efficiency]]&lt;1,15,0.25/UnlockROI[[#This Row],[Base Efficiency]]))</f>
        <v>0.20661157024793389</v>
      </c>
      <c r="N39" s="34">
        <f>_xlfn.XLOOKUP(UnlockROI[[#This Row],[Planet '#]],tblplanetvalue[Planet '#],tblplanetvalue[Total Worth])</f>
        <v>23900</v>
      </c>
      <c r="O39" s="35">
        <f>IF(OR(UnlockROI[[#This Row],[Deposit]]="",UnlockROI[[#This Row],[Planet Worth]]=""),"",UnlockROI[[#This Row],[Deposit]]*UnlockROI[[#This Row],[Planet Worth]])</f>
        <v>4938.0165289256202</v>
      </c>
      <c r="P39" s="14" t="str">
        <f>IF(
   _xlfn.XLOOKUP(UnlockROI[[#This Row],[Planet '#]], tblPlanets[Planet '#], tblPlanets[Name])=UnlockROI[[#This Row],[Name]],
   "Match",
   "Mismatch"
)</f>
        <v>Match</v>
      </c>
    </row>
    <row r="40" spans="1:16" x14ac:dyDescent="0.3">
      <c r="A40" s="24">
        <v>39</v>
      </c>
      <c r="B40" s="24" t="str">
        <f>_xlfn.XLOOKUP(tblprogress[[#This Row],[Planet '#]],tblPlanets[Planet '#],tblPlanets[Name])</f>
        <v>Zulu</v>
      </c>
      <c r="C40" s="54">
        <f>_xlfn.XLOOKUP(UnlockROI[[#This Row],[Planet '#]],tblprogress[Planet '#],tblprogress[Unlocked])</f>
        <v>0</v>
      </c>
      <c r="D40" s="54">
        <f>_xlfn.XLOOKUP(UnlockROI[[#This Row],[Planet '#]],tblprogress[Planet '#],tblprogress[Possible to Unlock])</f>
        <v>0</v>
      </c>
      <c r="E40" s="47" t="str">
        <f>IF(AND(UnlockROI[[#This Row],[Unlocked]]=0,UnlockROI[[#This Row],[Possible to Unlock]]=1),
   IFERROR(UnlockROI[[#This Row],[Base Earnings]]*3600/UnlockROI[[#This Row],[Unlock Planet Amount]],""),
   "")</f>
        <v/>
      </c>
      <c r="F40" s="47" t="str">
        <f>IF(AND(UnlockROI[[#This Row],[Unlocked]]=0,UnlockROI[[#This Row],[Possible to Unlock]]=1),
   IFERROR(UnlockROI[[#This Row],[Unlock Planet Amount]]/UnlockROI[[#This Row],[Base Earnings]],""),
   "")</f>
        <v/>
      </c>
      <c r="G40" s="34">
        <f>IF(UnlockROI[[#This Row],[Unlocked]]=1,"",_xlfn.XLOOKUP(UnlockROI[[#This Row],[Planet '#]],tblPlanets[Planet '#],tblPlanets[Unlock Price]))</f>
        <v>160000000000000</v>
      </c>
      <c r="H40" s="43">
        <f>IF(UnlockROI[[#This Row],[Unlocked]]=0,0.25,"")</f>
        <v>0.25</v>
      </c>
      <c r="I40" s="43">
        <f>IF(UnlockROI[[#This Row],[Unlocked]]=0,1,"")</f>
        <v>1</v>
      </c>
      <c r="J40" s="25">
        <f>IF(UnlockROI[[#This Row],[Unlocked]]=0,5,"")</f>
        <v>5</v>
      </c>
      <c r="K40" s="28">
        <f>_xlfn.XLOOKUP(UnlockROI[[#This Row],[Planet '#]],tblprogress[Planet '#],tblprogress[Planets Distance])</f>
        <v>12.25</v>
      </c>
      <c r="L40" s="41">
        <f>0.1*UnlockROI[[#This Row],[Distance]]</f>
        <v>1.2250000000000001</v>
      </c>
      <c r="M40" s="47">
        <f>IF(UnlockROI[[#This Row],[Unlocked]]=1,"",IF(UnlockROI[[#This Row],[Base Efficiency]]&lt;1,15,0.25/UnlockROI[[#This Row],[Base Efficiency]]))</f>
        <v>0.2040816326530612</v>
      </c>
      <c r="N40" s="34">
        <f>_xlfn.XLOOKUP(UnlockROI[[#This Row],[Planet '#]],tblplanetvalue[Planet '#],tblplanetvalue[Total Worth])</f>
        <v>40000</v>
      </c>
      <c r="O40" s="35">
        <f>IF(OR(UnlockROI[[#This Row],[Deposit]]="",UnlockROI[[#This Row],[Planet Worth]]=""),"",UnlockROI[[#This Row],[Deposit]]*UnlockROI[[#This Row],[Planet Worth]])</f>
        <v>8163.2653061224482</v>
      </c>
      <c r="P40" s="14" t="str">
        <f>IF(
   _xlfn.XLOOKUP(UnlockROI[[#This Row],[Planet '#]], tblPlanets[Planet '#], tblPlanets[Name])=UnlockROI[[#This Row],[Name]],
   "Match",
   "Mismatch"
)</f>
        <v>Match</v>
      </c>
    </row>
    <row r="41" spans="1:16" x14ac:dyDescent="0.3">
      <c r="A41" s="25">
        <v>40</v>
      </c>
      <c r="B41" s="25" t="str">
        <f>_xlfn.XLOOKUP(tblprogress[[#This Row],[Planet '#]],tblPlanets[Planet '#],tblPlanets[Name])</f>
        <v>Unicae</v>
      </c>
      <c r="C41" s="54">
        <f>_xlfn.XLOOKUP(UnlockROI[[#This Row],[Planet '#]],tblprogress[Planet '#],tblprogress[Unlocked])</f>
        <v>0</v>
      </c>
      <c r="D41" s="54">
        <f>_xlfn.XLOOKUP(UnlockROI[[#This Row],[Planet '#]],tblprogress[Planet '#],tblprogress[Possible to Unlock])</f>
        <v>0</v>
      </c>
      <c r="E41" s="47" t="str">
        <f>IF(AND(UnlockROI[[#This Row],[Unlocked]]=0,UnlockROI[[#This Row],[Possible to Unlock]]=1),
   IFERROR(UnlockROI[[#This Row],[Base Earnings]]*3600/UnlockROI[[#This Row],[Unlock Planet Amount]],""),
   "")</f>
        <v/>
      </c>
      <c r="F41" s="47" t="str">
        <f>IF(AND(UnlockROI[[#This Row],[Unlocked]]=0,UnlockROI[[#This Row],[Possible to Unlock]]=1),
   IFERROR(UnlockROI[[#This Row],[Unlock Planet Amount]]/UnlockROI[[#This Row],[Base Earnings]],""),
   "")</f>
        <v/>
      </c>
      <c r="G41" s="34">
        <f>IF(UnlockROI[[#This Row],[Unlocked]]=1,"",_xlfn.XLOOKUP(UnlockROI[[#This Row],[Planet '#]],tblPlanets[Planet '#],tblPlanets[Unlock Price]))</f>
        <v>400000000000000</v>
      </c>
      <c r="H41" s="43">
        <f>IF(UnlockROI[[#This Row],[Unlocked]]=0,0.25,"")</f>
        <v>0.25</v>
      </c>
      <c r="I41" s="43">
        <f>IF(UnlockROI[[#This Row],[Unlocked]]=0,1,"")</f>
        <v>1</v>
      </c>
      <c r="J41" s="25">
        <f>IF(UnlockROI[[#This Row],[Unlocked]]=0,5,"")</f>
        <v>5</v>
      </c>
      <c r="K41" s="28">
        <f>_xlfn.XLOOKUP(UnlockROI[[#This Row],[Planet '#]],tblprogress[Planet '#],tblprogress[Planets Distance])</f>
        <v>12.4</v>
      </c>
      <c r="L41" s="41">
        <f>0.1*UnlockROI[[#This Row],[Distance]]</f>
        <v>1.2400000000000002</v>
      </c>
      <c r="M41" s="47">
        <f>IF(UnlockROI[[#This Row],[Unlocked]]=1,"",IF(UnlockROI[[#This Row],[Base Efficiency]]&lt;1,15,0.25/UnlockROI[[#This Row],[Base Efficiency]]))</f>
        <v>0.20161290322580641</v>
      </c>
      <c r="N41" s="34">
        <f>_xlfn.XLOOKUP(UnlockROI[[#This Row],[Planet '#]],tblplanetvalue[Planet '#],tblplanetvalue[Total Worth])</f>
        <v>50400</v>
      </c>
      <c r="O41" s="35">
        <f>IF(OR(UnlockROI[[#This Row],[Deposit]]="",UnlockROI[[#This Row],[Planet Worth]]=""),"",UnlockROI[[#This Row],[Deposit]]*UnlockROI[[#This Row],[Planet Worth]])</f>
        <v>10161.290322580644</v>
      </c>
      <c r="P41" s="14" t="str">
        <f>IF(
   _xlfn.XLOOKUP(UnlockROI[[#This Row],[Planet '#]], tblPlanets[Planet '#], tblPlanets[Name])=UnlockROI[[#This Row],[Name]],
   "Match",
   "Mismatch"
)</f>
        <v>Match</v>
      </c>
    </row>
    <row r="42" spans="1:16" x14ac:dyDescent="0.3">
      <c r="A42" s="24">
        <v>41</v>
      </c>
      <c r="B42" s="24" t="str">
        <f>_xlfn.XLOOKUP(tblprogress[[#This Row],[Planet '#]],tblPlanets[Planet '#],tblPlanets[Name])</f>
        <v>Dune</v>
      </c>
      <c r="C42" s="54">
        <f>_xlfn.XLOOKUP(UnlockROI[[#This Row],[Planet '#]],tblprogress[Planet '#],tblprogress[Unlocked])</f>
        <v>0</v>
      </c>
      <c r="D42" s="54">
        <f>_xlfn.XLOOKUP(UnlockROI[[#This Row],[Planet '#]],tblprogress[Planet '#],tblprogress[Possible to Unlock])</f>
        <v>0</v>
      </c>
      <c r="E42" s="47" t="str">
        <f>IF(AND(UnlockROI[[#This Row],[Unlocked]]=0,UnlockROI[[#This Row],[Possible to Unlock]]=1),
   IFERROR(UnlockROI[[#This Row],[Base Earnings]]*3600/UnlockROI[[#This Row],[Unlock Planet Amount]],""),
   "")</f>
        <v/>
      </c>
      <c r="F42" s="47" t="str">
        <f>IF(AND(UnlockROI[[#This Row],[Unlocked]]=0,UnlockROI[[#This Row],[Possible to Unlock]]=1),
   IFERROR(UnlockROI[[#This Row],[Unlock Planet Amount]]/UnlockROI[[#This Row],[Base Earnings]],""),
   "")</f>
        <v/>
      </c>
      <c r="G42" s="34">
        <f>IF(UnlockROI[[#This Row],[Unlocked]]=1,"",_xlfn.XLOOKUP(UnlockROI[[#This Row],[Planet '#]],tblPlanets[Planet '#],tblPlanets[Unlock Price]))</f>
        <v>1000000000000000</v>
      </c>
      <c r="H42" s="43">
        <f>IF(UnlockROI[[#This Row],[Unlocked]]=0,0.25,"")</f>
        <v>0.25</v>
      </c>
      <c r="I42" s="43">
        <f>IF(UnlockROI[[#This Row],[Unlocked]]=0,1,"")</f>
        <v>1</v>
      </c>
      <c r="J42" s="25">
        <f>IF(UnlockROI[[#This Row],[Unlocked]]=0,5,"")</f>
        <v>5</v>
      </c>
      <c r="K42" s="28">
        <f>_xlfn.XLOOKUP(UnlockROI[[#This Row],[Planet '#]],tblprogress[Planet '#],tblprogress[Planets Distance])</f>
        <v>12.55</v>
      </c>
      <c r="L42" s="41">
        <f>0.1*UnlockROI[[#This Row],[Distance]]</f>
        <v>1.2550000000000001</v>
      </c>
      <c r="M42" s="47">
        <f>IF(UnlockROI[[#This Row],[Unlocked]]=1,"",IF(UnlockROI[[#This Row],[Base Efficiency]]&lt;1,15,0.25/UnlockROI[[#This Row],[Base Efficiency]]))</f>
        <v>0.19920318725099601</v>
      </c>
      <c r="N42" s="34">
        <f>_xlfn.XLOOKUP(UnlockROI[[#This Row],[Planet '#]],tblplanetvalue[Planet '#],tblplanetvalue[Total Worth])</f>
        <v>41480</v>
      </c>
      <c r="O42" s="35">
        <f>IF(OR(UnlockROI[[#This Row],[Deposit]]="",UnlockROI[[#This Row],[Planet Worth]]=""),"",UnlockROI[[#This Row],[Deposit]]*UnlockROI[[#This Row],[Planet Worth]])</f>
        <v>8262.9482071713137</v>
      </c>
      <c r="P42" s="14" t="str">
        <f>IF(
   _xlfn.XLOOKUP(UnlockROI[[#This Row],[Planet '#]], tblPlanets[Planet '#], tblPlanets[Name])=UnlockROI[[#This Row],[Name]],
   "Match",
   "Mismatch"
)</f>
        <v>Match</v>
      </c>
    </row>
    <row r="43" spans="1:16" x14ac:dyDescent="0.3">
      <c r="A43" s="25">
        <v>42</v>
      </c>
      <c r="B43" s="25" t="str">
        <f>_xlfn.XLOOKUP(tblprogress[[#This Row],[Planet '#]],tblPlanets[Planet '#],tblPlanets[Name])</f>
        <v>Naraka</v>
      </c>
      <c r="C43" s="54">
        <f>_xlfn.XLOOKUP(UnlockROI[[#This Row],[Planet '#]],tblprogress[Planet '#],tblprogress[Unlocked])</f>
        <v>0</v>
      </c>
      <c r="D43" s="54">
        <f>_xlfn.XLOOKUP(UnlockROI[[#This Row],[Planet '#]],tblprogress[Planet '#],tblprogress[Possible to Unlock])</f>
        <v>0</v>
      </c>
      <c r="E43" s="47" t="str">
        <f>IF(AND(UnlockROI[[#This Row],[Unlocked]]=0,UnlockROI[[#This Row],[Possible to Unlock]]=1),
   IFERROR(UnlockROI[[#This Row],[Base Earnings]]*3600/UnlockROI[[#This Row],[Unlock Planet Amount]],""),
   "")</f>
        <v/>
      </c>
      <c r="F43" s="47" t="str">
        <f>IF(AND(UnlockROI[[#This Row],[Unlocked]]=0,UnlockROI[[#This Row],[Possible to Unlock]]=1),
   IFERROR(UnlockROI[[#This Row],[Unlock Planet Amount]]/UnlockROI[[#This Row],[Base Earnings]],""),
   "")</f>
        <v/>
      </c>
      <c r="G43" s="34">
        <f>IF(UnlockROI[[#This Row],[Unlocked]]=1,"",_xlfn.XLOOKUP(UnlockROI[[#This Row],[Planet '#]],tblPlanets[Planet '#],tblPlanets[Unlock Price]))</f>
        <v>2500000000000000</v>
      </c>
      <c r="H43" s="43">
        <f>IF(UnlockROI[[#This Row],[Unlocked]]=0,0.25,"")</f>
        <v>0.25</v>
      </c>
      <c r="I43" s="43">
        <f>IF(UnlockROI[[#This Row],[Unlocked]]=0,1,"")</f>
        <v>1</v>
      </c>
      <c r="J43" s="25">
        <f>IF(UnlockROI[[#This Row],[Unlocked]]=0,5,"")</f>
        <v>5</v>
      </c>
      <c r="K43" s="28">
        <f>_xlfn.XLOOKUP(UnlockROI[[#This Row],[Planet '#]],tblprogress[Planet '#],tblprogress[Planets Distance])</f>
        <v>12.7</v>
      </c>
      <c r="L43" s="41">
        <f>0.1*UnlockROI[[#This Row],[Distance]]</f>
        <v>1.27</v>
      </c>
      <c r="M43" s="47">
        <f>IF(UnlockROI[[#This Row],[Unlocked]]=1,"",IF(UnlockROI[[#This Row],[Base Efficiency]]&lt;1,15,0.25/UnlockROI[[#This Row],[Base Efficiency]]))</f>
        <v>0.19685039370078738</v>
      </c>
      <c r="N43" s="34">
        <f>_xlfn.XLOOKUP(UnlockROI[[#This Row],[Planet '#]],tblplanetvalue[Planet '#],tblplanetvalue[Total Worth])</f>
        <v>92000</v>
      </c>
      <c r="O43" s="35">
        <f>IF(OR(UnlockROI[[#This Row],[Deposit]]="",UnlockROI[[#This Row],[Planet Worth]]=""),"",UnlockROI[[#This Row],[Deposit]]*UnlockROI[[#This Row],[Planet Worth]])</f>
        <v>18110.236220472438</v>
      </c>
      <c r="P43" s="14" t="str">
        <f>IF(
   _xlfn.XLOOKUP(UnlockROI[[#This Row],[Planet '#]], tblPlanets[Planet '#], tblPlanets[Name])=UnlockROI[[#This Row],[Name]],
   "Match",
   "Mismatch"
)</f>
        <v>Match</v>
      </c>
    </row>
    <row r="44" spans="1:16" x14ac:dyDescent="0.3">
      <c r="A44" s="24">
        <v>43</v>
      </c>
      <c r="B44" s="24" t="str">
        <f>_xlfn.XLOOKUP(tblprogress[[#This Row],[Planet '#]],tblPlanets[Planet '#],tblPlanets[Name])</f>
        <v>Daedalus</v>
      </c>
      <c r="C44" s="54">
        <f>_xlfn.XLOOKUP(UnlockROI[[#This Row],[Planet '#]],tblprogress[Planet '#],tblprogress[Unlocked])</f>
        <v>0</v>
      </c>
      <c r="D44" s="54">
        <f>_xlfn.XLOOKUP(UnlockROI[[#This Row],[Planet '#]],tblprogress[Planet '#],tblprogress[Possible to Unlock])</f>
        <v>0</v>
      </c>
      <c r="E44" s="47" t="str">
        <f>IF(AND(UnlockROI[[#This Row],[Unlocked]]=0,UnlockROI[[#This Row],[Possible to Unlock]]=1),
   IFERROR(UnlockROI[[#This Row],[Base Earnings]]*3600/UnlockROI[[#This Row],[Unlock Planet Amount]],""),
   "")</f>
        <v/>
      </c>
      <c r="F44" s="47" t="str">
        <f>IF(AND(UnlockROI[[#This Row],[Unlocked]]=0,UnlockROI[[#This Row],[Possible to Unlock]]=1),
   IFERROR(UnlockROI[[#This Row],[Unlock Planet Amount]]/UnlockROI[[#This Row],[Base Earnings]],""),
   "")</f>
        <v/>
      </c>
      <c r="G44" s="34">
        <f>IF(UnlockROI[[#This Row],[Unlocked]]=1,"",_xlfn.XLOOKUP(UnlockROI[[#This Row],[Planet '#]],tblPlanets[Planet '#],tblPlanets[Unlock Price]))</f>
        <v>6200000000000000</v>
      </c>
      <c r="H44" s="43">
        <f>IF(UnlockROI[[#This Row],[Unlocked]]=0,0.25,"")</f>
        <v>0.25</v>
      </c>
      <c r="I44" s="43">
        <f>IF(UnlockROI[[#This Row],[Unlocked]]=0,1,"")</f>
        <v>1</v>
      </c>
      <c r="J44" s="25">
        <f>IF(UnlockROI[[#This Row],[Unlocked]]=0,5,"")</f>
        <v>5</v>
      </c>
      <c r="K44" s="28">
        <f>_xlfn.XLOOKUP(UnlockROI[[#This Row],[Planet '#]],tblprogress[Planet '#],tblprogress[Planets Distance])</f>
        <v>12.85</v>
      </c>
      <c r="L44" s="41">
        <f>0.1*UnlockROI[[#This Row],[Distance]]</f>
        <v>1.2850000000000001</v>
      </c>
      <c r="M44" s="47">
        <f>IF(UnlockROI[[#This Row],[Unlocked]]=1,"",IF(UnlockROI[[#This Row],[Base Efficiency]]&lt;1,15,0.25/UnlockROI[[#This Row],[Base Efficiency]]))</f>
        <v>0.19455252918287935</v>
      </c>
      <c r="N44" s="34">
        <f>_xlfn.XLOOKUP(UnlockROI[[#This Row],[Planet '#]],tblplanetvalue[Planet '#],tblplanetvalue[Total Worth])</f>
        <v>97450</v>
      </c>
      <c r="O44" s="35">
        <f>IF(OR(UnlockROI[[#This Row],[Deposit]]="",UnlockROI[[#This Row],[Planet Worth]]=""),"",UnlockROI[[#This Row],[Deposit]]*UnlockROI[[#This Row],[Planet Worth]])</f>
        <v>18959.143968871595</v>
      </c>
      <c r="P44" s="14" t="str">
        <f>IF(
   _xlfn.XLOOKUP(UnlockROI[[#This Row],[Planet '#]], tblPlanets[Planet '#], tblPlanets[Name])=UnlockROI[[#This Row],[Name]],
   "Match",
   "Mismatch"
)</f>
        <v>Match</v>
      </c>
    </row>
    <row r="45" spans="1:16" x14ac:dyDescent="0.3">
      <c r="A45" s="25">
        <v>44</v>
      </c>
      <c r="B45" s="25" t="str">
        <f>_xlfn.XLOOKUP(tblprogress[[#This Row],[Planet '#]],tblPlanets[Planet '#],tblPlanets[Name])</f>
        <v>Clovis</v>
      </c>
      <c r="C45" s="54">
        <f>_xlfn.XLOOKUP(UnlockROI[[#This Row],[Planet '#]],tblprogress[Planet '#],tblprogress[Unlocked])</f>
        <v>0</v>
      </c>
      <c r="D45" s="54">
        <f>_xlfn.XLOOKUP(UnlockROI[[#This Row],[Planet '#]],tblprogress[Planet '#],tblprogress[Possible to Unlock])</f>
        <v>0</v>
      </c>
      <c r="E45" s="47" t="str">
        <f>IF(AND(UnlockROI[[#This Row],[Unlocked]]=0,UnlockROI[[#This Row],[Possible to Unlock]]=1),
   IFERROR(UnlockROI[[#This Row],[Base Earnings]]*3600/UnlockROI[[#This Row],[Unlock Planet Amount]],""),
   "")</f>
        <v/>
      </c>
      <c r="F45" s="47" t="str">
        <f>IF(AND(UnlockROI[[#This Row],[Unlocked]]=0,UnlockROI[[#This Row],[Possible to Unlock]]=1),
   IFERROR(UnlockROI[[#This Row],[Unlock Planet Amount]]/UnlockROI[[#This Row],[Base Earnings]],""),
   "")</f>
        <v/>
      </c>
      <c r="G45" s="34">
        <f>IF(UnlockROI[[#This Row],[Unlocked]]=1,"",_xlfn.XLOOKUP(UnlockROI[[#This Row],[Planet '#]],tblPlanets[Planet '#],tblPlanets[Unlock Price]))</f>
        <v>1.5E+16</v>
      </c>
      <c r="H45" s="43">
        <f>IF(UnlockROI[[#This Row],[Unlocked]]=0,0.25,"")</f>
        <v>0.25</v>
      </c>
      <c r="I45" s="43">
        <f>IF(UnlockROI[[#This Row],[Unlocked]]=0,1,"")</f>
        <v>1</v>
      </c>
      <c r="J45" s="25">
        <f>IF(UnlockROI[[#This Row],[Unlocked]]=0,5,"")</f>
        <v>5</v>
      </c>
      <c r="K45" s="28">
        <f>_xlfn.XLOOKUP(UnlockROI[[#This Row],[Planet '#]],tblprogress[Planet '#],tblprogress[Planets Distance])</f>
        <v>13</v>
      </c>
      <c r="L45" s="41">
        <f>0.1*UnlockROI[[#This Row],[Distance]]</f>
        <v>1.3</v>
      </c>
      <c r="M45" s="47">
        <f>IF(UnlockROI[[#This Row],[Unlocked]]=1,"",IF(UnlockROI[[#This Row],[Base Efficiency]]&lt;1,15,0.25/UnlockROI[[#This Row],[Base Efficiency]]))</f>
        <v>0.19230769230769229</v>
      </c>
      <c r="N45" s="34">
        <f>_xlfn.XLOOKUP(UnlockROI[[#This Row],[Planet '#]],tblplanetvalue[Planet '#],tblplanetvalue[Total Worth])</f>
        <v>153500</v>
      </c>
      <c r="O45" s="35">
        <f>IF(OR(UnlockROI[[#This Row],[Deposit]]="",UnlockROI[[#This Row],[Planet Worth]]=""),"",UnlockROI[[#This Row],[Deposit]]*UnlockROI[[#This Row],[Planet Worth]])</f>
        <v>29519.230769230766</v>
      </c>
      <c r="P45" s="14" t="str">
        <f>IF(
   _xlfn.XLOOKUP(UnlockROI[[#This Row],[Planet '#]], tblPlanets[Planet '#], tblPlanets[Name])=UnlockROI[[#This Row],[Name]],
   "Match",
   "Mismatch"
)</f>
        <v>Match</v>
      </c>
    </row>
    <row r="46" spans="1:16" x14ac:dyDescent="0.3">
      <c r="A46" s="24">
        <v>45</v>
      </c>
      <c r="B46" s="24" t="str">
        <f>_xlfn.XLOOKUP(tblprogress[[#This Row],[Planet '#]],tblPlanets[Planet '#],tblPlanets[Name])</f>
        <v>Zero</v>
      </c>
      <c r="C46" s="54">
        <f>_xlfn.XLOOKUP(UnlockROI[[#This Row],[Planet '#]],tblprogress[Planet '#],tblprogress[Unlocked])</f>
        <v>0</v>
      </c>
      <c r="D46" s="54">
        <f>_xlfn.XLOOKUP(UnlockROI[[#This Row],[Planet '#]],tblprogress[Planet '#],tblprogress[Possible to Unlock])</f>
        <v>0</v>
      </c>
      <c r="E46" s="47" t="str">
        <f>IF(AND(UnlockROI[[#This Row],[Unlocked]]=0,UnlockROI[[#This Row],[Possible to Unlock]]=1),
   IFERROR(UnlockROI[[#This Row],[Base Earnings]]*3600/UnlockROI[[#This Row],[Unlock Planet Amount]],""),
   "")</f>
        <v/>
      </c>
      <c r="F46" s="47" t="str">
        <f>IF(AND(UnlockROI[[#This Row],[Unlocked]]=0,UnlockROI[[#This Row],[Possible to Unlock]]=1),
   IFERROR(UnlockROI[[#This Row],[Unlock Planet Amount]]/UnlockROI[[#This Row],[Base Earnings]],""),
   "")</f>
        <v/>
      </c>
      <c r="G46" s="34">
        <f>IF(UnlockROI[[#This Row],[Unlocked]]=1,"",_xlfn.XLOOKUP(UnlockROI[[#This Row],[Planet '#]],tblPlanets[Planet '#],tblPlanets[Unlock Price]))</f>
        <v>4E+16</v>
      </c>
      <c r="H46" s="43">
        <f>IF(UnlockROI[[#This Row],[Unlocked]]=0,0.25,"")</f>
        <v>0.25</v>
      </c>
      <c r="I46" s="43">
        <f>IF(UnlockROI[[#This Row],[Unlocked]]=0,1,"")</f>
        <v>1</v>
      </c>
      <c r="J46" s="25">
        <f>IF(UnlockROI[[#This Row],[Unlocked]]=0,5,"")</f>
        <v>5</v>
      </c>
      <c r="K46" s="28">
        <f>_xlfn.XLOOKUP(UnlockROI[[#This Row],[Planet '#]],tblprogress[Planet '#],tblprogress[Planets Distance])</f>
        <v>13.15</v>
      </c>
      <c r="L46" s="41">
        <f>0.1*UnlockROI[[#This Row],[Distance]]</f>
        <v>1.3150000000000002</v>
      </c>
      <c r="M46" s="47">
        <f>IF(UnlockROI[[#This Row],[Unlocked]]=1,"",IF(UnlockROI[[#This Row],[Base Efficiency]]&lt;1,15,0.25/UnlockROI[[#This Row],[Base Efficiency]]))</f>
        <v>0.19011406844106463</v>
      </c>
      <c r="N46" s="34">
        <f>_xlfn.XLOOKUP(UnlockROI[[#This Row],[Planet '#]],tblplanetvalue[Planet '#],tblplanetvalue[Total Worth])</f>
        <v>215000</v>
      </c>
      <c r="O46" s="35">
        <f>IF(OR(UnlockROI[[#This Row],[Deposit]]="",UnlockROI[[#This Row],[Planet Worth]]=""),"",UnlockROI[[#This Row],[Deposit]]*UnlockROI[[#This Row],[Planet Worth]])</f>
        <v>40874.524714828898</v>
      </c>
      <c r="P46" s="14" t="str">
        <f>IF(
   _xlfn.XLOOKUP(UnlockROI[[#This Row],[Planet '#]], tblPlanets[Planet '#], tblPlanets[Name])=UnlockROI[[#This Row],[Name]],
   "Match",
   "Mismatch"
)</f>
        <v>Match</v>
      </c>
    </row>
    <row r="47" spans="1:16" x14ac:dyDescent="0.3">
      <c r="A47" s="25">
        <v>46</v>
      </c>
      <c r="B47" s="25" t="str">
        <f>_xlfn.XLOOKUP(tblprogress[[#This Row],[Planet '#]],tblPlanets[Planet '#],tblPlanets[Name])</f>
        <v>Sotomi</v>
      </c>
      <c r="C47" s="54">
        <f>_xlfn.XLOOKUP(UnlockROI[[#This Row],[Planet '#]],tblprogress[Planet '#],tblprogress[Unlocked])</f>
        <v>0</v>
      </c>
      <c r="D47" s="54">
        <f>_xlfn.XLOOKUP(UnlockROI[[#This Row],[Planet '#]],tblprogress[Planet '#],tblprogress[Possible to Unlock])</f>
        <v>0</v>
      </c>
      <c r="E47" s="47" t="str">
        <f>IF(AND(UnlockROI[[#This Row],[Unlocked]]=0,UnlockROI[[#This Row],[Possible to Unlock]]=1),
   IFERROR(UnlockROI[[#This Row],[Base Earnings]]*3600/UnlockROI[[#This Row],[Unlock Planet Amount]],""),
   "")</f>
        <v/>
      </c>
      <c r="F47" s="47" t="str">
        <f>IF(AND(UnlockROI[[#This Row],[Unlocked]]=0,UnlockROI[[#This Row],[Possible to Unlock]]=1),
   IFERROR(UnlockROI[[#This Row],[Unlock Planet Amount]]/UnlockROI[[#This Row],[Base Earnings]],""),
   "")</f>
        <v/>
      </c>
      <c r="G47" s="34">
        <f>IF(UnlockROI[[#This Row],[Unlocked]]=1,"",_xlfn.XLOOKUP(UnlockROI[[#This Row],[Planet '#]],tblPlanets[Planet '#],tblPlanets[Unlock Price]))</f>
        <v>1E+17</v>
      </c>
      <c r="H47" s="43">
        <f>IF(UnlockROI[[#This Row],[Unlocked]]=0,0.25,"")</f>
        <v>0.25</v>
      </c>
      <c r="I47" s="43">
        <f>IF(UnlockROI[[#This Row],[Unlocked]]=0,1,"")</f>
        <v>1</v>
      </c>
      <c r="J47" s="25">
        <f>IF(UnlockROI[[#This Row],[Unlocked]]=0,5,"")</f>
        <v>5</v>
      </c>
      <c r="K47" s="28">
        <f>_xlfn.XLOOKUP(UnlockROI[[#This Row],[Planet '#]],tblprogress[Planet '#],tblprogress[Planets Distance])</f>
        <v>13.3</v>
      </c>
      <c r="L47" s="41">
        <f>0.1*UnlockROI[[#This Row],[Distance]]</f>
        <v>1.33</v>
      </c>
      <c r="M47" s="47">
        <f>IF(UnlockROI[[#This Row],[Unlocked]]=1,"",IF(UnlockROI[[#This Row],[Base Efficiency]]&lt;1,15,0.25/UnlockROI[[#This Row],[Base Efficiency]]))</f>
        <v>0.18796992481203006</v>
      </c>
      <c r="N47" s="34">
        <f>_xlfn.XLOOKUP(UnlockROI[[#This Row],[Planet '#]],tblplanetvalue[Planet '#],tblplanetvalue[Total Worth])</f>
        <v>288750</v>
      </c>
      <c r="O47" s="35">
        <f>IF(OR(UnlockROI[[#This Row],[Deposit]]="",UnlockROI[[#This Row],[Planet Worth]]=""),"",UnlockROI[[#This Row],[Deposit]]*UnlockROI[[#This Row],[Planet Worth]])</f>
        <v>54276.31578947368</v>
      </c>
      <c r="P47" s="14" t="str">
        <f>IF(
   _xlfn.XLOOKUP(UnlockROI[[#This Row],[Planet '#]], tblPlanets[Planet '#], tblPlanets[Name])=UnlockROI[[#This Row],[Name]],
   "Match",
   "Mismatch"
)</f>
        <v>Match</v>
      </c>
    </row>
    <row r="48" spans="1:16" x14ac:dyDescent="0.3">
      <c r="A48" s="24">
        <v>47</v>
      </c>
      <c r="B48" s="24" t="str">
        <f>_xlfn.XLOOKUP(tblprogress[[#This Row],[Planet '#]],tblPlanets[Planet '#],tblPlanets[Name])</f>
        <v>Remidian</v>
      </c>
      <c r="C48" s="54">
        <f>_xlfn.XLOOKUP(UnlockROI[[#This Row],[Planet '#]],tblprogress[Planet '#],tblprogress[Unlocked])</f>
        <v>0</v>
      </c>
      <c r="D48" s="54">
        <f>_xlfn.XLOOKUP(UnlockROI[[#This Row],[Planet '#]],tblprogress[Planet '#],tblprogress[Possible to Unlock])</f>
        <v>0</v>
      </c>
      <c r="E48" s="47" t="str">
        <f>IF(AND(UnlockROI[[#This Row],[Unlocked]]=0,UnlockROI[[#This Row],[Possible to Unlock]]=1),
   IFERROR(UnlockROI[[#This Row],[Base Earnings]]*3600/UnlockROI[[#This Row],[Unlock Planet Amount]],""),
   "")</f>
        <v/>
      </c>
      <c r="F48" s="47" t="str">
        <f>IF(AND(UnlockROI[[#This Row],[Unlocked]]=0,UnlockROI[[#This Row],[Possible to Unlock]]=1),
   IFERROR(UnlockROI[[#This Row],[Unlock Planet Amount]]/UnlockROI[[#This Row],[Base Earnings]],""),
   "")</f>
        <v/>
      </c>
      <c r="G48" s="34">
        <f>IF(UnlockROI[[#This Row],[Unlocked]]=1,"",_xlfn.XLOOKUP(UnlockROI[[#This Row],[Planet '#]],tblPlanets[Planet '#],tblPlanets[Unlock Price]))</f>
        <v>2.5E+17</v>
      </c>
      <c r="H48" s="43">
        <f>IF(UnlockROI[[#This Row],[Unlocked]]=0,0.25,"")</f>
        <v>0.25</v>
      </c>
      <c r="I48" s="43">
        <f>IF(UnlockROI[[#This Row],[Unlocked]]=0,1,"")</f>
        <v>1</v>
      </c>
      <c r="J48" s="25">
        <f>IF(UnlockROI[[#This Row],[Unlocked]]=0,5,"")</f>
        <v>5</v>
      </c>
      <c r="K48" s="28">
        <f>_xlfn.XLOOKUP(UnlockROI[[#This Row],[Planet '#]],tblprogress[Planet '#],tblprogress[Planets Distance])</f>
        <v>13.45</v>
      </c>
      <c r="L48" s="41">
        <f>0.1*UnlockROI[[#This Row],[Distance]]</f>
        <v>1.345</v>
      </c>
      <c r="M48" s="47">
        <f>IF(UnlockROI[[#This Row],[Unlocked]]=1,"",IF(UnlockROI[[#This Row],[Base Efficiency]]&lt;1,15,0.25/UnlockROI[[#This Row],[Base Efficiency]]))</f>
        <v>0.18587360594795541</v>
      </c>
      <c r="N48" s="34">
        <f>_xlfn.XLOOKUP(UnlockROI[[#This Row],[Planet '#]],tblplanetvalue[Planet '#],tblplanetvalue[Total Worth])</f>
        <v>342800</v>
      </c>
      <c r="O48" s="35">
        <f>IF(OR(UnlockROI[[#This Row],[Deposit]]="",UnlockROI[[#This Row],[Planet Worth]]=""),"",UnlockROI[[#This Row],[Deposit]]*UnlockROI[[#This Row],[Planet Worth]])</f>
        <v>63717.472118959115</v>
      </c>
      <c r="P48" s="14" t="str">
        <f>IF(
   _xlfn.XLOOKUP(UnlockROI[[#This Row],[Planet '#]], tblPlanets[Planet '#], tblPlanets[Name])=UnlockROI[[#This Row],[Name]],
   "Match",
   "Mismatch"
)</f>
        <v>Match</v>
      </c>
    </row>
    <row r="49" spans="1:16" x14ac:dyDescent="0.3">
      <c r="A49" s="25">
        <v>48</v>
      </c>
      <c r="B49" s="25" t="str">
        <f>_xlfn.XLOOKUP(tblprogress[[#This Row],[Planet '#]],tblPlanets[Planet '#],tblPlanets[Name])</f>
        <v>Muse</v>
      </c>
      <c r="C49" s="54">
        <f>_xlfn.XLOOKUP(UnlockROI[[#This Row],[Planet '#]],tblprogress[Planet '#],tblprogress[Unlocked])</f>
        <v>0</v>
      </c>
      <c r="D49" s="54">
        <f>_xlfn.XLOOKUP(UnlockROI[[#This Row],[Planet '#]],tblprogress[Planet '#],tblprogress[Possible to Unlock])</f>
        <v>0</v>
      </c>
      <c r="E49" s="47" t="str">
        <f>IF(AND(UnlockROI[[#This Row],[Unlocked]]=0,UnlockROI[[#This Row],[Possible to Unlock]]=1),
   IFERROR(UnlockROI[[#This Row],[Base Earnings]]*3600/UnlockROI[[#This Row],[Unlock Planet Amount]],""),
   "")</f>
        <v/>
      </c>
      <c r="F49" s="47" t="str">
        <f>IF(AND(UnlockROI[[#This Row],[Unlocked]]=0,UnlockROI[[#This Row],[Possible to Unlock]]=1),
   IFERROR(UnlockROI[[#This Row],[Unlock Planet Amount]]/UnlockROI[[#This Row],[Base Earnings]],""),
   "")</f>
        <v/>
      </c>
      <c r="G49" s="34">
        <f>IF(UnlockROI[[#This Row],[Unlocked]]=1,"",_xlfn.XLOOKUP(UnlockROI[[#This Row],[Planet '#]],tblPlanets[Planet '#],tblPlanets[Unlock Price]))</f>
        <v>6E+17</v>
      </c>
      <c r="H49" s="43">
        <f>IF(UnlockROI[[#This Row],[Unlocked]]=0,0.25,"")</f>
        <v>0.25</v>
      </c>
      <c r="I49" s="43">
        <f>IF(UnlockROI[[#This Row],[Unlocked]]=0,1,"")</f>
        <v>1</v>
      </c>
      <c r="J49" s="25">
        <f>IF(UnlockROI[[#This Row],[Unlocked]]=0,5,"")</f>
        <v>5</v>
      </c>
      <c r="K49" s="28">
        <f>_xlfn.XLOOKUP(UnlockROI[[#This Row],[Planet '#]],tblprogress[Planet '#],tblprogress[Planets Distance])</f>
        <v>13.6</v>
      </c>
      <c r="L49" s="41">
        <f>0.1*UnlockROI[[#This Row],[Distance]]</f>
        <v>1.36</v>
      </c>
      <c r="M49" s="47">
        <f>IF(UnlockROI[[#This Row],[Unlocked]]=1,"",IF(UnlockROI[[#This Row],[Base Efficiency]]&lt;1,15,0.25/UnlockROI[[#This Row],[Base Efficiency]]))</f>
        <v>0.18382352941176469</v>
      </c>
      <c r="N49" s="34">
        <f>_xlfn.XLOOKUP(UnlockROI[[#This Row],[Planet '#]],tblplanetvalue[Planet '#],tblplanetvalue[Total Worth])</f>
        <v>510000</v>
      </c>
      <c r="O49" s="35">
        <f>IF(OR(UnlockROI[[#This Row],[Deposit]]="",UnlockROI[[#This Row],[Planet Worth]]=""),"",UnlockROI[[#This Row],[Deposit]]*UnlockROI[[#This Row],[Planet Worth]])</f>
        <v>93749.999999999985</v>
      </c>
      <c r="P49" s="14" t="str">
        <f>IF(
   _xlfn.XLOOKUP(UnlockROI[[#This Row],[Planet '#]], tblPlanets[Planet '#], tblPlanets[Name])=UnlockROI[[#This Row],[Name]],
   "Match",
   "Mismatch"
)</f>
        <v>Match</v>
      </c>
    </row>
    <row r="50" spans="1:16" x14ac:dyDescent="0.3">
      <c r="A50" s="24">
        <v>49</v>
      </c>
      <c r="B50" s="24" t="str">
        <f>_xlfn.XLOOKUP(tblprogress[[#This Row],[Planet '#]],tblPlanets[Planet '#],tblPlanets[Name])</f>
        <v>Arabis</v>
      </c>
      <c r="C50" s="54">
        <f>_xlfn.XLOOKUP(UnlockROI[[#This Row],[Planet '#]],tblprogress[Planet '#],tblprogress[Unlocked])</f>
        <v>0</v>
      </c>
      <c r="D50" s="54">
        <f>_xlfn.XLOOKUP(UnlockROI[[#This Row],[Planet '#]],tblprogress[Planet '#],tblprogress[Possible to Unlock])</f>
        <v>0</v>
      </c>
      <c r="E50" s="47" t="str">
        <f>IF(AND(UnlockROI[[#This Row],[Unlocked]]=0,UnlockROI[[#This Row],[Possible to Unlock]]=1),
   IFERROR(UnlockROI[[#This Row],[Base Earnings]]*3600/UnlockROI[[#This Row],[Unlock Planet Amount]],""),
   "")</f>
        <v/>
      </c>
      <c r="F50" s="47" t="str">
        <f>IF(AND(UnlockROI[[#This Row],[Unlocked]]=0,UnlockROI[[#This Row],[Possible to Unlock]]=1),
   IFERROR(UnlockROI[[#This Row],[Unlock Planet Amount]]/UnlockROI[[#This Row],[Base Earnings]],""),
   "")</f>
        <v/>
      </c>
      <c r="G50" s="34">
        <f>IF(UnlockROI[[#This Row],[Unlocked]]=1,"",_xlfn.XLOOKUP(UnlockROI[[#This Row],[Planet '#]],tblPlanets[Planet '#],tblPlanets[Unlock Price]))</f>
        <v>1.5E+18</v>
      </c>
      <c r="H50" s="43">
        <f>IF(UnlockROI[[#This Row],[Unlocked]]=0,0.25,"")</f>
        <v>0.25</v>
      </c>
      <c r="I50" s="43">
        <f>IF(UnlockROI[[#This Row],[Unlocked]]=0,1,"")</f>
        <v>1</v>
      </c>
      <c r="J50" s="25">
        <f>IF(UnlockROI[[#This Row],[Unlocked]]=0,5,"")</f>
        <v>5</v>
      </c>
      <c r="K50" s="28">
        <f>_xlfn.XLOOKUP(UnlockROI[[#This Row],[Planet '#]],tblprogress[Planet '#],tblprogress[Planets Distance])</f>
        <v>13.75</v>
      </c>
      <c r="L50" s="41">
        <f>0.1*UnlockROI[[#This Row],[Distance]]</f>
        <v>1.375</v>
      </c>
      <c r="M50" s="47">
        <f>IF(UnlockROI[[#This Row],[Unlocked]]=1,"",IF(UnlockROI[[#This Row],[Base Efficiency]]&lt;1,15,0.25/UnlockROI[[#This Row],[Base Efficiency]]))</f>
        <v>0.18181818181818182</v>
      </c>
      <c r="N50" s="34">
        <f>_xlfn.XLOOKUP(UnlockROI[[#This Row],[Planet '#]],tblplanetvalue[Planet '#],tblplanetvalue[Total Worth])</f>
        <v>880000</v>
      </c>
      <c r="O50" s="35">
        <f>IF(OR(UnlockROI[[#This Row],[Deposit]]="",UnlockROI[[#This Row],[Planet Worth]]=""),"",UnlockROI[[#This Row],[Deposit]]*UnlockROI[[#This Row],[Planet Worth]])</f>
        <v>160000</v>
      </c>
      <c r="P50" s="14" t="str">
        <f>IF(
   _xlfn.XLOOKUP(UnlockROI[[#This Row],[Planet '#]], tblPlanets[Planet '#], tblPlanets[Name])=UnlockROI[[#This Row],[Name]],
   "Match",
   "Mismatch"
)</f>
        <v>Match</v>
      </c>
    </row>
    <row r="51" spans="1:16" x14ac:dyDescent="0.3">
      <c r="A51" s="25">
        <v>50</v>
      </c>
      <c r="B51" s="25" t="str">
        <f>_xlfn.XLOOKUP(tblprogress[[#This Row],[Planet '#]],tblPlanets[Planet '#],tblPlanets[Name])</f>
        <v>Vesna</v>
      </c>
      <c r="C51" s="54">
        <f>_xlfn.XLOOKUP(UnlockROI[[#This Row],[Planet '#]],tblprogress[Planet '#],tblprogress[Unlocked])</f>
        <v>0</v>
      </c>
      <c r="D51" s="54">
        <f>_xlfn.XLOOKUP(UnlockROI[[#This Row],[Planet '#]],tblprogress[Planet '#],tblprogress[Possible to Unlock])</f>
        <v>0</v>
      </c>
      <c r="E51" s="47" t="str">
        <f>IF(AND(UnlockROI[[#This Row],[Unlocked]]=0,UnlockROI[[#This Row],[Possible to Unlock]]=1),
   IFERROR(UnlockROI[[#This Row],[Base Earnings]]*3600/UnlockROI[[#This Row],[Unlock Planet Amount]],""),
   "")</f>
        <v/>
      </c>
      <c r="F51" s="47" t="str">
        <f>IF(AND(UnlockROI[[#This Row],[Unlocked]]=0,UnlockROI[[#This Row],[Possible to Unlock]]=1),
   IFERROR(UnlockROI[[#This Row],[Unlock Planet Amount]]/UnlockROI[[#This Row],[Base Earnings]],""),
   "")</f>
        <v/>
      </c>
      <c r="G51" s="34">
        <f>IF(UnlockROI[[#This Row],[Unlocked]]=1,"",_xlfn.XLOOKUP(UnlockROI[[#This Row],[Planet '#]],tblPlanets[Planet '#],tblPlanets[Unlock Price]))</f>
        <v>3.8E+18</v>
      </c>
      <c r="H51" s="43">
        <f>IF(UnlockROI[[#This Row],[Unlocked]]=0,0.25,"")</f>
        <v>0.25</v>
      </c>
      <c r="I51" s="43">
        <f>IF(UnlockROI[[#This Row],[Unlocked]]=0,1,"")</f>
        <v>1</v>
      </c>
      <c r="J51" s="25">
        <f>IF(UnlockROI[[#This Row],[Unlocked]]=0,5,"")</f>
        <v>5</v>
      </c>
      <c r="K51" s="28">
        <f>_xlfn.XLOOKUP(UnlockROI[[#This Row],[Planet '#]],tblprogress[Planet '#],tblprogress[Planets Distance])</f>
        <v>13.9</v>
      </c>
      <c r="L51" s="41">
        <f>0.1*UnlockROI[[#This Row],[Distance]]</f>
        <v>1.3900000000000001</v>
      </c>
      <c r="M51" s="47">
        <f>IF(UnlockROI[[#This Row],[Unlocked]]=1,"",IF(UnlockROI[[#This Row],[Base Efficiency]]&lt;1,15,0.25/UnlockROI[[#This Row],[Base Efficiency]]))</f>
        <v>0.17985611510791366</v>
      </c>
      <c r="N51" s="34">
        <f>_xlfn.XLOOKUP(UnlockROI[[#This Row],[Planet '#]],tblplanetvalue[Planet '#],tblplanetvalue[Total Worth])</f>
        <v>836000</v>
      </c>
      <c r="O51" s="35">
        <f>IF(OR(UnlockROI[[#This Row],[Deposit]]="",UnlockROI[[#This Row],[Planet Worth]]=""),"",UnlockROI[[#This Row],[Deposit]]*UnlockROI[[#This Row],[Planet Worth]])</f>
        <v>150359.71223021581</v>
      </c>
      <c r="P51" s="14" t="str">
        <f>IF(
   _xlfn.XLOOKUP(UnlockROI[[#This Row],[Planet '#]], tblPlanets[Planet '#], tblPlanets[Name])=UnlockROI[[#This Row],[Name]],
   "Match",
   "Mismatch"
)</f>
        <v>Match</v>
      </c>
    </row>
    <row r="52" spans="1:16" x14ac:dyDescent="0.3">
      <c r="A52" s="24">
        <v>51</v>
      </c>
      <c r="B52" s="24" t="str">
        <f>_xlfn.XLOOKUP(tblprogress[[#This Row],[Planet '#]],tblPlanets[Planet '#],tblPlanets[Name])</f>
        <v>Chandra</v>
      </c>
      <c r="C52" s="54">
        <f>_xlfn.XLOOKUP(UnlockROI[[#This Row],[Planet '#]],tblprogress[Planet '#],tblprogress[Unlocked])</f>
        <v>0</v>
      </c>
      <c r="D52" s="54">
        <f>_xlfn.XLOOKUP(UnlockROI[[#This Row],[Planet '#]],tblprogress[Planet '#],tblprogress[Possible to Unlock])</f>
        <v>0</v>
      </c>
      <c r="E52" s="47" t="str">
        <f>IF(AND(UnlockROI[[#This Row],[Unlocked]]=0,UnlockROI[[#This Row],[Possible to Unlock]]=1),
   IFERROR(UnlockROI[[#This Row],[Base Earnings]]*3600/UnlockROI[[#This Row],[Unlock Planet Amount]],""),
   "")</f>
        <v/>
      </c>
      <c r="F52" s="47" t="str">
        <f>IF(AND(UnlockROI[[#This Row],[Unlocked]]=0,UnlockROI[[#This Row],[Possible to Unlock]]=1),
   IFERROR(UnlockROI[[#This Row],[Unlock Planet Amount]]/UnlockROI[[#This Row],[Base Earnings]],""),
   "")</f>
        <v/>
      </c>
      <c r="G52" s="34">
        <f>IF(UnlockROI[[#This Row],[Unlocked]]=1,"",_xlfn.XLOOKUP(UnlockROI[[#This Row],[Planet '#]],tblPlanets[Planet '#],tblPlanets[Unlock Price]))</f>
        <v>1E+19</v>
      </c>
      <c r="H52" s="43">
        <f>IF(UnlockROI[[#This Row],[Unlocked]]=0,0.25,"")</f>
        <v>0.25</v>
      </c>
      <c r="I52" s="43">
        <f>IF(UnlockROI[[#This Row],[Unlocked]]=0,1,"")</f>
        <v>1</v>
      </c>
      <c r="J52" s="25">
        <f>IF(UnlockROI[[#This Row],[Unlocked]]=0,5,"")</f>
        <v>5</v>
      </c>
      <c r="K52" s="28">
        <f>_xlfn.XLOOKUP(UnlockROI[[#This Row],[Planet '#]],tblprogress[Planet '#],tblprogress[Planets Distance])</f>
        <v>14.05</v>
      </c>
      <c r="L52" s="41">
        <f>0.1*UnlockROI[[#This Row],[Distance]]</f>
        <v>1.4050000000000002</v>
      </c>
      <c r="M52" s="47">
        <f>IF(UnlockROI[[#This Row],[Unlocked]]=1,"",IF(UnlockROI[[#This Row],[Base Efficiency]]&lt;1,15,0.25/UnlockROI[[#This Row],[Base Efficiency]]))</f>
        <v>0.1779359430604982</v>
      </c>
      <c r="N52" s="34">
        <f>_xlfn.XLOOKUP(UnlockROI[[#This Row],[Planet '#]],tblplanetvalue[Planet '#],tblplanetvalue[Total Worth])</f>
        <v>1250000</v>
      </c>
      <c r="O52" s="35">
        <f>IF(OR(UnlockROI[[#This Row],[Deposit]]="",UnlockROI[[#This Row],[Planet Worth]]=""),"",UnlockROI[[#This Row],[Deposit]]*UnlockROI[[#This Row],[Planet Worth]])</f>
        <v>222419.92882562274</v>
      </c>
      <c r="P52" s="14" t="str">
        <f>IF(
   _xlfn.XLOOKUP(UnlockROI[[#This Row],[Planet '#]], tblPlanets[Planet '#], tblPlanets[Name])=UnlockROI[[#This Row],[Name]],
   "Match",
   "Mismatch"
)</f>
        <v>Match</v>
      </c>
    </row>
    <row r="53" spans="1:16" x14ac:dyDescent="0.3">
      <c r="A53" s="25">
        <v>52</v>
      </c>
      <c r="B53" s="25" t="str">
        <f>_xlfn.XLOOKUP(tblprogress[[#This Row],[Planet '#]],tblPlanets[Planet '#],tblPlanets[Name])</f>
        <v>Vega</v>
      </c>
      <c r="C53" s="54">
        <f>_xlfn.XLOOKUP(UnlockROI[[#This Row],[Planet '#]],tblprogress[Planet '#],tblprogress[Unlocked])</f>
        <v>0</v>
      </c>
      <c r="D53" s="54">
        <f>_xlfn.XLOOKUP(UnlockROI[[#This Row],[Planet '#]],tblprogress[Planet '#],tblprogress[Possible to Unlock])</f>
        <v>0</v>
      </c>
      <c r="E53" s="47" t="str">
        <f>IF(AND(UnlockROI[[#This Row],[Unlocked]]=0,UnlockROI[[#This Row],[Possible to Unlock]]=1),
   IFERROR(UnlockROI[[#This Row],[Base Earnings]]*3600/UnlockROI[[#This Row],[Unlock Planet Amount]],""),
   "")</f>
        <v/>
      </c>
      <c r="F53" s="47" t="str">
        <f>IF(AND(UnlockROI[[#This Row],[Unlocked]]=0,UnlockROI[[#This Row],[Possible to Unlock]]=1),
   IFERROR(UnlockROI[[#This Row],[Unlock Planet Amount]]/UnlockROI[[#This Row],[Base Earnings]],""),
   "")</f>
        <v/>
      </c>
      <c r="G53" s="34">
        <f>IF(UnlockROI[[#This Row],[Unlocked]]=1,"",_xlfn.XLOOKUP(UnlockROI[[#This Row],[Planet '#]],tblPlanets[Planet '#],tblPlanets[Unlock Price]))</f>
        <v>2.5E+19</v>
      </c>
      <c r="H53" s="43">
        <f>IF(UnlockROI[[#This Row],[Unlocked]]=0,0.25,"")</f>
        <v>0.25</v>
      </c>
      <c r="I53" s="43">
        <f>IF(UnlockROI[[#This Row],[Unlocked]]=0,1,"")</f>
        <v>1</v>
      </c>
      <c r="J53" s="25">
        <f>IF(UnlockROI[[#This Row],[Unlocked]]=0,5,"")</f>
        <v>5</v>
      </c>
      <c r="K53" s="28">
        <f>_xlfn.XLOOKUP(UnlockROI[[#This Row],[Planet '#]],tblprogress[Planet '#],tblprogress[Planets Distance])</f>
        <v>14.2</v>
      </c>
      <c r="L53" s="41">
        <f>0.1*UnlockROI[[#This Row],[Distance]]</f>
        <v>1.42</v>
      </c>
      <c r="M53" s="47">
        <f>IF(UnlockROI[[#This Row],[Unlocked]]=1,"",IF(UnlockROI[[#This Row],[Base Efficiency]]&lt;1,15,0.25/UnlockROI[[#This Row],[Base Efficiency]]))</f>
        <v>0.17605633802816903</v>
      </c>
      <c r="N53" s="34">
        <f>_xlfn.XLOOKUP(UnlockROI[[#This Row],[Planet '#]],tblplanetvalue[Planet '#],tblplanetvalue[Total Worth])</f>
        <v>1516750</v>
      </c>
      <c r="O53" s="35">
        <f>IF(OR(UnlockROI[[#This Row],[Deposit]]="",UnlockROI[[#This Row],[Planet Worth]]=""),"",UnlockROI[[#This Row],[Deposit]]*UnlockROI[[#This Row],[Planet Worth]])</f>
        <v>267033.4507042254</v>
      </c>
      <c r="P53" s="14" t="str">
        <f>IF(
   _xlfn.XLOOKUP(UnlockROI[[#This Row],[Planet '#]], tblPlanets[Planet '#], tblPlanets[Name])=UnlockROI[[#This Row],[Name]],
   "Match",
   "Mismatch"
)</f>
        <v>Match</v>
      </c>
    </row>
    <row r="54" spans="1:16" x14ac:dyDescent="0.3">
      <c r="A54" s="24">
        <v>53</v>
      </c>
      <c r="B54" s="24" t="str">
        <f>_xlfn.XLOOKUP(tblprogress[[#This Row],[Planet '#]],tblPlanets[Planet '#],tblPlanets[Name])</f>
        <v>Crius</v>
      </c>
      <c r="C54" s="54">
        <f>_xlfn.XLOOKUP(UnlockROI[[#This Row],[Planet '#]],tblprogress[Planet '#],tblprogress[Unlocked])</f>
        <v>0</v>
      </c>
      <c r="D54" s="54">
        <f>_xlfn.XLOOKUP(UnlockROI[[#This Row],[Planet '#]],tblprogress[Planet '#],tblprogress[Possible to Unlock])</f>
        <v>0</v>
      </c>
      <c r="E54" s="47" t="str">
        <f>IF(AND(UnlockROI[[#This Row],[Unlocked]]=0,UnlockROI[[#This Row],[Possible to Unlock]]=1),
   IFERROR(UnlockROI[[#This Row],[Base Earnings]]*3600/UnlockROI[[#This Row],[Unlock Planet Amount]],""),
   "")</f>
        <v/>
      </c>
      <c r="F54" s="47" t="str">
        <f>IF(AND(UnlockROI[[#This Row],[Unlocked]]=0,UnlockROI[[#This Row],[Possible to Unlock]]=1),
   IFERROR(UnlockROI[[#This Row],[Unlock Planet Amount]]/UnlockROI[[#This Row],[Base Earnings]],""),
   "")</f>
        <v/>
      </c>
      <c r="G54" s="34">
        <f>IF(UnlockROI[[#This Row],[Unlocked]]=1,"",_xlfn.XLOOKUP(UnlockROI[[#This Row],[Planet '#]],tblPlanets[Planet '#],tblPlanets[Unlock Price]))</f>
        <v>6E+19</v>
      </c>
      <c r="H54" s="43">
        <f>IF(UnlockROI[[#This Row],[Unlocked]]=0,0.25,"")</f>
        <v>0.25</v>
      </c>
      <c r="I54" s="43">
        <f>IF(UnlockROI[[#This Row],[Unlocked]]=0,1,"")</f>
        <v>1</v>
      </c>
      <c r="J54" s="25">
        <f>IF(UnlockROI[[#This Row],[Unlocked]]=0,5,"")</f>
        <v>5</v>
      </c>
      <c r="K54" s="28">
        <f>_xlfn.XLOOKUP(UnlockROI[[#This Row],[Planet '#]],tblprogress[Planet '#],tblprogress[Planets Distance])</f>
        <v>14.35</v>
      </c>
      <c r="L54" s="41">
        <f>0.1*UnlockROI[[#This Row],[Distance]]</f>
        <v>1.4350000000000001</v>
      </c>
      <c r="M54" s="47">
        <f>IF(UnlockROI[[#This Row],[Unlocked]]=1,"",IF(UnlockROI[[#This Row],[Base Efficiency]]&lt;1,15,0.25/UnlockROI[[#This Row],[Base Efficiency]]))</f>
        <v>0.17421602787456444</v>
      </c>
      <c r="N54" s="34">
        <f>_xlfn.XLOOKUP(UnlockROI[[#This Row],[Planet '#]],tblplanetvalue[Planet '#],tblplanetvalue[Total Worth])</f>
        <v>1707500</v>
      </c>
      <c r="O54" s="35">
        <f>IF(OR(UnlockROI[[#This Row],[Deposit]]="",UnlockROI[[#This Row],[Planet Worth]]=""),"",UnlockROI[[#This Row],[Deposit]]*UnlockROI[[#This Row],[Planet Worth]])</f>
        <v>297473.86759581877</v>
      </c>
      <c r="P54" s="14" t="str">
        <f>IF(
   _xlfn.XLOOKUP(UnlockROI[[#This Row],[Planet '#]], tblPlanets[Planet '#], tblPlanets[Name])=UnlockROI[[#This Row],[Name]],
   "Match",
   "Mismatch"
)</f>
        <v>Match</v>
      </c>
    </row>
    <row r="55" spans="1:16" x14ac:dyDescent="0.3">
      <c r="A55" s="25">
        <v>54</v>
      </c>
      <c r="B55" s="25" t="str">
        <f>_xlfn.XLOOKUP(tblprogress[[#This Row],[Planet '#]],tblPlanets[Planet '#],tblPlanets[Name])</f>
        <v>Singhana</v>
      </c>
      <c r="C55" s="54">
        <f>_xlfn.XLOOKUP(UnlockROI[[#This Row],[Planet '#]],tblprogress[Planet '#],tblprogress[Unlocked])</f>
        <v>0</v>
      </c>
      <c r="D55" s="54">
        <f>_xlfn.XLOOKUP(UnlockROI[[#This Row],[Planet '#]],tblprogress[Planet '#],tblprogress[Possible to Unlock])</f>
        <v>0</v>
      </c>
      <c r="E55" s="47" t="str">
        <f>IF(AND(UnlockROI[[#This Row],[Unlocked]]=0,UnlockROI[[#This Row],[Possible to Unlock]]=1),
   IFERROR(UnlockROI[[#This Row],[Base Earnings]]*3600/UnlockROI[[#This Row],[Unlock Planet Amount]],""),
   "")</f>
        <v/>
      </c>
      <c r="F55" s="47" t="str">
        <f>IF(AND(UnlockROI[[#This Row],[Unlocked]]=0,UnlockROI[[#This Row],[Possible to Unlock]]=1),
   IFERROR(UnlockROI[[#This Row],[Unlock Planet Amount]]/UnlockROI[[#This Row],[Base Earnings]],""),
   "")</f>
        <v/>
      </c>
      <c r="G55" s="34">
        <f>IF(UnlockROI[[#This Row],[Unlocked]]=1,"",_xlfn.XLOOKUP(UnlockROI[[#This Row],[Planet '#]],tblPlanets[Planet '#],tblPlanets[Unlock Price]))</f>
        <v>1.5E+20</v>
      </c>
      <c r="H55" s="43">
        <f>IF(UnlockROI[[#This Row],[Unlocked]]=0,0.25,"")</f>
        <v>0.25</v>
      </c>
      <c r="I55" s="43">
        <f>IF(UnlockROI[[#This Row],[Unlocked]]=0,1,"")</f>
        <v>1</v>
      </c>
      <c r="J55" s="25">
        <f>IF(UnlockROI[[#This Row],[Unlocked]]=0,5,"")</f>
        <v>5</v>
      </c>
      <c r="K55" s="28">
        <f>_xlfn.XLOOKUP(UnlockROI[[#This Row],[Planet '#]],tblprogress[Planet '#],tblprogress[Planets Distance])</f>
        <v>14.5</v>
      </c>
      <c r="L55" s="41">
        <f>0.1*UnlockROI[[#This Row],[Distance]]</f>
        <v>1.4500000000000002</v>
      </c>
      <c r="M55" s="47">
        <f>IF(UnlockROI[[#This Row],[Unlocked]]=1,"",IF(UnlockROI[[#This Row],[Base Efficiency]]&lt;1,15,0.25/UnlockROI[[#This Row],[Base Efficiency]]))</f>
        <v>0.17241379310344826</v>
      </c>
      <c r="N55" s="34">
        <f>_xlfn.XLOOKUP(UnlockROI[[#This Row],[Planet '#]],tblplanetvalue[Planet '#],tblplanetvalue[Total Worth])</f>
        <v>3200000</v>
      </c>
      <c r="O55" s="35">
        <f>IF(OR(UnlockROI[[#This Row],[Deposit]]="",UnlockROI[[#This Row],[Planet Worth]]=""),"",UnlockROI[[#This Row],[Deposit]]*UnlockROI[[#This Row],[Planet Worth]])</f>
        <v>551724.13793103443</v>
      </c>
      <c r="P55" s="14" t="str">
        <f>IF(
   _xlfn.XLOOKUP(UnlockROI[[#This Row],[Planet '#]], tblPlanets[Planet '#], tblPlanets[Name])=UnlockROI[[#This Row],[Name]],
   "Match",
   "Mismatch"
)</f>
        <v>Match</v>
      </c>
    </row>
    <row r="56" spans="1:16" x14ac:dyDescent="0.3">
      <c r="A56" s="24">
        <v>55</v>
      </c>
      <c r="B56" s="24" t="str">
        <f>_xlfn.XLOOKUP(tblprogress[[#This Row],[Planet '#]],tblPlanets[Planet '#],tblPlanets[Name])</f>
        <v>Zumbia</v>
      </c>
      <c r="C56" s="54">
        <f>_xlfn.XLOOKUP(UnlockROI[[#This Row],[Planet '#]],tblprogress[Planet '#],tblprogress[Unlocked])</f>
        <v>0</v>
      </c>
      <c r="D56" s="54">
        <f>_xlfn.XLOOKUP(UnlockROI[[#This Row],[Planet '#]],tblprogress[Planet '#],tblprogress[Possible to Unlock])</f>
        <v>0</v>
      </c>
      <c r="E56" s="47" t="str">
        <f>IF(AND(UnlockROI[[#This Row],[Unlocked]]=0,UnlockROI[[#This Row],[Possible to Unlock]]=1),
   IFERROR(UnlockROI[[#This Row],[Base Earnings]]*3600/UnlockROI[[#This Row],[Unlock Planet Amount]],""),
   "")</f>
        <v/>
      </c>
      <c r="F56" s="47" t="str">
        <f>IF(AND(UnlockROI[[#This Row],[Unlocked]]=0,UnlockROI[[#This Row],[Possible to Unlock]]=1),
   IFERROR(UnlockROI[[#This Row],[Unlock Planet Amount]]/UnlockROI[[#This Row],[Base Earnings]],""),
   "")</f>
        <v/>
      </c>
      <c r="G56" s="34">
        <f>IF(UnlockROI[[#This Row],[Unlocked]]=1,"",_xlfn.XLOOKUP(UnlockROI[[#This Row],[Planet '#]],tblPlanets[Planet '#],tblPlanets[Unlock Price]))</f>
        <v>3.6E+20</v>
      </c>
      <c r="H56" s="43">
        <f>IF(UnlockROI[[#This Row],[Unlocked]]=0,0.25,"")</f>
        <v>0.25</v>
      </c>
      <c r="I56" s="43">
        <f>IF(UnlockROI[[#This Row],[Unlocked]]=0,1,"")</f>
        <v>1</v>
      </c>
      <c r="J56" s="25">
        <f>IF(UnlockROI[[#This Row],[Unlocked]]=0,5,"")</f>
        <v>5</v>
      </c>
      <c r="K56" s="28">
        <f>_xlfn.XLOOKUP(UnlockROI[[#This Row],[Planet '#]],tblprogress[Planet '#],tblprogress[Planets Distance])</f>
        <v>14.65</v>
      </c>
      <c r="L56" s="41">
        <f>0.1*UnlockROI[[#This Row],[Distance]]</f>
        <v>1.4650000000000001</v>
      </c>
      <c r="M56" s="47">
        <f>IF(UnlockROI[[#This Row],[Unlocked]]=1,"",IF(UnlockROI[[#This Row],[Base Efficiency]]&lt;1,15,0.25/UnlockROI[[#This Row],[Base Efficiency]]))</f>
        <v>0.17064846416382251</v>
      </c>
      <c r="N56" s="34">
        <f>_xlfn.XLOOKUP(UnlockROI[[#This Row],[Planet '#]],tblplanetvalue[Planet '#],tblplanetvalue[Total Worth])</f>
        <v>3390000</v>
      </c>
      <c r="O56" s="35">
        <f>IF(OR(UnlockROI[[#This Row],[Deposit]]="",UnlockROI[[#This Row],[Planet Worth]]=""),"",UnlockROI[[#This Row],[Deposit]]*UnlockROI[[#This Row],[Planet Worth]])</f>
        <v>578498.29351535835</v>
      </c>
      <c r="P56" s="14" t="str">
        <f>IF(
   _xlfn.XLOOKUP(UnlockROI[[#This Row],[Planet '#]], tblPlanets[Planet '#], tblPlanets[Name])=UnlockROI[[#This Row],[Name]],
   "Match",
   "Mismatch"
)</f>
        <v>Match</v>
      </c>
    </row>
    <row r="57" spans="1:16" x14ac:dyDescent="0.3">
      <c r="A57" s="25">
        <v>56</v>
      </c>
      <c r="B57" s="25" t="str">
        <f>_xlfn.XLOOKUP(tblprogress[[#This Row],[Planet '#]],tblPlanets[Planet '#],tblPlanets[Name])</f>
        <v>Elysium</v>
      </c>
      <c r="C57" s="54">
        <f>_xlfn.XLOOKUP(UnlockROI[[#This Row],[Planet '#]],tblprogress[Planet '#],tblprogress[Unlocked])</f>
        <v>0</v>
      </c>
      <c r="D57" s="54">
        <f>_xlfn.XLOOKUP(UnlockROI[[#This Row],[Planet '#]],tblprogress[Planet '#],tblprogress[Possible to Unlock])</f>
        <v>0</v>
      </c>
      <c r="E57" s="47" t="str">
        <f>IF(AND(UnlockROI[[#This Row],[Unlocked]]=0,UnlockROI[[#This Row],[Possible to Unlock]]=1),
   IFERROR(UnlockROI[[#This Row],[Base Earnings]]*3600/UnlockROI[[#This Row],[Unlock Planet Amount]],""),
   "")</f>
        <v/>
      </c>
      <c r="F57" s="47" t="str">
        <f>IF(AND(UnlockROI[[#This Row],[Unlocked]]=0,UnlockROI[[#This Row],[Possible to Unlock]]=1),
   IFERROR(UnlockROI[[#This Row],[Unlock Planet Amount]]/UnlockROI[[#This Row],[Base Earnings]],""),
   "")</f>
        <v/>
      </c>
      <c r="G57" s="34">
        <f>IF(UnlockROI[[#This Row],[Unlocked]]=1,"",_xlfn.XLOOKUP(UnlockROI[[#This Row],[Planet '#]],tblPlanets[Planet '#],tblPlanets[Unlock Price]))</f>
        <v>9E+20</v>
      </c>
      <c r="H57" s="43">
        <f>IF(UnlockROI[[#This Row],[Unlocked]]=0,0.25,"")</f>
        <v>0.25</v>
      </c>
      <c r="I57" s="43">
        <f>IF(UnlockROI[[#This Row],[Unlocked]]=0,1,"")</f>
        <v>1</v>
      </c>
      <c r="J57" s="25">
        <f>IF(UnlockROI[[#This Row],[Unlocked]]=0,5,"")</f>
        <v>5</v>
      </c>
      <c r="K57" s="28">
        <f>_xlfn.XLOOKUP(UnlockROI[[#This Row],[Planet '#]],tblprogress[Planet '#],tblprogress[Planets Distance])</f>
        <v>14.8</v>
      </c>
      <c r="L57" s="41">
        <f>0.1*UnlockROI[[#This Row],[Distance]]</f>
        <v>1.4800000000000002</v>
      </c>
      <c r="M57" s="47">
        <f>IF(UnlockROI[[#This Row],[Unlocked]]=1,"",IF(UnlockROI[[#This Row],[Base Efficiency]]&lt;1,15,0.25/UnlockROI[[#This Row],[Base Efficiency]]))</f>
        <v>0.16891891891891889</v>
      </c>
      <c r="N57" s="34">
        <f>_xlfn.XLOOKUP(UnlockROI[[#This Row],[Planet '#]],tblplanetvalue[Planet '#],tblplanetvalue[Total Worth])</f>
        <v>5604000</v>
      </c>
      <c r="O57" s="35">
        <f>IF(OR(UnlockROI[[#This Row],[Deposit]]="",UnlockROI[[#This Row],[Planet Worth]]=""),"",UnlockROI[[#This Row],[Deposit]]*UnlockROI[[#This Row],[Planet Worth]])</f>
        <v>946621.62162162142</v>
      </c>
      <c r="P57" s="14" t="str">
        <f>IF(
   _xlfn.XLOOKUP(UnlockROI[[#This Row],[Planet '#]], tblPlanets[Planet '#], tblPlanets[Name])=UnlockROI[[#This Row],[Name]],
   "Match",
   "Mismatch"
)</f>
        <v>Match</v>
      </c>
    </row>
    <row r="58" spans="1:16" x14ac:dyDescent="0.3">
      <c r="A58" s="24">
        <v>57</v>
      </c>
      <c r="B58" s="24" t="str">
        <f>_xlfn.XLOOKUP(tblprogress[[#This Row],[Planet '#]],tblPlanets[Planet '#],tblPlanets[Name])</f>
        <v>Nyota</v>
      </c>
      <c r="C58" s="54">
        <f>_xlfn.XLOOKUP(UnlockROI[[#This Row],[Planet '#]],tblprogress[Planet '#],tblprogress[Unlocked])</f>
        <v>0</v>
      </c>
      <c r="D58" s="54">
        <f>_xlfn.XLOOKUP(UnlockROI[[#This Row],[Planet '#]],tblprogress[Planet '#],tblprogress[Possible to Unlock])</f>
        <v>0</v>
      </c>
      <c r="E58" s="47" t="str">
        <f>IF(AND(UnlockROI[[#This Row],[Unlocked]]=0,UnlockROI[[#This Row],[Possible to Unlock]]=1),
   IFERROR(UnlockROI[[#This Row],[Base Earnings]]*3600/UnlockROI[[#This Row],[Unlock Planet Amount]],""),
   "")</f>
        <v/>
      </c>
      <c r="F58" s="47" t="str">
        <f>IF(AND(UnlockROI[[#This Row],[Unlocked]]=0,UnlockROI[[#This Row],[Possible to Unlock]]=1),
   IFERROR(UnlockROI[[#This Row],[Unlock Planet Amount]]/UnlockROI[[#This Row],[Base Earnings]],""),
   "")</f>
        <v/>
      </c>
      <c r="G58" s="34">
        <f>IF(UnlockROI[[#This Row],[Unlocked]]=1,"",_xlfn.XLOOKUP(UnlockROI[[#This Row],[Planet '#]],tblPlanets[Planet '#],tblPlanets[Unlock Price]))</f>
        <v>2.6E+21</v>
      </c>
      <c r="H58" s="43">
        <f>IF(UnlockROI[[#This Row],[Unlocked]]=0,0.25,"")</f>
        <v>0.25</v>
      </c>
      <c r="I58" s="43">
        <f>IF(UnlockROI[[#This Row],[Unlocked]]=0,1,"")</f>
        <v>1</v>
      </c>
      <c r="J58" s="25">
        <f>IF(UnlockROI[[#This Row],[Unlocked]]=0,5,"")</f>
        <v>5</v>
      </c>
      <c r="K58" s="28">
        <f>_xlfn.XLOOKUP(UnlockROI[[#This Row],[Planet '#]],tblprogress[Planet '#],tblprogress[Planets Distance])</f>
        <v>14.95</v>
      </c>
      <c r="L58" s="41">
        <f>0.1*UnlockROI[[#This Row],[Distance]]</f>
        <v>1.4950000000000001</v>
      </c>
      <c r="M58" s="47">
        <f>IF(UnlockROI[[#This Row],[Unlocked]]=1,"",IF(UnlockROI[[#This Row],[Base Efficiency]]&lt;1,15,0.25/UnlockROI[[#This Row],[Base Efficiency]]))</f>
        <v>0.16722408026755853</v>
      </c>
      <c r="N58" s="34">
        <f>_xlfn.XLOOKUP(UnlockROI[[#This Row],[Planet '#]],tblplanetvalue[Planet '#],tblplanetvalue[Total Worth])</f>
        <v>9000000</v>
      </c>
      <c r="O58" s="35">
        <f>IF(OR(UnlockROI[[#This Row],[Deposit]]="",UnlockROI[[#This Row],[Planet Worth]]=""),"",UnlockROI[[#This Row],[Deposit]]*UnlockROI[[#This Row],[Planet Worth]])</f>
        <v>1505016.7224080267</v>
      </c>
      <c r="P58" s="14" t="str">
        <f>IF(
   _xlfn.XLOOKUP(UnlockROI[[#This Row],[Planet '#]], tblPlanets[Planet '#], tblPlanets[Name])=UnlockROI[[#This Row],[Name]],
   "Match",
   "Mismatch"
)</f>
        <v>Match</v>
      </c>
    </row>
    <row r="59" spans="1:16" x14ac:dyDescent="0.3">
      <c r="A59" s="25">
        <v>58</v>
      </c>
      <c r="B59" s="25" t="str">
        <f>_xlfn.XLOOKUP(tblprogress[[#This Row],[Planet '#]],tblPlanets[Planet '#],tblPlanets[Name])</f>
        <v>Doral</v>
      </c>
      <c r="C59" s="54">
        <f>_xlfn.XLOOKUP(UnlockROI[[#This Row],[Planet '#]],tblprogress[Planet '#],tblprogress[Unlocked])</f>
        <v>0</v>
      </c>
      <c r="D59" s="54">
        <f>_xlfn.XLOOKUP(UnlockROI[[#This Row],[Planet '#]],tblprogress[Planet '#],tblprogress[Possible to Unlock])</f>
        <v>0</v>
      </c>
      <c r="E59" s="47" t="str">
        <f>IF(AND(UnlockROI[[#This Row],[Unlocked]]=0,UnlockROI[[#This Row],[Possible to Unlock]]=1),
   IFERROR(UnlockROI[[#This Row],[Base Earnings]]*3600/UnlockROI[[#This Row],[Unlock Planet Amount]],""),
   "")</f>
        <v/>
      </c>
      <c r="F59" s="47" t="str">
        <f>IF(AND(UnlockROI[[#This Row],[Unlocked]]=0,UnlockROI[[#This Row],[Possible to Unlock]]=1),
   IFERROR(UnlockROI[[#This Row],[Unlock Planet Amount]]/UnlockROI[[#This Row],[Base Earnings]],""),
   "")</f>
        <v/>
      </c>
      <c r="G59" s="34">
        <f>IF(UnlockROI[[#This Row],[Unlocked]]=1,"",_xlfn.XLOOKUP(UnlockROI[[#This Row],[Planet '#]],tblPlanets[Planet '#],tblPlanets[Unlock Price]))</f>
        <v>7.5E+21</v>
      </c>
      <c r="H59" s="43">
        <f>IF(UnlockROI[[#This Row],[Unlocked]]=0,0.25,"")</f>
        <v>0.25</v>
      </c>
      <c r="I59" s="43">
        <f>IF(UnlockROI[[#This Row],[Unlocked]]=0,1,"")</f>
        <v>1</v>
      </c>
      <c r="J59" s="25">
        <f>IF(UnlockROI[[#This Row],[Unlocked]]=0,5,"")</f>
        <v>5</v>
      </c>
      <c r="K59" s="28">
        <f>_xlfn.XLOOKUP(UnlockROI[[#This Row],[Planet '#]],tblprogress[Planet '#],tblprogress[Planets Distance])</f>
        <v>15.1</v>
      </c>
      <c r="L59" s="41">
        <f>0.1*UnlockROI[[#This Row],[Distance]]</f>
        <v>1.51</v>
      </c>
      <c r="M59" s="47">
        <f>IF(UnlockROI[[#This Row],[Unlocked]]=1,"",IF(UnlockROI[[#This Row],[Base Efficiency]]&lt;1,15,0.25/UnlockROI[[#This Row],[Base Efficiency]]))</f>
        <v>0.16556291390728478</v>
      </c>
      <c r="N59" s="34">
        <f>_xlfn.XLOOKUP(UnlockROI[[#This Row],[Planet '#]],tblplanetvalue[Planet '#],tblplanetvalue[Total Worth])</f>
        <v>10480000</v>
      </c>
      <c r="O59" s="35">
        <f>IF(OR(UnlockROI[[#This Row],[Deposit]]="",UnlockROI[[#This Row],[Planet Worth]]=""),"",UnlockROI[[#This Row],[Deposit]]*UnlockROI[[#This Row],[Planet Worth]])</f>
        <v>1735099.3377483445</v>
      </c>
      <c r="P59" s="14" t="str">
        <f>IF(
   _xlfn.XLOOKUP(UnlockROI[[#This Row],[Planet '#]], tblPlanets[Planet '#], tblPlanets[Name])=UnlockROI[[#This Row],[Name]],
   "Match",
   "Mismatch"
)</f>
        <v>Match</v>
      </c>
    </row>
    <row r="60" spans="1:16" x14ac:dyDescent="0.3">
      <c r="A60" s="24">
        <v>59</v>
      </c>
      <c r="B60" s="24" t="str">
        <f>_xlfn.XLOOKUP(tblprogress[[#This Row],[Planet '#]],tblPlanets[Planet '#],tblPlanets[Name])</f>
        <v>Nikara</v>
      </c>
      <c r="C60" s="54">
        <f>_xlfn.XLOOKUP(UnlockROI[[#This Row],[Planet '#]],tblprogress[Planet '#],tblprogress[Unlocked])</f>
        <v>0</v>
      </c>
      <c r="D60" s="54">
        <f>_xlfn.XLOOKUP(UnlockROI[[#This Row],[Planet '#]],tblprogress[Planet '#],tblprogress[Possible to Unlock])</f>
        <v>0</v>
      </c>
      <c r="E60" s="47" t="str">
        <f>IF(AND(UnlockROI[[#This Row],[Unlocked]]=0,UnlockROI[[#This Row],[Possible to Unlock]]=1),
   IFERROR(UnlockROI[[#This Row],[Base Earnings]]*3600/UnlockROI[[#This Row],[Unlock Planet Amount]],""),
   "")</f>
        <v/>
      </c>
      <c r="F60" s="47" t="str">
        <f>IF(AND(UnlockROI[[#This Row],[Unlocked]]=0,UnlockROI[[#This Row],[Possible to Unlock]]=1),
   IFERROR(UnlockROI[[#This Row],[Unlock Planet Amount]]/UnlockROI[[#This Row],[Base Earnings]],""),
   "")</f>
        <v/>
      </c>
      <c r="G60" s="34">
        <f>IF(UnlockROI[[#This Row],[Unlocked]]=1,"",_xlfn.XLOOKUP(UnlockROI[[#This Row],[Planet '#]],tblPlanets[Planet '#],tblPlanets[Unlock Price]))</f>
        <v>2.1000000000000002E+22</v>
      </c>
      <c r="H60" s="43">
        <f>IF(UnlockROI[[#This Row],[Unlocked]]=0,0.25,"")</f>
        <v>0.25</v>
      </c>
      <c r="I60" s="43">
        <f>IF(UnlockROI[[#This Row],[Unlocked]]=0,1,"")</f>
        <v>1</v>
      </c>
      <c r="J60" s="25">
        <f>IF(UnlockROI[[#This Row],[Unlocked]]=0,5,"")</f>
        <v>5</v>
      </c>
      <c r="K60" s="28">
        <f>_xlfn.XLOOKUP(UnlockROI[[#This Row],[Planet '#]],tblprogress[Planet '#],tblprogress[Planets Distance])</f>
        <v>15.25</v>
      </c>
      <c r="L60" s="41">
        <f>0.1*UnlockROI[[#This Row],[Distance]]</f>
        <v>1.5250000000000001</v>
      </c>
      <c r="M60" s="47">
        <f>IF(UnlockROI[[#This Row],[Unlocked]]=1,"",IF(UnlockROI[[#This Row],[Base Efficiency]]&lt;1,15,0.25/UnlockROI[[#This Row],[Base Efficiency]]))</f>
        <v>0.16393442622950818</v>
      </c>
      <c r="N60" s="34">
        <f>_xlfn.XLOOKUP(UnlockROI[[#This Row],[Planet '#]],tblplanetvalue[Planet '#],tblplanetvalue[Total Worth])</f>
        <v>19975000</v>
      </c>
      <c r="O60" s="35">
        <f>IF(OR(UnlockROI[[#This Row],[Deposit]]="",UnlockROI[[#This Row],[Planet Worth]]=""),"",UnlockROI[[#This Row],[Deposit]]*UnlockROI[[#This Row],[Planet Worth]])</f>
        <v>3274590.1639344259</v>
      </c>
      <c r="P60" s="14" t="str">
        <f>IF(
   _xlfn.XLOOKUP(UnlockROI[[#This Row],[Planet '#]], tblPlanets[Planet '#], tblPlanets[Name])=UnlockROI[[#This Row],[Name]],
   "Match",
   "Mismatch"
)</f>
        <v>Match</v>
      </c>
    </row>
    <row r="61" spans="1:16" x14ac:dyDescent="0.3">
      <c r="A61" s="25">
        <v>60</v>
      </c>
      <c r="B61" s="25" t="str">
        <f>_xlfn.XLOOKUP(tblprogress[[#This Row],[Planet '#]],tblPlanets[Planet '#],tblPlanets[Name])</f>
        <v>Limbo</v>
      </c>
      <c r="C61" s="54">
        <f>_xlfn.XLOOKUP(UnlockROI[[#This Row],[Planet '#]],tblprogress[Planet '#],tblprogress[Unlocked])</f>
        <v>0</v>
      </c>
      <c r="D61" s="54">
        <f>_xlfn.XLOOKUP(UnlockROI[[#This Row],[Planet '#]],tblprogress[Planet '#],tblprogress[Possible to Unlock])</f>
        <v>0</v>
      </c>
      <c r="E61" s="47" t="str">
        <f>IF(AND(UnlockROI[[#This Row],[Unlocked]]=0,UnlockROI[[#This Row],[Possible to Unlock]]=1),
   IFERROR(UnlockROI[[#This Row],[Base Earnings]]*3600/UnlockROI[[#This Row],[Unlock Planet Amount]],""),
   "")</f>
        <v/>
      </c>
      <c r="F61" s="47" t="str">
        <f>IF(AND(UnlockROI[[#This Row],[Unlocked]]=0,UnlockROI[[#This Row],[Possible to Unlock]]=1),
   IFERROR(UnlockROI[[#This Row],[Unlock Planet Amount]]/UnlockROI[[#This Row],[Base Earnings]],""),
   "")</f>
        <v/>
      </c>
      <c r="G61" s="34">
        <f>IF(UnlockROI[[#This Row],[Unlocked]]=1,"",_xlfn.XLOOKUP(UnlockROI[[#This Row],[Planet '#]],tblPlanets[Planet '#],tblPlanets[Unlock Price]))</f>
        <v>5.9000000000000002E+22</v>
      </c>
      <c r="H61" s="43">
        <f>IF(UnlockROI[[#This Row],[Unlocked]]=0,0.25,"")</f>
        <v>0.25</v>
      </c>
      <c r="I61" s="43">
        <f>IF(UnlockROI[[#This Row],[Unlocked]]=0,1,"")</f>
        <v>1</v>
      </c>
      <c r="J61" s="25">
        <f>IF(UnlockROI[[#This Row],[Unlocked]]=0,5,"")</f>
        <v>5</v>
      </c>
      <c r="K61" s="28">
        <f>_xlfn.XLOOKUP(UnlockROI[[#This Row],[Planet '#]],tblprogress[Planet '#],tblprogress[Planets Distance])</f>
        <v>15.4</v>
      </c>
      <c r="L61" s="41">
        <f>0.1*UnlockROI[[#This Row],[Distance]]</f>
        <v>1.54</v>
      </c>
      <c r="M61" s="47">
        <f>IF(UnlockROI[[#This Row],[Unlocked]]=1,"",IF(UnlockROI[[#This Row],[Base Efficiency]]&lt;1,15,0.25/UnlockROI[[#This Row],[Base Efficiency]]))</f>
        <v>0.16233766233766234</v>
      </c>
      <c r="N61" s="34">
        <f>_xlfn.XLOOKUP(UnlockROI[[#This Row],[Planet '#]],tblplanetvalue[Planet '#],tblplanetvalue[Total Worth])</f>
        <v>28000000</v>
      </c>
      <c r="O61" s="35">
        <f>IF(OR(UnlockROI[[#This Row],[Deposit]]="",UnlockROI[[#This Row],[Planet Worth]]=""),"",UnlockROI[[#This Row],[Deposit]]*UnlockROI[[#This Row],[Planet Worth]])</f>
        <v>4545454.5454545459</v>
      </c>
      <c r="P61" s="14" t="str">
        <f>IF(
   _xlfn.XLOOKUP(UnlockROI[[#This Row],[Planet '#]], tblPlanets[Planet '#], tblPlanets[Name])=UnlockROI[[#This Row],[Name]],
   "Match",
   "Mismatch"
)</f>
        <v>Match</v>
      </c>
    </row>
    <row r="62" spans="1:16" x14ac:dyDescent="0.3">
      <c r="A62" s="24">
        <v>61</v>
      </c>
      <c r="B62" s="24" t="str">
        <f>_xlfn.XLOOKUP(tblprogress[[#This Row],[Planet '#]],tblPlanets[Planet '#],tblPlanets[Name])</f>
        <v>Bob</v>
      </c>
      <c r="C62" s="54">
        <f>_xlfn.XLOOKUP(UnlockROI[[#This Row],[Planet '#]],tblprogress[Planet '#],tblprogress[Unlocked])</f>
        <v>0</v>
      </c>
      <c r="D62" s="54">
        <f>_xlfn.XLOOKUP(UnlockROI[[#This Row],[Planet '#]],tblprogress[Planet '#],tblprogress[Possible to Unlock])</f>
        <v>0</v>
      </c>
      <c r="E62" s="47" t="str">
        <f>IF(AND(UnlockROI[[#This Row],[Unlocked]]=0,UnlockROI[[#This Row],[Possible to Unlock]]=1),
   IFERROR(UnlockROI[[#This Row],[Base Earnings]]*3600/UnlockROI[[#This Row],[Unlock Planet Amount]],""),
   "")</f>
        <v/>
      </c>
      <c r="F62" s="47" t="str">
        <f>IF(AND(UnlockROI[[#This Row],[Unlocked]]=0,UnlockROI[[#This Row],[Possible to Unlock]]=1),
   IFERROR(UnlockROI[[#This Row],[Unlock Planet Amount]]/UnlockROI[[#This Row],[Base Earnings]],""),
   "")</f>
        <v/>
      </c>
      <c r="G62" s="34">
        <f>IF(UnlockROI[[#This Row],[Unlocked]]=1,"",_xlfn.XLOOKUP(UnlockROI[[#This Row],[Planet '#]],tblPlanets[Planet '#],tblPlanets[Unlock Price]))</f>
        <v>1.7E+23</v>
      </c>
      <c r="H62" s="43">
        <f>IF(UnlockROI[[#This Row],[Unlocked]]=0,0.25,"")</f>
        <v>0.25</v>
      </c>
      <c r="I62" s="43">
        <f>IF(UnlockROI[[#This Row],[Unlocked]]=0,1,"")</f>
        <v>1</v>
      </c>
      <c r="J62" s="25">
        <f>IF(UnlockROI[[#This Row],[Unlocked]]=0,5,"")</f>
        <v>5</v>
      </c>
      <c r="K62" s="28">
        <f>_xlfn.XLOOKUP(UnlockROI[[#This Row],[Planet '#]],tblprogress[Planet '#],tblprogress[Planets Distance])</f>
        <v>15.55</v>
      </c>
      <c r="L62" s="41">
        <f>0.1*UnlockROI[[#This Row],[Distance]]</f>
        <v>1.5550000000000002</v>
      </c>
      <c r="M62" s="47">
        <f>IF(UnlockROI[[#This Row],[Unlocked]]=1,"",IF(UnlockROI[[#This Row],[Base Efficiency]]&lt;1,15,0.25/UnlockROI[[#This Row],[Base Efficiency]]))</f>
        <v>0.16077170418006428</v>
      </c>
      <c r="N62" s="34">
        <f>_xlfn.XLOOKUP(UnlockROI[[#This Row],[Planet '#]],tblplanetvalue[Planet '#],tblplanetvalue[Total Worth])</f>
        <v>46600000</v>
      </c>
      <c r="O62" s="35">
        <f>IF(OR(UnlockROI[[#This Row],[Deposit]]="",UnlockROI[[#This Row],[Planet Worth]]=""),"",UnlockROI[[#This Row],[Deposit]]*UnlockROI[[#This Row],[Planet Worth]])</f>
        <v>7491961.4147909954</v>
      </c>
      <c r="P62" s="14" t="str">
        <f>IF(
   _xlfn.XLOOKUP(UnlockROI[[#This Row],[Planet '#]], tblPlanets[Planet '#], tblPlanets[Name])=UnlockROI[[#This Row],[Name]],
   "Match",
   "Mismatch"
)</f>
        <v>Match</v>
      </c>
    </row>
    <row r="63" spans="1:16" x14ac:dyDescent="0.3">
      <c r="A63" s="25">
        <v>62</v>
      </c>
      <c r="B63" s="25" t="str">
        <f>_xlfn.XLOOKUP(tblprogress[[#This Row],[Planet '#]],tblPlanets[Planet '#],tblPlanets[Name])</f>
        <v>Midas</v>
      </c>
      <c r="C63" s="54">
        <f>_xlfn.XLOOKUP(UnlockROI[[#This Row],[Planet '#]],tblprogress[Planet '#],tblprogress[Unlocked])</f>
        <v>0</v>
      </c>
      <c r="D63" s="54">
        <f>_xlfn.XLOOKUP(UnlockROI[[#This Row],[Planet '#]],tblprogress[Planet '#],tblprogress[Possible to Unlock])</f>
        <v>0</v>
      </c>
      <c r="E63" s="47" t="str">
        <f>IF(AND(UnlockROI[[#This Row],[Unlocked]]=0,UnlockROI[[#This Row],[Possible to Unlock]]=1),
   IFERROR(UnlockROI[[#This Row],[Base Earnings]]*3600/UnlockROI[[#This Row],[Unlock Planet Amount]],""),
   "")</f>
        <v/>
      </c>
      <c r="F63" s="47" t="str">
        <f>IF(AND(UnlockROI[[#This Row],[Unlocked]]=0,UnlockROI[[#This Row],[Possible to Unlock]]=1),
   IFERROR(UnlockROI[[#This Row],[Unlock Planet Amount]]/UnlockROI[[#This Row],[Base Earnings]],""),
   "")</f>
        <v/>
      </c>
      <c r="G63" s="34">
        <f>IF(UnlockROI[[#This Row],[Unlocked]]=1,"",_xlfn.XLOOKUP(UnlockROI[[#This Row],[Planet '#]],tblPlanets[Planet '#],tblPlanets[Unlock Price]))</f>
        <v>4.6000000000000001E+23</v>
      </c>
      <c r="H63" s="43">
        <f>IF(UnlockROI[[#This Row],[Unlocked]]=0,0.25,"")</f>
        <v>0.25</v>
      </c>
      <c r="I63" s="43">
        <f>IF(UnlockROI[[#This Row],[Unlocked]]=0,1,"")</f>
        <v>1</v>
      </c>
      <c r="J63" s="25">
        <f>IF(UnlockROI[[#This Row],[Unlocked]]=0,5,"")</f>
        <v>5</v>
      </c>
      <c r="K63" s="28">
        <f>_xlfn.XLOOKUP(UnlockROI[[#This Row],[Planet '#]],tblprogress[Planet '#],tblprogress[Planets Distance])</f>
        <v>15.7</v>
      </c>
      <c r="L63" s="41">
        <f>0.1*UnlockROI[[#This Row],[Distance]]</f>
        <v>1.57</v>
      </c>
      <c r="M63" s="47">
        <f>IF(UnlockROI[[#This Row],[Unlocked]]=1,"",IF(UnlockROI[[#This Row],[Base Efficiency]]&lt;1,15,0.25/UnlockROI[[#This Row],[Base Efficiency]]))</f>
        <v>0.15923566878980891</v>
      </c>
      <c r="N63" s="34">
        <f>_xlfn.XLOOKUP(UnlockROI[[#This Row],[Planet '#]],tblplanetvalue[Planet '#],tblplanetvalue[Total Worth])</f>
        <v>50940000.000000007</v>
      </c>
      <c r="O63" s="35">
        <f>IF(OR(UnlockROI[[#This Row],[Deposit]]="",UnlockROI[[#This Row],[Planet Worth]]=""),"",UnlockROI[[#This Row],[Deposit]]*UnlockROI[[#This Row],[Planet Worth]])</f>
        <v>8111464.9681528667</v>
      </c>
      <c r="P63" s="14" t="str">
        <f>IF(
   _xlfn.XLOOKUP(UnlockROI[[#This Row],[Planet '#]], tblPlanets[Planet '#], tblPlanets[Name])=UnlockROI[[#This Row],[Name]],
   "Match",
   "Mismatch"
)</f>
        <v>Match</v>
      </c>
    </row>
    <row r="64" spans="1:16" x14ac:dyDescent="0.3">
      <c r="A64" s="24">
        <v>63</v>
      </c>
      <c r="B64" s="24" t="str">
        <f>_xlfn.XLOOKUP(tblprogress[[#This Row],[Planet '#]],tblPlanets[Planet '#],tblPlanets[Name])</f>
        <v>Antigone</v>
      </c>
      <c r="C64" s="54">
        <f>_xlfn.XLOOKUP(UnlockROI[[#This Row],[Planet '#]],tblprogress[Planet '#],tblprogress[Unlocked])</f>
        <v>0</v>
      </c>
      <c r="D64" s="54">
        <f>_xlfn.XLOOKUP(UnlockROI[[#This Row],[Planet '#]],tblprogress[Planet '#],tblprogress[Possible to Unlock])</f>
        <v>0</v>
      </c>
      <c r="E64" s="47" t="str">
        <f>IF(AND(UnlockROI[[#This Row],[Unlocked]]=0,UnlockROI[[#This Row],[Possible to Unlock]]=1),
   IFERROR(UnlockROI[[#This Row],[Base Earnings]]*3600/UnlockROI[[#This Row],[Unlock Planet Amount]],""),
   "")</f>
        <v/>
      </c>
      <c r="F64" s="47" t="str">
        <f>IF(AND(UnlockROI[[#This Row],[Unlocked]]=0,UnlockROI[[#This Row],[Possible to Unlock]]=1),
   IFERROR(UnlockROI[[#This Row],[Unlock Planet Amount]]/UnlockROI[[#This Row],[Base Earnings]],""),
   "")</f>
        <v/>
      </c>
      <c r="G64" s="34">
        <f>IF(UnlockROI[[#This Row],[Unlocked]]=1,"",_xlfn.XLOOKUP(UnlockROI[[#This Row],[Planet '#]],tblPlanets[Planet '#],tblPlanets[Unlock Price]))</f>
        <v>1.2999999999999999E+24</v>
      </c>
      <c r="H64" s="43">
        <f>IF(UnlockROI[[#This Row],[Unlocked]]=0,0.25,"")</f>
        <v>0.25</v>
      </c>
      <c r="I64" s="43">
        <f>IF(UnlockROI[[#This Row],[Unlocked]]=0,1,"")</f>
        <v>1</v>
      </c>
      <c r="J64" s="25">
        <f>IF(UnlockROI[[#This Row],[Unlocked]]=0,5,"")</f>
        <v>5</v>
      </c>
      <c r="K64" s="28">
        <f>_xlfn.XLOOKUP(UnlockROI[[#This Row],[Planet '#]],tblprogress[Planet '#],tblprogress[Planets Distance])</f>
        <v>15.85</v>
      </c>
      <c r="L64" s="41">
        <f>0.1*UnlockROI[[#This Row],[Distance]]</f>
        <v>1.585</v>
      </c>
      <c r="M64" s="47">
        <f>IF(UnlockROI[[#This Row],[Unlocked]]=1,"",IF(UnlockROI[[#This Row],[Base Efficiency]]&lt;1,15,0.25/UnlockROI[[#This Row],[Base Efficiency]]))</f>
        <v>0.15772870662460567</v>
      </c>
      <c r="N64" s="34">
        <f>_xlfn.XLOOKUP(UnlockROI[[#This Row],[Planet '#]],tblplanetvalue[Planet '#],tblplanetvalue[Total Worth])</f>
        <v>90000000</v>
      </c>
      <c r="O64" s="35">
        <f>IF(OR(UnlockROI[[#This Row],[Deposit]]="",UnlockROI[[#This Row],[Planet Worth]]=""),"",UnlockROI[[#This Row],[Deposit]]*UnlockROI[[#This Row],[Planet Worth]])</f>
        <v>14195583.596214511</v>
      </c>
      <c r="P64" s="14" t="str">
        <f>IF(
   _xlfn.XLOOKUP(UnlockROI[[#This Row],[Planet '#]], tblPlanets[Planet '#], tblPlanets[Name])=UnlockROI[[#This Row],[Name]],
   "Match",
   "Mismatch"
)</f>
        <v>Match</v>
      </c>
    </row>
    <row r="65" spans="1:16" x14ac:dyDescent="0.3">
      <c r="A65" s="25">
        <v>64</v>
      </c>
      <c r="B65" s="25" t="str">
        <f>_xlfn.XLOOKUP(tblprogress[[#This Row],[Planet '#]],tblPlanets[Planet '#],tblPlanets[Name])</f>
        <v>Hecate</v>
      </c>
      <c r="C65" s="54">
        <f>_xlfn.XLOOKUP(UnlockROI[[#This Row],[Planet '#]],tblprogress[Planet '#],tblprogress[Unlocked])</f>
        <v>0</v>
      </c>
      <c r="D65" s="54">
        <f>_xlfn.XLOOKUP(UnlockROI[[#This Row],[Planet '#]],tblprogress[Planet '#],tblprogress[Possible to Unlock])</f>
        <v>0</v>
      </c>
      <c r="E65" s="47" t="str">
        <f>IF(AND(UnlockROI[[#This Row],[Unlocked]]=0,UnlockROI[[#This Row],[Possible to Unlock]]=1),
   IFERROR(UnlockROI[[#This Row],[Base Earnings]]*3600/UnlockROI[[#This Row],[Unlock Planet Amount]],""),
   "")</f>
        <v/>
      </c>
      <c r="F65" s="47" t="str">
        <f>IF(AND(UnlockROI[[#This Row],[Unlocked]]=0,UnlockROI[[#This Row],[Possible to Unlock]]=1),
   IFERROR(UnlockROI[[#This Row],[Unlock Planet Amount]]/UnlockROI[[#This Row],[Base Earnings]],""),
   "")</f>
        <v/>
      </c>
      <c r="G65" s="34">
        <f>IF(UnlockROI[[#This Row],[Unlocked]]=1,"",_xlfn.XLOOKUP(UnlockROI[[#This Row],[Planet '#]],tblPlanets[Planet '#],tblPlanets[Unlock Price]))</f>
        <v>3.8999999999999998E+24</v>
      </c>
      <c r="H65" s="43">
        <f>IF(UnlockROI[[#This Row],[Unlocked]]=0,0.25,"")</f>
        <v>0.25</v>
      </c>
      <c r="I65" s="43">
        <f>IF(UnlockROI[[#This Row],[Unlocked]]=0,1,"")</f>
        <v>1</v>
      </c>
      <c r="J65" s="25">
        <f>IF(UnlockROI[[#This Row],[Unlocked]]=0,5,"")</f>
        <v>5</v>
      </c>
      <c r="K65" s="28">
        <f>_xlfn.XLOOKUP(UnlockROI[[#This Row],[Planet '#]],tblprogress[Planet '#],tblprogress[Planets Distance])</f>
        <v>16</v>
      </c>
      <c r="L65" s="41">
        <f>0.1*UnlockROI[[#This Row],[Distance]]</f>
        <v>1.6</v>
      </c>
      <c r="M65" s="47">
        <f>IF(UnlockROI[[#This Row],[Unlocked]]=1,"",IF(UnlockROI[[#This Row],[Base Efficiency]]&lt;1,15,0.25/UnlockROI[[#This Row],[Base Efficiency]]))</f>
        <v>0.15625</v>
      </c>
      <c r="N65" s="34">
        <f>_xlfn.XLOOKUP(UnlockROI[[#This Row],[Planet '#]],tblplanetvalue[Planet '#],tblplanetvalue[Total Worth])</f>
        <v>127000000</v>
      </c>
      <c r="O65" s="35">
        <f>IF(OR(UnlockROI[[#This Row],[Deposit]]="",UnlockROI[[#This Row],[Planet Worth]]=""),"",UnlockROI[[#This Row],[Deposit]]*UnlockROI[[#This Row],[Planet Worth]])</f>
        <v>19843750</v>
      </c>
      <c r="P65" s="14" t="str">
        <f>IF(
   _xlfn.XLOOKUP(UnlockROI[[#This Row],[Planet '#]], tblPlanets[Planet '#], tblPlanets[Name])=UnlockROI[[#This Row],[Name]],
   "Match",
   "Mismatch"
)</f>
        <v>Match</v>
      </c>
    </row>
    <row r="66" spans="1:16" x14ac:dyDescent="0.3">
      <c r="A66" s="24">
        <v>65</v>
      </c>
      <c r="B66" s="24" t="str">
        <f>_xlfn.XLOOKUP(tblprogress[[#This Row],[Planet '#]],tblPlanets[Planet '#],tblPlanets[Name])</f>
        <v>Sterop</v>
      </c>
      <c r="C66" s="54">
        <f>_xlfn.XLOOKUP(UnlockROI[[#This Row],[Planet '#]],tblprogress[Planet '#],tblprogress[Unlocked])</f>
        <v>0</v>
      </c>
      <c r="D66" s="54">
        <f>_xlfn.XLOOKUP(UnlockROI[[#This Row],[Planet '#]],tblprogress[Planet '#],tblprogress[Possible to Unlock])</f>
        <v>0</v>
      </c>
      <c r="E66" s="47" t="str">
        <f>IF(AND(UnlockROI[[#This Row],[Unlocked]]=0,UnlockROI[[#This Row],[Possible to Unlock]]=1),
   IFERROR(UnlockROI[[#This Row],[Base Earnings]]*3600/UnlockROI[[#This Row],[Unlock Planet Amount]],""),
   "")</f>
        <v/>
      </c>
      <c r="F66" s="47" t="str">
        <f>IF(AND(UnlockROI[[#This Row],[Unlocked]]=0,UnlockROI[[#This Row],[Possible to Unlock]]=1),
   IFERROR(UnlockROI[[#This Row],[Unlock Planet Amount]]/UnlockROI[[#This Row],[Base Earnings]],""),
   "")</f>
        <v/>
      </c>
      <c r="G66" s="34">
        <f>IF(UnlockROI[[#This Row],[Unlocked]]=1,"",_xlfn.XLOOKUP(UnlockROI[[#This Row],[Planet '#]],tblPlanets[Planet '#],tblPlanets[Unlock Price]))</f>
        <v>1.1000000000000002E+25</v>
      </c>
      <c r="H66" s="43">
        <f>IF(UnlockROI[[#This Row],[Unlocked]]=0,0.25,"")</f>
        <v>0.25</v>
      </c>
      <c r="I66" s="43">
        <f>IF(UnlockROI[[#This Row],[Unlocked]]=0,1,"")</f>
        <v>1</v>
      </c>
      <c r="J66" s="25">
        <f>IF(UnlockROI[[#This Row],[Unlocked]]=0,5,"")</f>
        <v>5</v>
      </c>
      <c r="K66" s="28">
        <f>_xlfn.XLOOKUP(UnlockROI[[#This Row],[Planet '#]],tblprogress[Planet '#],tblprogress[Planets Distance])</f>
        <v>16.149999999999999</v>
      </c>
      <c r="L66" s="41">
        <f>0.1*UnlockROI[[#This Row],[Distance]]</f>
        <v>1.615</v>
      </c>
      <c r="M66" s="47">
        <f>IF(UnlockROI[[#This Row],[Unlocked]]=1,"",IF(UnlockROI[[#This Row],[Base Efficiency]]&lt;1,15,0.25/UnlockROI[[#This Row],[Base Efficiency]]))</f>
        <v>0.15479876160990713</v>
      </c>
      <c r="N66" s="34">
        <f>_xlfn.XLOOKUP(UnlockROI[[#This Row],[Planet '#]],tblplanetvalue[Planet '#],tblplanetvalue[Total Worth])</f>
        <v>199800000</v>
      </c>
      <c r="O66" s="35">
        <f>IF(OR(UnlockROI[[#This Row],[Deposit]]="",UnlockROI[[#This Row],[Planet Worth]]=""),"",UnlockROI[[#This Row],[Deposit]]*UnlockROI[[#This Row],[Planet Worth]])</f>
        <v>30928792.569659445</v>
      </c>
      <c r="P66" s="14" t="str">
        <f>IF(
   _xlfn.XLOOKUP(UnlockROI[[#This Row],[Planet '#]], tblPlanets[Planet '#], tblPlanets[Name])=UnlockROI[[#This Row],[Name]],
   "Match",
   "Mismatch"
)</f>
        <v>Match</v>
      </c>
    </row>
    <row r="67" spans="1:16" x14ac:dyDescent="0.3">
      <c r="A67" s="25">
        <v>66</v>
      </c>
      <c r="B67" s="25" t="str">
        <f>_xlfn.XLOOKUP(tblprogress[[#This Row],[Planet '#]],tblPlanets[Planet '#],tblPlanets[Name])</f>
        <v>Lavinia</v>
      </c>
      <c r="C67" s="54">
        <f>_xlfn.XLOOKUP(UnlockROI[[#This Row],[Planet '#]],tblprogress[Planet '#],tblprogress[Unlocked])</f>
        <v>0</v>
      </c>
      <c r="D67" s="54">
        <f>_xlfn.XLOOKUP(UnlockROI[[#This Row],[Planet '#]],tblprogress[Planet '#],tblprogress[Possible to Unlock])</f>
        <v>0</v>
      </c>
      <c r="E67" s="47" t="str">
        <f>IF(AND(UnlockROI[[#This Row],[Unlocked]]=0,UnlockROI[[#This Row],[Possible to Unlock]]=1),
   IFERROR(UnlockROI[[#This Row],[Base Earnings]]*3600/UnlockROI[[#This Row],[Unlock Planet Amount]],""),
   "")</f>
        <v/>
      </c>
      <c r="F67" s="47" t="str">
        <f>IF(AND(UnlockROI[[#This Row],[Unlocked]]=0,UnlockROI[[#This Row],[Possible to Unlock]]=1),
   IFERROR(UnlockROI[[#This Row],[Unlock Planet Amount]]/UnlockROI[[#This Row],[Base Earnings]],""),
   "")</f>
        <v/>
      </c>
      <c r="G67" s="34">
        <f>IF(UnlockROI[[#This Row],[Unlocked]]=1,"",_xlfn.XLOOKUP(UnlockROI[[#This Row],[Planet '#]],tblPlanets[Planet '#],tblPlanets[Unlock Price]))</f>
        <v>3.3000000000000001E+25</v>
      </c>
      <c r="H67" s="43">
        <f>IF(UnlockROI[[#This Row],[Unlocked]]=0,0.25,"")</f>
        <v>0.25</v>
      </c>
      <c r="I67" s="43">
        <f>IF(UnlockROI[[#This Row],[Unlocked]]=0,1,"")</f>
        <v>1</v>
      </c>
      <c r="J67" s="25">
        <f>IF(UnlockROI[[#This Row],[Unlocked]]=0,5,"")</f>
        <v>5</v>
      </c>
      <c r="K67" s="28">
        <f>_xlfn.XLOOKUP(UnlockROI[[#This Row],[Planet '#]],tblprogress[Planet '#],tblprogress[Planets Distance])</f>
        <v>16.3</v>
      </c>
      <c r="L67" s="41">
        <f>0.1*UnlockROI[[#This Row],[Distance]]</f>
        <v>1.6300000000000001</v>
      </c>
      <c r="M67" s="47">
        <f>IF(UnlockROI[[#This Row],[Unlocked]]=1,"",IF(UnlockROI[[#This Row],[Base Efficiency]]&lt;1,15,0.25/UnlockROI[[#This Row],[Base Efficiency]]))</f>
        <v>0.15337423312883436</v>
      </c>
      <c r="N67" s="34">
        <f>_xlfn.XLOOKUP(UnlockROI[[#This Row],[Planet '#]],tblplanetvalue[Planet '#],tblplanetvalue[Total Worth])</f>
        <v>300000000</v>
      </c>
      <c r="O67" s="35">
        <f>IF(OR(UnlockROI[[#This Row],[Deposit]]="",UnlockROI[[#This Row],[Planet Worth]]=""),"",UnlockROI[[#This Row],[Deposit]]*UnlockROI[[#This Row],[Planet Worth]])</f>
        <v>46012269.93865031</v>
      </c>
      <c r="P67" s="14" t="str">
        <f>IF(
   _xlfn.XLOOKUP(UnlockROI[[#This Row],[Planet '#]], tblPlanets[Planet '#], tblPlanets[Name])=UnlockROI[[#This Row],[Name]],
   "Match",
   "Mismatch"
)</f>
        <v>Match</v>
      </c>
    </row>
    <row r="68" spans="1:16" x14ac:dyDescent="0.3">
      <c r="A68" s="24">
        <v>67</v>
      </c>
      <c r="B68" s="24" t="str">
        <f>_xlfn.XLOOKUP(tblprogress[[#This Row],[Planet '#]],tblPlanets[Planet '#],tblPlanets[Name])</f>
        <v>Ren</v>
      </c>
      <c r="C68" s="54">
        <f>_xlfn.XLOOKUP(UnlockROI[[#This Row],[Planet '#]],tblprogress[Planet '#],tblprogress[Unlocked])</f>
        <v>0</v>
      </c>
      <c r="D68" s="54">
        <f>_xlfn.XLOOKUP(UnlockROI[[#This Row],[Planet '#]],tblprogress[Planet '#],tblprogress[Possible to Unlock])</f>
        <v>0</v>
      </c>
      <c r="E68" s="47" t="str">
        <f>IF(AND(UnlockROI[[#This Row],[Unlocked]]=0,UnlockROI[[#This Row],[Possible to Unlock]]=1),
   IFERROR(UnlockROI[[#This Row],[Base Earnings]]*3600/UnlockROI[[#This Row],[Unlock Planet Amount]],""),
   "")</f>
        <v/>
      </c>
      <c r="F68" s="47" t="str">
        <f>IF(AND(UnlockROI[[#This Row],[Unlocked]]=0,UnlockROI[[#This Row],[Possible to Unlock]]=1),
   IFERROR(UnlockROI[[#This Row],[Unlock Planet Amount]]/UnlockROI[[#This Row],[Base Earnings]],""),
   "")</f>
        <v/>
      </c>
      <c r="G68" s="34">
        <f>IF(UnlockROI[[#This Row],[Unlocked]]=1,"",_xlfn.XLOOKUP(UnlockROI[[#This Row],[Planet '#]],tblPlanets[Planet '#],tblPlanets[Unlock Price]))</f>
        <v>9.5000000000000005E+25</v>
      </c>
      <c r="H68" s="43">
        <f>IF(UnlockROI[[#This Row],[Unlocked]]=0,0.25,"")</f>
        <v>0.25</v>
      </c>
      <c r="I68" s="43">
        <f>IF(UnlockROI[[#This Row],[Unlocked]]=0,1,"")</f>
        <v>1</v>
      </c>
      <c r="J68" s="25">
        <f>IF(UnlockROI[[#This Row],[Unlocked]]=0,5,"")</f>
        <v>5</v>
      </c>
      <c r="K68" s="28">
        <f>_xlfn.XLOOKUP(UnlockROI[[#This Row],[Planet '#]],tblprogress[Planet '#],tblprogress[Planets Distance])</f>
        <v>16.45</v>
      </c>
      <c r="L68" s="41">
        <f>0.1*UnlockROI[[#This Row],[Distance]]</f>
        <v>1.645</v>
      </c>
      <c r="M68" s="47">
        <f>IF(UnlockROI[[#This Row],[Unlocked]]=1,"",IF(UnlockROI[[#This Row],[Base Efficiency]]&lt;1,15,0.25/UnlockROI[[#This Row],[Base Efficiency]]))</f>
        <v>0.1519756838905775</v>
      </c>
      <c r="N68" s="34">
        <f>_xlfn.XLOOKUP(UnlockROI[[#This Row],[Planet '#]],tblplanetvalue[Planet '#],tblplanetvalue[Total Worth])</f>
        <v>338000000</v>
      </c>
      <c r="O68" s="35">
        <f>IF(OR(UnlockROI[[#This Row],[Deposit]]="",UnlockROI[[#This Row],[Planet Worth]]=""),"",UnlockROI[[#This Row],[Deposit]]*UnlockROI[[#This Row],[Planet Worth]])</f>
        <v>51367781.155015193</v>
      </c>
      <c r="P68" s="14" t="str">
        <f>IF(
   _xlfn.XLOOKUP(UnlockROI[[#This Row],[Planet '#]], tblPlanets[Planet '#], tblPlanets[Name])=UnlockROI[[#This Row],[Name]],
   "Match",
   "Mismatch"
)</f>
        <v>Match</v>
      </c>
    </row>
    <row r="69" spans="1:16" x14ac:dyDescent="0.3">
      <c r="A69" s="25">
        <v>68</v>
      </c>
      <c r="B69" s="25" t="str">
        <f>_xlfn.XLOOKUP(tblprogress[[#This Row],[Planet '#]],tblPlanets[Planet '#],tblPlanets[Name])</f>
        <v>Gorgons</v>
      </c>
      <c r="C69" s="54">
        <f>_xlfn.XLOOKUP(UnlockROI[[#This Row],[Planet '#]],tblprogress[Planet '#],tblprogress[Unlocked])</f>
        <v>0</v>
      </c>
      <c r="D69" s="54">
        <f>_xlfn.XLOOKUP(UnlockROI[[#This Row],[Planet '#]],tblprogress[Planet '#],tblprogress[Possible to Unlock])</f>
        <v>0</v>
      </c>
      <c r="E69" s="47" t="str">
        <f>IF(AND(UnlockROI[[#This Row],[Unlocked]]=0,UnlockROI[[#This Row],[Possible to Unlock]]=1),
   IFERROR(UnlockROI[[#This Row],[Base Earnings]]*3600/UnlockROI[[#This Row],[Unlock Planet Amount]],""),
   "")</f>
        <v/>
      </c>
      <c r="F69" s="47" t="str">
        <f>IF(AND(UnlockROI[[#This Row],[Unlocked]]=0,UnlockROI[[#This Row],[Possible to Unlock]]=1),
   IFERROR(UnlockROI[[#This Row],[Unlock Planet Amount]]/UnlockROI[[#This Row],[Base Earnings]],""),
   "")</f>
        <v/>
      </c>
      <c r="G69" s="34">
        <f>IF(UnlockROI[[#This Row],[Unlocked]]=1,"",_xlfn.XLOOKUP(UnlockROI[[#This Row],[Planet '#]],tblPlanets[Planet '#],tblPlanets[Unlock Price]))</f>
        <v>2.7000000000000004E+26</v>
      </c>
      <c r="H69" s="43">
        <f>IF(UnlockROI[[#This Row],[Unlocked]]=0,0.25,"")</f>
        <v>0.25</v>
      </c>
      <c r="I69" s="43">
        <f>IF(UnlockROI[[#This Row],[Unlocked]]=0,1,"")</f>
        <v>1</v>
      </c>
      <c r="J69" s="25">
        <f>IF(UnlockROI[[#This Row],[Unlocked]]=0,5,"")</f>
        <v>5</v>
      </c>
      <c r="K69" s="28">
        <f>_xlfn.XLOOKUP(UnlockROI[[#This Row],[Planet '#]],tblprogress[Planet '#],tblprogress[Planets Distance])</f>
        <v>16.600000000000001</v>
      </c>
      <c r="L69" s="41">
        <f>0.1*UnlockROI[[#This Row],[Distance]]</f>
        <v>1.6600000000000001</v>
      </c>
      <c r="M69" s="47">
        <f>IF(UnlockROI[[#This Row],[Unlocked]]=1,"",IF(UnlockROI[[#This Row],[Base Efficiency]]&lt;1,15,0.25/UnlockROI[[#This Row],[Base Efficiency]]))</f>
        <v>0.1506024096385542</v>
      </c>
      <c r="N69" s="34">
        <f>_xlfn.XLOOKUP(UnlockROI[[#This Row],[Planet '#]],tblplanetvalue[Planet '#],tblplanetvalue[Total Worth])</f>
        <v>671200000</v>
      </c>
      <c r="O69" s="35">
        <f>IF(OR(UnlockROI[[#This Row],[Deposit]]="",UnlockROI[[#This Row],[Planet Worth]]=""),"",UnlockROI[[#This Row],[Deposit]]*UnlockROI[[#This Row],[Planet Worth]])</f>
        <v>101084337.34939758</v>
      </c>
      <c r="P69" s="14" t="str">
        <f>IF(
   _xlfn.XLOOKUP(UnlockROI[[#This Row],[Planet '#]], tblPlanets[Planet '#], tblPlanets[Name])=UnlockROI[[#This Row],[Name]],
   "Match",
   "Mismatch"
)</f>
        <v>Match</v>
      </c>
    </row>
    <row r="70" spans="1:16" x14ac:dyDescent="0.3">
      <c r="A70" s="24">
        <v>69</v>
      </c>
      <c r="B70" s="24" t="str">
        <f>_xlfn.XLOOKUP(tblprogress[[#This Row],[Planet '#]],tblPlanets[Planet '#],tblPlanets[Name])</f>
        <v>Pontus</v>
      </c>
      <c r="C70" s="54">
        <f>_xlfn.XLOOKUP(UnlockROI[[#This Row],[Planet '#]],tblprogress[Planet '#],tblprogress[Unlocked])</f>
        <v>0</v>
      </c>
      <c r="D70" s="54">
        <f>_xlfn.XLOOKUP(UnlockROI[[#This Row],[Planet '#]],tblprogress[Planet '#],tblprogress[Possible to Unlock])</f>
        <v>0</v>
      </c>
      <c r="E70" s="47" t="str">
        <f>IF(AND(UnlockROI[[#This Row],[Unlocked]]=0,UnlockROI[[#This Row],[Possible to Unlock]]=1),
   IFERROR(UnlockROI[[#This Row],[Base Earnings]]*3600/UnlockROI[[#This Row],[Unlock Planet Amount]],""),
   "")</f>
        <v/>
      </c>
      <c r="F70" s="47" t="str">
        <f>IF(AND(UnlockROI[[#This Row],[Unlocked]]=0,UnlockROI[[#This Row],[Possible to Unlock]]=1),
   IFERROR(UnlockROI[[#This Row],[Unlock Planet Amount]]/UnlockROI[[#This Row],[Base Earnings]],""),
   "")</f>
        <v/>
      </c>
      <c r="G70" s="34">
        <f>IF(UnlockROI[[#This Row],[Unlocked]]=1,"",_xlfn.XLOOKUP(UnlockROI[[#This Row],[Planet '#]],tblPlanets[Planet '#],tblPlanets[Unlock Price]))</f>
        <v>8.0000000000000004E+26</v>
      </c>
      <c r="H70" s="43">
        <f>IF(UnlockROI[[#This Row],[Unlocked]]=0,0.25,"")</f>
        <v>0.25</v>
      </c>
      <c r="I70" s="43">
        <f>IF(UnlockROI[[#This Row],[Unlocked]]=0,1,"")</f>
        <v>1</v>
      </c>
      <c r="J70" s="25">
        <f>IF(UnlockROI[[#This Row],[Unlocked]]=0,5,"")</f>
        <v>5</v>
      </c>
      <c r="K70" s="28">
        <f>_xlfn.XLOOKUP(UnlockROI[[#This Row],[Planet '#]],tblprogress[Planet '#],tblprogress[Planets Distance])</f>
        <v>16.75</v>
      </c>
      <c r="L70" s="41">
        <f>0.1*UnlockROI[[#This Row],[Distance]]</f>
        <v>1.675</v>
      </c>
      <c r="M70" s="47">
        <f>IF(UnlockROI[[#This Row],[Unlocked]]=1,"",IF(UnlockROI[[#This Row],[Base Efficiency]]&lt;1,15,0.25/UnlockROI[[#This Row],[Base Efficiency]]))</f>
        <v>0.14925373134328357</v>
      </c>
      <c r="N70" s="34">
        <f>_xlfn.XLOOKUP(UnlockROI[[#This Row],[Planet '#]],tblplanetvalue[Planet '#],tblplanetvalue[Total Worth])</f>
        <v>940000000</v>
      </c>
      <c r="O70" s="35">
        <f>IF(OR(UnlockROI[[#This Row],[Deposit]]="",UnlockROI[[#This Row],[Planet Worth]]=""),"",UnlockROI[[#This Row],[Deposit]]*UnlockROI[[#This Row],[Planet Worth]])</f>
        <v>140298507.46268657</v>
      </c>
      <c r="P70" s="14" t="str">
        <f>IF(
   _xlfn.XLOOKUP(UnlockROI[[#This Row],[Planet '#]], tblPlanets[Planet '#], tblPlanets[Name])=UnlockROI[[#This Row],[Name]],
   "Match",
   "Mismatch"
)</f>
        <v>Match</v>
      </c>
    </row>
    <row r="71" spans="1:16" x14ac:dyDescent="0.3">
      <c r="A71" s="25">
        <v>70</v>
      </c>
      <c r="B71" s="25" t="str">
        <f>_xlfn.XLOOKUP(tblprogress[[#This Row],[Planet '#]],tblPlanets[Planet '#],tblPlanets[Name])</f>
        <v>Leto</v>
      </c>
      <c r="C71" s="54">
        <f>_xlfn.XLOOKUP(UnlockROI[[#This Row],[Planet '#]],tblprogress[Planet '#],tblprogress[Unlocked])</f>
        <v>0</v>
      </c>
      <c r="D71" s="54">
        <f>_xlfn.XLOOKUP(UnlockROI[[#This Row],[Planet '#]],tblprogress[Planet '#],tblprogress[Possible to Unlock])</f>
        <v>0</v>
      </c>
      <c r="E71" s="47" t="str">
        <f>IF(AND(UnlockROI[[#This Row],[Unlocked]]=0,UnlockROI[[#This Row],[Possible to Unlock]]=1),
   IFERROR(UnlockROI[[#This Row],[Base Earnings]]*3600/UnlockROI[[#This Row],[Unlock Planet Amount]],""),
   "")</f>
        <v/>
      </c>
      <c r="F71" s="47" t="str">
        <f>IF(AND(UnlockROI[[#This Row],[Unlocked]]=0,UnlockROI[[#This Row],[Possible to Unlock]]=1),
   IFERROR(UnlockROI[[#This Row],[Unlock Planet Amount]]/UnlockROI[[#This Row],[Base Earnings]],""),
   "")</f>
        <v/>
      </c>
      <c r="G71" s="34">
        <f>IF(UnlockROI[[#This Row],[Unlocked]]=1,"",_xlfn.XLOOKUP(UnlockROI[[#This Row],[Planet '#]],tblPlanets[Planet '#],tblPlanets[Unlock Price]))</f>
        <v>2.4E+27</v>
      </c>
      <c r="H71" s="43">
        <f>IF(UnlockROI[[#This Row],[Unlocked]]=0,0.25,"")</f>
        <v>0.25</v>
      </c>
      <c r="I71" s="43">
        <f>IF(UnlockROI[[#This Row],[Unlocked]]=0,1,"")</f>
        <v>1</v>
      </c>
      <c r="J71" s="25">
        <f>IF(UnlockROI[[#This Row],[Unlocked]]=0,5,"")</f>
        <v>5</v>
      </c>
      <c r="K71" s="28">
        <f>_xlfn.XLOOKUP(UnlockROI[[#This Row],[Planet '#]],tblprogress[Planet '#],tblprogress[Planets Distance])</f>
        <v>16.899999999999999</v>
      </c>
      <c r="L71" s="41">
        <f>0.1*UnlockROI[[#This Row],[Distance]]</f>
        <v>1.69</v>
      </c>
      <c r="M71" s="47">
        <f>IF(UnlockROI[[#This Row],[Unlocked]]=1,"",IF(UnlockROI[[#This Row],[Base Efficiency]]&lt;1,15,0.25/UnlockROI[[#This Row],[Base Efficiency]]))</f>
        <v>0.14792899408284024</v>
      </c>
      <c r="N71" s="34">
        <f>_xlfn.XLOOKUP(UnlockROI[[#This Row],[Planet '#]],tblplanetvalue[Planet '#],tblplanetvalue[Total Worth])</f>
        <v>1100000000</v>
      </c>
      <c r="O71" s="35">
        <f>IF(OR(UnlockROI[[#This Row],[Deposit]]="",UnlockROI[[#This Row],[Planet Worth]]=""),"",UnlockROI[[#This Row],[Deposit]]*UnlockROI[[#This Row],[Planet Worth]])</f>
        <v>162721893.49112427</v>
      </c>
      <c r="P71" s="14" t="str">
        <f>IF(
   _xlfn.XLOOKUP(UnlockROI[[#This Row],[Planet '#]], tblPlanets[Planet '#], tblPlanets[Name])=UnlockROI[[#This Row],[Name]],
   "Match",
   "Mismatch"
)</f>
        <v>Match</v>
      </c>
    </row>
    <row r="72" spans="1:16" x14ac:dyDescent="0.3">
      <c r="A72" s="24">
        <v>71</v>
      </c>
      <c r="B72" s="24" t="str">
        <f>_xlfn.XLOOKUP(tblprogress[[#This Row],[Planet '#]],tblPlanets[Planet '#],tblPlanets[Name])</f>
        <v>Laconia</v>
      </c>
      <c r="C72" s="54">
        <f>_xlfn.XLOOKUP(UnlockROI[[#This Row],[Planet '#]],tblprogress[Planet '#],tblprogress[Unlocked])</f>
        <v>0</v>
      </c>
      <c r="D72" s="54">
        <f>_xlfn.XLOOKUP(UnlockROI[[#This Row],[Planet '#]],tblprogress[Planet '#],tblprogress[Possible to Unlock])</f>
        <v>0</v>
      </c>
      <c r="E72" s="47" t="str">
        <f>IF(AND(UnlockROI[[#This Row],[Unlocked]]=0,UnlockROI[[#This Row],[Possible to Unlock]]=1),
   IFERROR(UnlockROI[[#This Row],[Base Earnings]]*3600/UnlockROI[[#This Row],[Unlock Planet Amount]],""),
   "")</f>
        <v/>
      </c>
      <c r="F72" s="47" t="str">
        <f>IF(AND(UnlockROI[[#This Row],[Unlocked]]=0,UnlockROI[[#This Row],[Possible to Unlock]]=1),
   IFERROR(UnlockROI[[#This Row],[Unlock Planet Amount]]/UnlockROI[[#This Row],[Base Earnings]],""),
   "")</f>
        <v/>
      </c>
      <c r="G72" s="34">
        <f>IF(UnlockROI[[#This Row],[Unlocked]]=1,"",_xlfn.XLOOKUP(UnlockROI[[#This Row],[Planet '#]],tblPlanets[Planet '#],tblPlanets[Unlock Price]))</f>
        <v>6.9199999999999996E+27</v>
      </c>
      <c r="H72" s="43">
        <f>IF(UnlockROI[[#This Row],[Unlocked]]=0,0.25,"")</f>
        <v>0.25</v>
      </c>
      <c r="I72" s="43">
        <f>IF(UnlockROI[[#This Row],[Unlocked]]=0,1,"")</f>
        <v>1</v>
      </c>
      <c r="J72" s="25">
        <f>IF(UnlockROI[[#This Row],[Unlocked]]=0,5,"")</f>
        <v>5</v>
      </c>
      <c r="K72" s="28">
        <f>_xlfn.XLOOKUP(UnlockROI[[#This Row],[Planet '#]],tblprogress[Planet '#],tblprogress[Planets Distance])</f>
        <v>17.05</v>
      </c>
      <c r="L72" s="41">
        <f>0.1*UnlockROI[[#This Row],[Distance]]</f>
        <v>1.7050000000000001</v>
      </c>
      <c r="M72" s="47">
        <f>IF(UnlockROI[[#This Row],[Unlocked]]=1,"",IF(UnlockROI[[#This Row],[Base Efficiency]]&lt;1,15,0.25/UnlockROI[[#This Row],[Base Efficiency]]))</f>
        <v>0.14662756598240467</v>
      </c>
      <c r="N72" s="34">
        <f>_xlfn.XLOOKUP(UnlockROI[[#This Row],[Planet '#]],tblplanetvalue[Planet '#],tblplanetvalue[Total Worth])</f>
        <v>1420000000</v>
      </c>
      <c r="O72" s="35">
        <f>IF(OR(UnlockROI[[#This Row],[Deposit]]="",UnlockROI[[#This Row],[Planet Worth]]=""),"",UnlockROI[[#This Row],[Deposit]]*UnlockROI[[#This Row],[Planet Worth]])</f>
        <v>208211143.69501463</v>
      </c>
      <c r="P72" s="14" t="str">
        <f>IF(
   _xlfn.XLOOKUP(UnlockROI[[#This Row],[Planet '#]], tblPlanets[Planet '#], tblPlanets[Name])=UnlockROI[[#This Row],[Name]],
   "Match",
   "Mismatch"
)</f>
        <v>Match</v>
      </c>
    </row>
    <row r="73" spans="1:16" x14ac:dyDescent="0.3">
      <c r="A73" s="25">
        <v>72</v>
      </c>
      <c r="B73" s="25" t="str">
        <f>_xlfn.XLOOKUP(tblprogress[[#This Row],[Planet '#]],tblPlanets[Planet '#],tblPlanets[Name])</f>
        <v>Awohali</v>
      </c>
      <c r="C73" s="54">
        <f>_xlfn.XLOOKUP(UnlockROI[[#This Row],[Planet '#]],tblprogress[Planet '#],tblprogress[Unlocked])</f>
        <v>0</v>
      </c>
      <c r="D73" s="54">
        <f>_xlfn.XLOOKUP(UnlockROI[[#This Row],[Planet '#]],tblprogress[Planet '#],tblprogress[Possible to Unlock])</f>
        <v>0</v>
      </c>
      <c r="E73" s="47" t="str">
        <f>IF(AND(UnlockROI[[#This Row],[Unlocked]]=0,UnlockROI[[#This Row],[Possible to Unlock]]=1),
   IFERROR(UnlockROI[[#This Row],[Base Earnings]]*3600/UnlockROI[[#This Row],[Unlock Planet Amount]],""),
   "")</f>
        <v/>
      </c>
      <c r="F73" s="47" t="str">
        <f>IF(AND(UnlockROI[[#This Row],[Unlocked]]=0,UnlockROI[[#This Row],[Possible to Unlock]]=1),
   IFERROR(UnlockROI[[#This Row],[Unlock Planet Amount]]/UnlockROI[[#This Row],[Base Earnings]],""),
   "")</f>
        <v/>
      </c>
      <c r="G73" s="34">
        <f>IF(UnlockROI[[#This Row],[Unlocked]]=1,"",_xlfn.XLOOKUP(UnlockROI[[#This Row],[Planet '#]],tblPlanets[Planet '#],tblPlanets[Unlock Price]))</f>
        <v>2.0800000000000001E+28</v>
      </c>
      <c r="H73" s="43">
        <f>IF(UnlockROI[[#This Row],[Unlocked]]=0,0.25,"")</f>
        <v>0.25</v>
      </c>
      <c r="I73" s="43">
        <f>IF(UnlockROI[[#This Row],[Unlocked]]=0,1,"")</f>
        <v>1</v>
      </c>
      <c r="J73" s="25">
        <f>IF(UnlockROI[[#This Row],[Unlocked]]=0,5,"")</f>
        <v>5</v>
      </c>
      <c r="K73" s="28">
        <f>_xlfn.XLOOKUP(UnlockROI[[#This Row],[Planet '#]],tblprogress[Planet '#],tblprogress[Planets Distance])</f>
        <v>17.2</v>
      </c>
      <c r="L73" s="41">
        <f>0.1*UnlockROI[[#This Row],[Distance]]</f>
        <v>1.72</v>
      </c>
      <c r="M73" s="47">
        <f>IF(UnlockROI[[#This Row],[Unlocked]]=1,"",IF(UnlockROI[[#This Row],[Base Efficiency]]&lt;1,15,0.25/UnlockROI[[#This Row],[Base Efficiency]]))</f>
        <v>0.14534883720930233</v>
      </c>
      <c r="N73" s="34">
        <f>_xlfn.XLOOKUP(UnlockROI[[#This Row],[Planet '#]],tblplanetvalue[Planet '#],tblplanetvalue[Total Worth])</f>
        <v>3037000000</v>
      </c>
      <c r="O73" s="35">
        <f>IF(OR(UnlockROI[[#This Row],[Deposit]]="",UnlockROI[[#This Row],[Planet Worth]]=""),"",UnlockROI[[#This Row],[Deposit]]*UnlockROI[[#This Row],[Planet Worth]])</f>
        <v>441424418.60465121</v>
      </c>
      <c r="P73" s="14" t="str">
        <f>IF(
   _xlfn.XLOOKUP(UnlockROI[[#This Row],[Planet '#]], tblPlanets[Planet '#], tblPlanets[Name])=UnlockROI[[#This Row],[Name]],
   "Match",
   "Mismatch"
)</f>
        <v>Match</v>
      </c>
    </row>
    <row r="74" spans="1:16" x14ac:dyDescent="0.3">
      <c r="A74" s="24">
        <v>73</v>
      </c>
      <c r="B74" s="24" t="str">
        <f>_xlfn.XLOOKUP(tblprogress[[#This Row],[Planet '#]],tblPlanets[Planet '#],tblPlanets[Name])</f>
        <v>Pegasi</v>
      </c>
      <c r="C74" s="54">
        <f>_xlfn.XLOOKUP(UnlockROI[[#This Row],[Planet '#]],tblprogress[Planet '#],tblprogress[Unlocked])</f>
        <v>0</v>
      </c>
      <c r="D74" s="54">
        <f>_xlfn.XLOOKUP(UnlockROI[[#This Row],[Planet '#]],tblprogress[Planet '#],tblprogress[Possible to Unlock])</f>
        <v>0</v>
      </c>
      <c r="E74" s="47" t="str">
        <f>IF(AND(UnlockROI[[#This Row],[Unlocked]]=0,UnlockROI[[#This Row],[Possible to Unlock]]=1),
   IFERROR(UnlockROI[[#This Row],[Base Earnings]]*3600/UnlockROI[[#This Row],[Unlock Planet Amount]],""),
   "")</f>
        <v/>
      </c>
      <c r="F74" s="47" t="str">
        <f>IF(AND(UnlockROI[[#This Row],[Unlocked]]=0,UnlockROI[[#This Row],[Possible to Unlock]]=1),
   IFERROR(UnlockROI[[#This Row],[Unlock Planet Amount]]/UnlockROI[[#This Row],[Base Earnings]],""),
   "")</f>
        <v/>
      </c>
      <c r="G74" s="34">
        <f>IF(UnlockROI[[#This Row],[Unlocked]]=1,"",_xlfn.XLOOKUP(UnlockROI[[#This Row],[Planet '#]],tblPlanets[Planet '#],tblPlanets[Unlock Price]))</f>
        <v>6.2300000000000003E+28</v>
      </c>
      <c r="H74" s="43">
        <f>IF(UnlockROI[[#This Row],[Unlocked]]=0,0.25,"")</f>
        <v>0.25</v>
      </c>
      <c r="I74" s="43">
        <f>IF(UnlockROI[[#This Row],[Unlocked]]=0,1,"")</f>
        <v>1</v>
      </c>
      <c r="J74" s="25">
        <f>IF(UnlockROI[[#This Row],[Unlocked]]=0,5,"")</f>
        <v>5</v>
      </c>
      <c r="K74" s="28">
        <f>_xlfn.XLOOKUP(UnlockROI[[#This Row],[Planet '#]],tblprogress[Planet '#],tblprogress[Planets Distance])</f>
        <v>17.350000000000001</v>
      </c>
      <c r="L74" s="41">
        <f>0.1*UnlockROI[[#This Row],[Distance]]</f>
        <v>1.7350000000000003</v>
      </c>
      <c r="M74" s="47">
        <f>IF(UnlockROI[[#This Row],[Unlocked]]=1,"",IF(UnlockROI[[#This Row],[Base Efficiency]]&lt;1,15,0.25/UnlockROI[[#This Row],[Base Efficiency]]))</f>
        <v>0.14409221902017288</v>
      </c>
      <c r="N74" s="34">
        <f>_xlfn.XLOOKUP(UnlockROI[[#This Row],[Planet '#]],tblplanetvalue[Planet '#],tblplanetvalue[Total Worth])</f>
        <v>4300000000</v>
      </c>
      <c r="O74" s="35">
        <f>IF(OR(UnlockROI[[#This Row],[Deposit]]="",UnlockROI[[#This Row],[Planet Worth]]=""),"",UnlockROI[[#This Row],[Deposit]]*UnlockROI[[#This Row],[Planet Worth]])</f>
        <v>619596541.7867434</v>
      </c>
      <c r="P74" s="14" t="str">
        <f>IF(
   _xlfn.XLOOKUP(UnlockROI[[#This Row],[Planet '#]], tblPlanets[Planet '#], tblPlanets[Name])=UnlockROI[[#This Row],[Name]],
   "Match",
   "Mismatch"
)</f>
        <v>Match</v>
      </c>
    </row>
    <row r="75" spans="1:16" x14ac:dyDescent="0.3">
      <c r="A75" s="25">
        <v>74</v>
      </c>
      <c r="B75" s="25" t="str">
        <f>_xlfn.XLOOKUP(tblprogress[[#This Row],[Planet '#]],tblPlanets[Planet '#],tblPlanets[Name])</f>
        <v>Typhon</v>
      </c>
      <c r="C75" s="54">
        <f>_xlfn.XLOOKUP(UnlockROI[[#This Row],[Planet '#]],tblprogress[Planet '#],tblprogress[Unlocked])</f>
        <v>0</v>
      </c>
      <c r="D75" s="54">
        <f>_xlfn.XLOOKUP(UnlockROI[[#This Row],[Planet '#]],tblprogress[Planet '#],tblprogress[Possible to Unlock])</f>
        <v>0</v>
      </c>
      <c r="E75" s="47" t="str">
        <f>IF(AND(UnlockROI[[#This Row],[Unlocked]]=0,UnlockROI[[#This Row],[Possible to Unlock]]=1),
   IFERROR(UnlockROI[[#This Row],[Base Earnings]]*3600/UnlockROI[[#This Row],[Unlock Planet Amount]],""),
   "")</f>
        <v/>
      </c>
      <c r="F75" s="47" t="str">
        <f>IF(AND(UnlockROI[[#This Row],[Unlocked]]=0,UnlockROI[[#This Row],[Possible to Unlock]]=1),
   IFERROR(UnlockROI[[#This Row],[Unlock Planet Amount]]/UnlockROI[[#This Row],[Base Earnings]],""),
   "")</f>
        <v/>
      </c>
      <c r="G75" s="34">
        <f>IF(UnlockROI[[#This Row],[Unlocked]]=1,"",_xlfn.XLOOKUP(UnlockROI[[#This Row],[Planet '#]],tblPlanets[Planet '#],tblPlanets[Unlock Price]))</f>
        <v>1.7799999999999999E+29</v>
      </c>
      <c r="H75" s="43">
        <f>IF(UnlockROI[[#This Row],[Unlocked]]=0,0.25,"")</f>
        <v>0.25</v>
      </c>
      <c r="I75" s="43">
        <f>IF(UnlockROI[[#This Row],[Unlocked]]=0,1,"")</f>
        <v>1</v>
      </c>
      <c r="J75" s="25">
        <f>IF(UnlockROI[[#This Row],[Unlocked]]=0,5,"")</f>
        <v>5</v>
      </c>
      <c r="K75" s="28">
        <f>_xlfn.XLOOKUP(UnlockROI[[#This Row],[Planet '#]],tblprogress[Planet '#],tblprogress[Planets Distance])</f>
        <v>17.5</v>
      </c>
      <c r="L75" s="41">
        <f>0.1*UnlockROI[[#This Row],[Distance]]</f>
        <v>1.75</v>
      </c>
      <c r="M75" s="47">
        <f>IF(UnlockROI[[#This Row],[Unlocked]]=1,"",IF(UnlockROI[[#This Row],[Base Efficiency]]&lt;1,15,0.25/UnlockROI[[#This Row],[Base Efficiency]]))</f>
        <v>0.14285714285714285</v>
      </c>
      <c r="N75" s="34">
        <f>_xlfn.XLOOKUP(UnlockROI[[#This Row],[Planet '#]],tblplanetvalue[Planet '#],tblplanetvalue[Total Worth])</f>
        <v>9780000000</v>
      </c>
      <c r="O75" s="35">
        <f>IF(OR(UnlockROI[[#This Row],[Deposit]]="",UnlockROI[[#This Row],[Planet Worth]]=""),"",UnlockROI[[#This Row],[Deposit]]*UnlockROI[[#This Row],[Planet Worth]])</f>
        <v>1397142857.1428571</v>
      </c>
      <c r="P75" s="14" t="str">
        <f>IF(
   _xlfn.XLOOKUP(UnlockROI[[#This Row],[Planet '#]], tblPlanets[Planet '#], tblPlanets[Name])=UnlockROI[[#This Row],[Name]],
   "Match",
   "Mismatch"
)</f>
        <v>Match</v>
      </c>
    </row>
    <row r="76" spans="1:16" x14ac:dyDescent="0.3">
      <c r="A76" s="24">
        <v>75</v>
      </c>
      <c r="B76" s="24" t="str">
        <f>_xlfn.XLOOKUP(tblprogress[[#This Row],[Planet '#]],tblPlanets[Planet '#],tblPlanets[Name])</f>
        <v>Surtur</v>
      </c>
      <c r="C76" s="54">
        <f>_xlfn.XLOOKUP(UnlockROI[[#This Row],[Planet '#]],tblprogress[Planet '#],tblprogress[Unlocked])</f>
        <v>0</v>
      </c>
      <c r="D76" s="54">
        <f>_xlfn.XLOOKUP(UnlockROI[[#This Row],[Planet '#]],tblprogress[Planet '#],tblprogress[Possible to Unlock])</f>
        <v>0</v>
      </c>
      <c r="E76" s="47" t="str">
        <f>IF(AND(UnlockROI[[#This Row],[Unlocked]]=0,UnlockROI[[#This Row],[Possible to Unlock]]=1),
   IFERROR(UnlockROI[[#This Row],[Base Earnings]]*3600/UnlockROI[[#This Row],[Unlock Planet Amount]],""),
   "")</f>
        <v/>
      </c>
      <c r="F76" s="47" t="str">
        <f>IF(AND(UnlockROI[[#This Row],[Unlocked]]=0,UnlockROI[[#This Row],[Possible to Unlock]]=1),
   IFERROR(UnlockROI[[#This Row],[Unlock Planet Amount]]/UnlockROI[[#This Row],[Base Earnings]],""),
   "")</f>
        <v/>
      </c>
      <c r="G76" s="34">
        <f>IF(UnlockROI[[#This Row],[Unlocked]]=1,"",_xlfn.XLOOKUP(UnlockROI[[#This Row],[Planet '#]],tblPlanets[Planet '#],tblPlanets[Unlock Price]))</f>
        <v>5.1599999999999994E+29</v>
      </c>
      <c r="H76" s="43">
        <f>IF(UnlockROI[[#This Row],[Unlocked]]=0,0.25,"")</f>
        <v>0.25</v>
      </c>
      <c r="I76" s="43">
        <f>IF(UnlockROI[[#This Row],[Unlocked]]=0,1,"")</f>
        <v>1</v>
      </c>
      <c r="J76" s="25">
        <f>IF(UnlockROI[[#This Row],[Unlocked]]=0,5,"")</f>
        <v>5</v>
      </c>
      <c r="K76" s="28">
        <f>_xlfn.XLOOKUP(UnlockROI[[#This Row],[Planet '#]],tblprogress[Planet '#],tblprogress[Planets Distance])</f>
        <v>17.649999999999999</v>
      </c>
      <c r="L76" s="41">
        <f>0.1*UnlockROI[[#This Row],[Distance]]</f>
        <v>1.7649999999999999</v>
      </c>
      <c r="M76" s="47">
        <f>IF(UnlockROI[[#This Row],[Unlocked]]=1,"",IF(UnlockROI[[#This Row],[Base Efficiency]]&lt;1,15,0.25/UnlockROI[[#This Row],[Base Efficiency]]))</f>
        <v>0.14164305949008499</v>
      </c>
      <c r="N76" s="34">
        <f>_xlfn.XLOOKUP(UnlockROI[[#This Row],[Planet '#]],tblplanetvalue[Planet '#],tblplanetvalue[Total Worth])</f>
        <v>12930000000</v>
      </c>
      <c r="O76" s="35">
        <f>IF(OR(UnlockROI[[#This Row],[Deposit]]="",UnlockROI[[#This Row],[Planet Worth]]=""),"",UnlockROI[[#This Row],[Deposit]]*UnlockROI[[#This Row],[Planet Worth]])</f>
        <v>1831444759.2067988</v>
      </c>
      <c r="P76" s="14" t="str">
        <f>IF(
   _xlfn.XLOOKUP(UnlockROI[[#This Row],[Planet '#]], tblPlanets[Planet '#], tblPlanets[Name])=UnlockROI[[#This Row],[Name]],
   "Match",
   "Mismatch"
)</f>
        <v>Match</v>
      </c>
    </row>
    <row r="77" spans="1:16" x14ac:dyDescent="0.3">
      <c r="A77" s="27">
        <v>76</v>
      </c>
      <c r="B77" s="27" t="str">
        <f>_xlfn.XLOOKUP(tblprogress[[#This Row],[Planet '#]],tblPlanets[Planet '#],tblPlanets[Name])</f>
        <v>Vesta</v>
      </c>
      <c r="C77" s="54">
        <f>_xlfn.XLOOKUP(UnlockROI[[#This Row],[Planet '#]],tblprogress[Planet '#],tblprogress[Unlocked])</f>
        <v>0</v>
      </c>
      <c r="D77" s="54">
        <f>_xlfn.XLOOKUP(UnlockROI[[#This Row],[Planet '#]],tblprogress[Planet '#],tblprogress[Possible to Unlock])</f>
        <v>0</v>
      </c>
      <c r="E77" s="47" t="str">
        <f>IF(AND(UnlockROI[[#This Row],[Unlocked]]=0,UnlockROI[[#This Row],[Possible to Unlock]]=1),
   IFERROR(UnlockROI[[#This Row],[Base Earnings]]*3600/UnlockROI[[#This Row],[Unlock Planet Amount]],""),
   "")</f>
        <v/>
      </c>
      <c r="F77" s="47" t="str">
        <f>IF(AND(UnlockROI[[#This Row],[Unlocked]]=0,UnlockROI[[#This Row],[Possible to Unlock]]=1),
   IFERROR(UnlockROI[[#This Row],[Unlock Planet Amount]]/UnlockROI[[#This Row],[Base Earnings]],""),
   "")</f>
        <v/>
      </c>
      <c r="G77" s="64">
        <f>IF(UnlockROI[[#This Row],[Unlocked]]=1,"",_xlfn.XLOOKUP(UnlockROI[[#This Row],[Planet '#]],tblPlanets[Planet '#],tblPlanets[Unlock Price]))</f>
        <v>1.8100000000000001E+30</v>
      </c>
      <c r="H77" s="30">
        <f>IF(UnlockROI[[#This Row],[Unlocked]]=0,0.25,"")</f>
        <v>0.25</v>
      </c>
      <c r="I77" s="30">
        <f>IF(UnlockROI[[#This Row],[Unlocked]]=0,1,"")</f>
        <v>1</v>
      </c>
      <c r="J77" s="27">
        <f>IF(UnlockROI[[#This Row],[Unlocked]]=0,5,"")</f>
        <v>5</v>
      </c>
      <c r="K77" s="28">
        <f>_xlfn.XLOOKUP(UnlockROI[[#This Row],[Planet '#]],tblprogress[Planet '#],tblprogress[Planets Distance])</f>
        <v>17.8</v>
      </c>
      <c r="L77" s="42">
        <f>0.1*UnlockROI[[#This Row],[Distance]]</f>
        <v>1.7800000000000002</v>
      </c>
      <c r="M77" s="65">
        <f>IF(UnlockROI[[#This Row],[Unlocked]]=1,"",IF(UnlockROI[[#This Row],[Base Efficiency]]&lt;1,15,0.25/UnlockROI[[#This Row],[Base Efficiency]]))</f>
        <v>0.14044943820224717</v>
      </c>
      <c r="N77" s="34">
        <f>_xlfn.XLOOKUP(UnlockROI[[#This Row],[Planet '#]],tblplanetvalue[Planet '#],tblplanetvalue[Total Worth])</f>
        <v>18000000000</v>
      </c>
      <c r="O77" s="36">
        <f>IF(OR(UnlockROI[[#This Row],[Deposit]]="",UnlockROI[[#This Row],[Planet Worth]]=""),"",UnlockROI[[#This Row],[Deposit]]*UnlockROI[[#This Row],[Planet Worth]])</f>
        <v>2528089887.640449</v>
      </c>
      <c r="P77" s="14" t="str">
        <f>IF(
   _xlfn.XLOOKUP(UnlockROI[[#This Row],[Planet '#]], tblPlanets[Planet '#], tblPlanets[Name])=UnlockROI[[#This Row],[Name]],
   "Match",
   "Mismatch"
)</f>
        <v>Match</v>
      </c>
    </row>
  </sheetData>
  <conditionalFormatting sqref="A2:P77">
    <cfRule type="expression" dxfId="21" priority="1">
      <formula>$P2 = "mismatch"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" id="{E7BC5381-25F3-4895-B283-045E57CE9E65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3Symbols2" iconId="0"/>
              <x14:cfIcon iconSet="3Symbols2" iconId="2"/>
            </x14:iconSet>
          </x14:cfRule>
          <xm:sqref>C2:D77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1BA9-F2EF-4A4E-8349-F60CA19F6F96}">
  <dimension ref="A1:Z21"/>
  <sheetViews>
    <sheetView workbookViewId="0"/>
  </sheetViews>
  <sheetFormatPr defaultRowHeight="14.4" x14ac:dyDescent="0.3"/>
  <sheetData>
    <row r="1" spans="1:26" x14ac:dyDescent="0.3">
      <c r="A1" t="s">
        <v>256</v>
      </c>
      <c r="B1" t="s">
        <v>238</v>
      </c>
      <c r="C1" t="s">
        <v>224</v>
      </c>
      <c r="D1" t="s">
        <v>257</v>
      </c>
      <c r="E1" t="s">
        <v>223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225</v>
      </c>
      <c r="Q1" t="s">
        <v>268</v>
      </c>
      <c r="R1" t="s">
        <v>269</v>
      </c>
      <c r="Z1">
        <v>0</v>
      </c>
    </row>
    <row r="2" spans="1:26" x14ac:dyDescent="0.3">
      <c r="A2" t="str">
        <f>IF('Planet Efficiency'!P2="","",'Planet Efficiency'!P2&amp;" — "&amp;'Planet Efficiency'!Q2)</f>
        <v>Newton — Mining</v>
      </c>
      <c r="B2" t="str">
        <f>'Planet Efficiency'!Q2</f>
        <v>Mining</v>
      </c>
      <c r="C2" s="81">
        <f>'Planet Efficiency'!S2</f>
        <v>247.59375729872198</v>
      </c>
      <c r="D2" s="81">
        <f>'Planet Efficiency'!R2</f>
        <v>123.42047662379188</v>
      </c>
      <c r="E2" s="71">
        <f>'Planet Efficiency'!T2</f>
        <v>1</v>
      </c>
      <c r="F2" cm="1">
        <f t="array" ref="F2:G7">_xlfn._xlws.FILTER($C$2:$D$11,$B$2:$B$11="Mining","")</f>
        <v>247.59375729872198</v>
      </c>
      <c r="G2">
        <v>123.42047662379188</v>
      </c>
      <c r="H2" cm="1">
        <f t="array" ref="H2:I2">_xlfn._xlws.FILTER($C$2:$D$11,$B$2:$B$11="Speed","")</f>
        <v>2116.4127085811929</v>
      </c>
      <c r="I2">
        <v>25.344773154362386</v>
      </c>
      <c r="J2" cm="1">
        <f t="array" ref="J2:K2">_xlfn._xlws.FILTER($C$2:$D$11,$B$2:$B$11="Cargo","")</f>
        <v>2116.4127085811929</v>
      </c>
      <c r="K2">
        <v>25.344773154362386</v>
      </c>
      <c r="L2" t="str" cm="1">
        <f t="array" ref="L2">_xlfn._xlws.FILTER($C$2:$D$11,$B$2:$B$11="Unlock","")</f>
        <v/>
      </c>
      <c r="N2" cm="1">
        <f t="array" ref="N2:O2">_xlfn._xlws.FILTER($C$2:$D$11,'Planet Efficiency'!$N$2:$N$11=1,"")</f>
        <v>247.59375729872198</v>
      </c>
      <c r="O2">
        <v>123.42047662379188</v>
      </c>
      <c r="P2" t="s">
        <v>226</v>
      </c>
      <c r="Q2">
        <f>COUNTIF($B$2:$B$11,P2)</f>
        <v>6</v>
      </c>
      <c r="R2" s="71">
        <f>IFERROR(Q2/SUM($Q$2:$Q$5),0)</f>
        <v>0.75</v>
      </c>
      <c r="Z2">
        <v>1</v>
      </c>
    </row>
    <row r="3" spans="1:26" x14ac:dyDescent="0.3">
      <c r="A3" t="str">
        <f>IF('Planet Efficiency'!P3="","",'Planet Efficiency'!P3&amp;" — "&amp;'Planet Efficiency'!Q3)</f>
        <v>Widow — Cargo</v>
      </c>
      <c r="B3" t="str">
        <f>'Planet Efficiency'!Q3</f>
        <v>Cargo</v>
      </c>
      <c r="C3" s="81">
        <f>'Planet Efficiency'!S3</f>
        <v>2116.4127085811929</v>
      </c>
      <c r="D3" s="81">
        <f>'Planet Efficiency'!R3</f>
        <v>25.344773154362386</v>
      </c>
      <c r="E3" s="71">
        <f>'Planet Efficiency'!T3</f>
        <v>0.7142857142857143</v>
      </c>
      <c r="F3">
        <v>7740.4523544679196</v>
      </c>
      <c r="G3">
        <v>27.905345851695756</v>
      </c>
      <c r="P3" t="s">
        <v>227</v>
      </c>
      <c r="Q3">
        <f>COUNTIF($B$2:$B$11,P3)</f>
        <v>1</v>
      </c>
      <c r="R3" s="71">
        <f>IFERROR(Q3/SUM($Q$2:$Q$5),0)</f>
        <v>0.125</v>
      </c>
    </row>
    <row r="4" spans="1:26" x14ac:dyDescent="0.3">
      <c r="A4" t="str">
        <f>IF('Planet Efficiency'!P4="","",'Planet Efficiency'!P4&amp;" — "&amp;'Planet Efficiency'!Q4)</f>
        <v>Widow — Speed</v>
      </c>
      <c r="B4" t="str">
        <f>'Planet Efficiency'!Q4</f>
        <v>Speed</v>
      </c>
      <c r="C4" s="81">
        <f>'Planet Efficiency'!S4</f>
        <v>2116.4127085811929</v>
      </c>
      <c r="D4" s="81">
        <f>'Planet Efficiency'!R4</f>
        <v>25.344773154362386</v>
      </c>
      <c r="E4" s="71">
        <f>'Planet Efficiency'!T4</f>
        <v>0.7142857142857143</v>
      </c>
      <c r="F4">
        <v>7742.6795026073041</v>
      </c>
      <c r="G4">
        <v>27.897319000129524</v>
      </c>
      <c r="P4" t="s">
        <v>159</v>
      </c>
      <c r="Q4">
        <f>COUNTIF($B$2:$B$11,P4)</f>
        <v>1</v>
      </c>
      <c r="R4" s="71">
        <f>IFERROR(Q4/SUM($Q$2:$Q$5),0)</f>
        <v>0.125</v>
      </c>
    </row>
    <row r="5" spans="1:26" x14ac:dyDescent="0.3">
      <c r="A5" t="str">
        <f>IF('Planet Efficiency'!P5="","",'Planet Efficiency'!P5&amp;" — "&amp;'Planet Efficiency'!Q5)</f>
        <v>Anadius — Mining</v>
      </c>
      <c r="B5" t="str">
        <f>'Planet Efficiency'!Q5</f>
        <v>Mining</v>
      </c>
      <c r="C5" s="81">
        <f>'Planet Efficiency'!S5</f>
        <v>7740.4523544679196</v>
      </c>
      <c r="D5" s="81">
        <f>'Planet Efficiency'!R5</f>
        <v>27.905345851695756</v>
      </c>
      <c r="E5" s="71">
        <f>'Planet Efficiency'!T5</f>
        <v>0.6428571428571429</v>
      </c>
      <c r="F5">
        <v>3817.8881081098252</v>
      </c>
      <c r="G5">
        <v>9.2779089762692735</v>
      </c>
      <c r="P5" t="s">
        <v>228</v>
      </c>
      <c r="Q5">
        <f>COUNTIF($B$2:$B$11,P5)</f>
        <v>0</v>
      </c>
      <c r="R5" s="71">
        <f>IFERROR(Q5/SUM($Q$2:$Q$5),0)</f>
        <v>0</v>
      </c>
    </row>
    <row r="6" spans="1:26" x14ac:dyDescent="0.3">
      <c r="A6" t="str">
        <f>IF('Planet Efficiency'!P6="","",'Planet Efficiency'!P6&amp;" — "&amp;'Planet Efficiency'!Q6)</f>
        <v>Dholen — Mining</v>
      </c>
      <c r="B6" t="str">
        <f>'Planet Efficiency'!Q6</f>
        <v>Mining</v>
      </c>
      <c r="C6" s="81">
        <f>'Planet Efficiency'!S6</f>
        <v>7742.6795026073041</v>
      </c>
      <c r="D6" s="81">
        <f>'Planet Efficiency'!R6</f>
        <v>27.897319000129524</v>
      </c>
      <c r="E6" s="71">
        <f>'Planet Efficiency'!T6</f>
        <v>0.5</v>
      </c>
      <c r="F6">
        <v>9135.9927470535076</v>
      </c>
      <c r="G6">
        <v>23.642750818695983</v>
      </c>
    </row>
    <row r="7" spans="1:26" x14ac:dyDescent="0.3">
      <c r="A7" t="str">
        <f>IF('Planet Efficiency'!P7="","",'Planet Efficiency'!P7&amp;" — "&amp;'Planet Efficiency'!Q7)</f>
        <v>Verr — Mining</v>
      </c>
      <c r="B7" t="str">
        <f>'Planet Efficiency'!Q7</f>
        <v>Mining</v>
      </c>
      <c r="C7" s="81">
        <f>'Planet Efficiency'!S7</f>
        <v>3817.8881081098252</v>
      </c>
      <c r="D7" s="81">
        <f>'Planet Efficiency'!R7</f>
        <v>9.2779089762692735</v>
      </c>
      <c r="E7" s="71">
        <f>'Planet Efficiency'!T7</f>
        <v>0.2857142857142857</v>
      </c>
      <c r="F7">
        <v>9601.4492753623163</v>
      </c>
      <c r="G7">
        <v>22.496603773584916</v>
      </c>
    </row>
    <row r="8" spans="1:26" x14ac:dyDescent="0.3">
      <c r="A8" t="str">
        <f>IF('Planet Efficiency'!P8="","",'Planet Efficiency'!P8&amp;" — "&amp;'Planet Efficiency'!Q8)</f>
        <v>Balor — Mining</v>
      </c>
      <c r="B8" t="str">
        <f>'Planet Efficiency'!Q8</f>
        <v>Mining</v>
      </c>
      <c r="C8" s="81">
        <f>'Planet Efficiency'!S8</f>
        <v>9135.9927470535076</v>
      </c>
      <c r="D8" s="81">
        <f>'Planet Efficiency'!R8</f>
        <v>23.642750818695983</v>
      </c>
      <c r="E8" s="71">
        <f>'Planet Efficiency'!T8</f>
        <v>0.2142857142857143</v>
      </c>
    </row>
    <row r="9" spans="1:26" x14ac:dyDescent="0.3">
      <c r="A9" t="str">
        <f>IF('Planet Efficiency'!P9="","",'Planet Efficiency'!P9&amp;" — "&amp;'Planet Efficiency'!Q9)</f>
        <v>Drasta — Mining</v>
      </c>
      <c r="B9" t="str">
        <f>'Planet Efficiency'!Q9</f>
        <v>Mining</v>
      </c>
      <c r="C9" s="81">
        <f>'Planet Efficiency'!S9</f>
        <v>9601.4492753623163</v>
      </c>
      <c r="D9" s="81">
        <f>'Planet Efficiency'!R9</f>
        <v>22.496603773584916</v>
      </c>
      <c r="E9" s="71">
        <f>'Planet Efficiency'!T9</f>
        <v>7.1428571428571452E-2</v>
      </c>
    </row>
    <row r="10" spans="1:26" x14ac:dyDescent="0.3">
      <c r="A10" t="str">
        <f>IF('Planet Efficiency'!P10="","",'Planet Efficiency'!P10&amp;" — "&amp;'Planet Efficiency'!Q10)</f>
        <v/>
      </c>
      <c r="B10" t="str">
        <f>'Planet Efficiency'!Q10</f>
        <v/>
      </c>
      <c r="C10" s="81" t="str">
        <f>'Planet Efficiency'!S10</f>
        <v/>
      </c>
      <c r="D10" s="81" t="str">
        <f>'Planet Efficiency'!R10</f>
        <v/>
      </c>
      <c r="E10" s="71" t="str">
        <f>'Planet Efficiency'!T10</f>
        <v/>
      </c>
    </row>
    <row r="11" spans="1:26" x14ac:dyDescent="0.3">
      <c r="A11" t="str">
        <f>IF('Planet Efficiency'!P11="","",'Planet Efficiency'!P11&amp;" — "&amp;'Planet Efficiency'!Q11)</f>
        <v/>
      </c>
      <c r="B11" t="str">
        <f>'Planet Efficiency'!Q11</f>
        <v/>
      </c>
      <c r="C11" s="81" t="str">
        <f>'Planet Efficiency'!S11</f>
        <v/>
      </c>
      <c r="D11" s="81" t="str">
        <f>'Planet Efficiency'!R11</f>
        <v/>
      </c>
      <c r="E11" s="71" t="str">
        <f>'Planet Efficiency'!T11</f>
        <v/>
      </c>
    </row>
    <row r="14" spans="1:26" x14ac:dyDescent="0.3">
      <c r="A14" t="s">
        <v>270</v>
      </c>
      <c r="B14" t="s">
        <v>271</v>
      </c>
      <c r="C14" t="s">
        <v>272</v>
      </c>
      <c r="D14" t="s">
        <v>273</v>
      </c>
      <c r="E14" t="s">
        <v>274</v>
      </c>
      <c r="F14" t="s">
        <v>275</v>
      </c>
      <c r="G14" t="s">
        <v>276</v>
      </c>
      <c r="I14" t="s">
        <v>284</v>
      </c>
      <c r="J14" t="s">
        <v>285</v>
      </c>
    </row>
    <row r="15" spans="1:26" x14ac:dyDescent="0.3">
      <c r="A15" t="s">
        <v>277</v>
      </c>
      <c r="B15" s="85">
        <v>1</v>
      </c>
      <c r="C15" s="85">
        <v>1</v>
      </c>
      <c r="D15" s="85">
        <v>1</v>
      </c>
      <c r="E15" s="81">
        <f t="shared" ref="E15:E21" si="0">$D$2*B15/C15</f>
        <v>123.42047662379188</v>
      </c>
      <c r="F15" s="81">
        <f t="shared" ref="F15:F21" si="1">$C$2*C15/B15*D15</f>
        <v>247.59375729872198</v>
      </c>
      <c r="G15" t="str">
        <f>$A$2</f>
        <v>Newton — Mining</v>
      </c>
      <c r="I15" t="s">
        <v>286</v>
      </c>
      <c r="J15" t="str">
        <f>COUNTIF(G15:G21,G15)&amp;" of 7 scenarios"</f>
        <v>7 of 7 scenarios</v>
      </c>
    </row>
    <row r="16" spans="1:26" x14ac:dyDescent="0.3">
      <c r="A16" t="s">
        <v>278</v>
      </c>
      <c r="B16" s="85">
        <v>0.9</v>
      </c>
      <c r="C16" s="85">
        <v>1</v>
      </c>
      <c r="D16" s="85">
        <v>1</v>
      </c>
      <c r="E16" s="81">
        <f t="shared" si="0"/>
        <v>111.0784289614127</v>
      </c>
      <c r="F16" s="81">
        <f t="shared" si="1"/>
        <v>275.10417477635775</v>
      </c>
      <c r="G16" t="str">
        <f t="shared" ref="G16:G21" si="2">$A$2</f>
        <v>Newton — Mining</v>
      </c>
    </row>
    <row r="17" spans="1:7" x14ac:dyDescent="0.3">
      <c r="A17" t="s">
        <v>279</v>
      </c>
      <c r="B17" s="85">
        <v>1.1000000000000001</v>
      </c>
      <c r="C17" s="85">
        <v>1</v>
      </c>
      <c r="D17" s="85">
        <v>1</v>
      </c>
      <c r="E17" s="81">
        <f t="shared" si="0"/>
        <v>135.76252428617107</v>
      </c>
      <c r="F17" s="81">
        <f t="shared" si="1"/>
        <v>225.08523390792905</v>
      </c>
      <c r="G17" t="str">
        <f t="shared" si="2"/>
        <v>Newton — Mining</v>
      </c>
    </row>
    <row r="18" spans="1:7" x14ac:dyDescent="0.3">
      <c r="A18" t="s">
        <v>280</v>
      </c>
      <c r="B18" s="85">
        <v>1</v>
      </c>
      <c r="C18" s="85">
        <v>0.9</v>
      </c>
      <c r="D18" s="85">
        <v>1</v>
      </c>
      <c r="E18" s="81">
        <f t="shared" si="0"/>
        <v>137.1338629153243</v>
      </c>
      <c r="F18" s="81">
        <f t="shared" si="1"/>
        <v>222.83438156884978</v>
      </c>
      <c r="G18" t="str">
        <f t="shared" si="2"/>
        <v>Newton — Mining</v>
      </c>
    </row>
    <row r="19" spans="1:7" x14ac:dyDescent="0.3">
      <c r="A19" t="s">
        <v>281</v>
      </c>
      <c r="B19" s="85">
        <v>1</v>
      </c>
      <c r="C19" s="85">
        <v>1.1000000000000001</v>
      </c>
      <c r="D19" s="85">
        <v>1</v>
      </c>
      <c r="E19" s="81">
        <f t="shared" si="0"/>
        <v>112.20043329435624</v>
      </c>
      <c r="F19" s="81">
        <f t="shared" si="1"/>
        <v>272.35313302859419</v>
      </c>
      <c r="G19" t="str">
        <f t="shared" si="2"/>
        <v>Newton — Mining</v>
      </c>
    </row>
    <row r="20" spans="1:7" x14ac:dyDescent="0.3">
      <c r="A20" t="s">
        <v>282</v>
      </c>
      <c r="B20" s="85">
        <v>1</v>
      </c>
      <c r="C20" s="85">
        <v>1</v>
      </c>
      <c r="D20" s="85">
        <v>0.9</v>
      </c>
      <c r="E20" s="81">
        <f t="shared" si="0"/>
        <v>123.42047662379188</v>
      </c>
      <c r="F20" s="81">
        <f t="shared" si="1"/>
        <v>222.83438156884978</v>
      </c>
      <c r="G20" t="str">
        <f t="shared" si="2"/>
        <v>Newton — Mining</v>
      </c>
    </row>
    <row r="21" spans="1:7" x14ac:dyDescent="0.3">
      <c r="A21" t="s">
        <v>283</v>
      </c>
      <c r="B21" s="85">
        <v>1</v>
      </c>
      <c r="C21" s="85">
        <v>1</v>
      </c>
      <c r="D21" s="85">
        <v>1.1000000000000001</v>
      </c>
      <c r="E21" s="81">
        <f t="shared" si="0"/>
        <v>123.42047662379188</v>
      </c>
      <c r="F21" s="81">
        <f t="shared" si="1"/>
        <v>272.35313302859419</v>
      </c>
      <c r="G21" t="str">
        <f t="shared" si="2"/>
        <v>Newton — Mining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8C2D4C-2A6C-42BB-A98C-F7DAEC2E75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Scenario Validation</vt:lpstr>
      <vt:lpstr>Dashboard</vt:lpstr>
      <vt:lpstr>Model Guide</vt:lpstr>
      <vt:lpstr>TimeFrame</vt:lpstr>
      <vt:lpstr>Hybrid Cal</vt:lpstr>
      <vt:lpstr>Planet Efficiency</vt:lpstr>
      <vt:lpstr>Progress Tracker</vt:lpstr>
      <vt:lpstr>Planets</vt:lpstr>
      <vt:lpstr>Ore Values</vt:lpstr>
      <vt:lpstr>Planet Value</vt:lpstr>
      <vt:lpstr>Upgrade Progression</vt:lpstr>
      <vt:lpstr>Planet Economy</vt:lpstr>
      <vt:lpstr>Mining ROI</vt:lpstr>
      <vt:lpstr>Speed ROI</vt:lpstr>
      <vt:lpstr>Cargo ROI</vt:lpstr>
      <vt:lpstr>Unlock Planet ROI</vt:lpstr>
      <vt:lpstr>Analysis Support</vt:lpstr>
      <vt:lpstr>CurrentTelescope</vt:lpstr>
      <vt:lpstr>'Cargo ROI'!OreSymbols</vt:lpstr>
      <vt:lpstr>'Speed ROI'!OreSymbols</vt:lpstr>
      <vt:lpstr>'Unlock Planet ROI'!OreSymbols</vt:lpstr>
      <vt:lpstr>OreSymbols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Montalvo</dc:creator>
  <cp:lastModifiedBy>Jonathan Montalvo</cp:lastModifiedBy>
  <cp:lastPrinted>2026-08-12T18:58:47Z</cp:lastPrinted>
  <dcterms:created xsi:type="dcterms:W3CDTF">2026-08-05T18:22:28Z</dcterms:created>
  <dcterms:modified xsi:type="dcterms:W3CDTF">2026-08-12T19:00:07Z</dcterms:modified>
</cp:coreProperties>
</file>